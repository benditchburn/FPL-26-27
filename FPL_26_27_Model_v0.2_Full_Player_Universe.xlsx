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ensfolderaccount/Desktop/FPL 26:27/"/>
    </mc:Choice>
  </mc:AlternateContent>
  <xr:revisionPtr revIDLastSave="0" documentId="8_{96AF1133-0197-B149-899E-1836A69BF3F2}" xr6:coauthVersionLast="47" xr6:coauthVersionMax="47" xr10:uidLastSave="{00000000-0000-0000-0000-000000000000}"/>
  <bookViews>
    <workbookView xWindow="0" yWindow="720" windowWidth="29400" windowHeight="18400" activeTab="4" xr2:uid="{00000000-000D-0000-FFFF-FFFF00000000}"/>
  </bookViews>
  <sheets>
    <sheet name="Dashboard" sheetId="1" r:id="rId1"/>
    <sheet name="Players" sheetId="2" r:id="rId2"/>
    <sheet name="Teams" sheetId="3" r:id="rId3"/>
    <sheet name="Priors" sheetId="4" r:id="rId4"/>
    <sheet name="Fixtures" sheetId="5" r:id="rId5"/>
    <sheet name="Projections" sheetId="6" r:id="rId6"/>
    <sheet name="Squad" sheetId="7" r:id="rId7"/>
    <sheet name="Li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7" l="1"/>
  <c r="I16" i="7"/>
  <c r="H16" i="7"/>
  <c r="G16" i="7"/>
  <c r="D16" i="7"/>
  <c r="C16" i="7"/>
  <c r="B16" i="7"/>
  <c r="J15" i="7"/>
  <c r="I15" i="7"/>
  <c r="H15" i="7"/>
  <c r="G15" i="7"/>
  <c r="D15" i="7"/>
  <c r="C15" i="7"/>
  <c r="B15" i="7"/>
  <c r="J14" i="7"/>
  <c r="I14" i="7"/>
  <c r="H14" i="7"/>
  <c r="G14" i="7"/>
  <c r="D14" i="7"/>
  <c r="C14" i="7"/>
  <c r="B14" i="7"/>
  <c r="J13" i="7"/>
  <c r="I13" i="7"/>
  <c r="H13" i="7"/>
  <c r="G13" i="7"/>
  <c r="D13" i="7"/>
  <c r="C13" i="7"/>
  <c r="B13" i="7"/>
  <c r="J12" i="7"/>
  <c r="I12" i="7"/>
  <c r="H12" i="7"/>
  <c r="G12" i="7"/>
  <c r="D12" i="7"/>
  <c r="C12" i="7"/>
  <c r="B12" i="7"/>
  <c r="J11" i="7"/>
  <c r="I11" i="7"/>
  <c r="H11" i="7"/>
  <c r="G11" i="7"/>
  <c r="D11" i="7"/>
  <c r="C11" i="7"/>
  <c r="B11" i="7"/>
  <c r="J10" i="7"/>
  <c r="I10" i="7"/>
  <c r="H10" i="7"/>
  <c r="G10" i="7"/>
  <c r="D10" i="7"/>
  <c r="C10" i="7"/>
  <c r="B10" i="7"/>
  <c r="J9" i="7"/>
  <c r="I9" i="7"/>
  <c r="H9" i="7"/>
  <c r="G9" i="7"/>
  <c r="D9" i="7"/>
  <c r="C9" i="7"/>
  <c r="B9" i="7"/>
  <c r="J8" i="7"/>
  <c r="I8" i="7"/>
  <c r="H8" i="7"/>
  <c r="G8" i="7"/>
  <c r="D8" i="7"/>
  <c r="C8" i="7"/>
  <c r="B8" i="7"/>
  <c r="J7" i="7"/>
  <c r="I7" i="7"/>
  <c r="H7" i="7"/>
  <c r="G7" i="7"/>
  <c r="D7" i="7"/>
  <c r="C7" i="7"/>
  <c r="B7" i="7"/>
  <c r="J6" i="7"/>
  <c r="I6" i="7"/>
  <c r="H6" i="7"/>
  <c r="G6" i="7"/>
  <c r="D6" i="7"/>
  <c r="C6" i="7"/>
  <c r="B6" i="7"/>
  <c r="J5" i="7"/>
  <c r="I5" i="7"/>
  <c r="H5" i="7"/>
  <c r="G5" i="7"/>
  <c r="D5" i="7"/>
  <c r="C5" i="7"/>
  <c r="B5" i="7"/>
  <c r="J4" i="7"/>
  <c r="I4" i="7"/>
  <c r="H4" i="7"/>
  <c r="G4" i="7"/>
  <c r="D4" i="7"/>
  <c r="C4" i="7"/>
  <c r="B4" i="7"/>
  <c r="J3" i="7"/>
  <c r="I3" i="7"/>
  <c r="H3" i="7"/>
  <c r="G3" i="7"/>
  <c r="D3" i="7"/>
  <c r="C3" i="7"/>
  <c r="B3" i="7"/>
  <c r="J2" i="7"/>
  <c r="I2" i="7"/>
  <c r="H2" i="7"/>
  <c r="G2" i="7"/>
  <c r="D2" i="7"/>
  <c r="C2" i="7"/>
  <c r="B2" i="7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C6" i="4"/>
  <c r="AC506" i="2" s="1"/>
  <c r="B6" i="4"/>
  <c r="AB542" i="2" s="1"/>
  <c r="C5" i="4"/>
  <c r="B5" i="4"/>
  <c r="C4" i="4"/>
  <c r="B4" i="4"/>
  <c r="C3" i="4"/>
  <c r="AC546" i="2" s="1"/>
  <c r="AE546" i="2" s="1"/>
  <c r="AJ546" i="2" s="1"/>
  <c r="B3" i="4"/>
  <c r="AB545" i="2" s="1"/>
  <c r="AH568" i="2"/>
  <c r="AB568" i="2"/>
  <c r="AA568" i="2"/>
  <c r="W568" i="2"/>
  <c r="L568" i="2"/>
  <c r="K568" i="2"/>
  <c r="AH567" i="2"/>
  <c r="AC567" i="2"/>
  <c r="AB567" i="2"/>
  <c r="AA567" i="2"/>
  <c r="W567" i="2"/>
  <c r="L567" i="2"/>
  <c r="K567" i="2"/>
  <c r="AH566" i="2"/>
  <c r="AC566" i="2"/>
  <c r="AB566" i="2"/>
  <c r="AA566" i="2"/>
  <c r="W566" i="2"/>
  <c r="L566" i="2"/>
  <c r="K566" i="2"/>
  <c r="AH565" i="2"/>
  <c r="AC565" i="2"/>
  <c r="AB565" i="2"/>
  <c r="AA565" i="2"/>
  <c r="W565" i="2"/>
  <c r="L565" i="2"/>
  <c r="K565" i="2"/>
  <c r="AH564" i="2"/>
  <c r="AC564" i="2"/>
  <c r="AB564" i="2"/>
  <c r="AD564" i="2" s="1"/>
  <c r="AI564" i="2" s="1"/>
  <c r="AA564" i="2"/>
  <c r="W564" i="2"/>
  <c r="L564" i="2"/>
  <c r="AE564" i="2" s="1"/>
  <c r="K564" i="2"/>
  <c r="AH563" i="2"/>
  <c r="AE563" i="2"/>
  <c r="AJ563" i="2" s="1"/>
  <c r="AC563" i="2"/>
  <c r="AB563" i="2"/>
  <c r="AA563" i="2"/>
  <c r="W563" i="2"/>
  <c r="L563" i="2"/>
  <c r="K563" i="2"/>
  <c r="AH562" i="2"/>
  <c r="AE562" i="2"/>
  <c r="AJ562" i="2" s="1"/>
  <c r="AD562" i="2"/>
  <c r="AI562" i="2" s="1"/>
  <c r="AC562" i="2"/>
  <c r="AB562" i="2"/>
  <c r="AA562" i="2"/>
  <c r="W562" i="2"/>
  <c r="L562" i="2"/>
  <c r="K562" i="2"/>
  <c r="AI561" i="2"/>
  <c r="AH561" i="2"/>
  <c r="AC561" i="2"/>
  <c r="AB561" i="2"/>
  <c r="AA561" i="2"/>
  <c r="W561" i="2"/>
  <c r="L561" i="2"/>
  <c r="AE561" i="2" s="1"/>
  <c r="AJ561" i="2" s="1"/>
  <c r="K561" i="2"/>
  <c r="AD561" i="2" s="1"/>
  <c r="AH560" i="2"/>
  <c r="AC560" i="2"/>
  <c r="AB560" i="2"/>
  <c r="AA560" i="2"/>
  <c r="AE560" i="2" s="1"/>
  <c r="AJ560" i="2" s="1"/>
  <c r="W560" i="2"/>
  <c r="L560" i="2"/>
  <c r="K560" i="2"/>
  <c r="AH559" i="2"/>
  <c r="AC559" i="2"/>
  <c r="AB559" i="2"/>
  <c r="AA559" i="2"/>
  <c r="W559" i="2"/>
  <c r="L559" i="2"/>
  <c r="K559" i="2"/>
  <c r="AH558" i="2"/>
  <c r="AC558" i="2"/>
  <c r="AB558" i="2"/>
  <c r="AA558" i="2"/>
  <c r="W558" i="2"/>
  <c r="L558" i="2"/>
  <c r="K558" i="2"/>
  <c r="AH557" i="2"/>
  <c r="AC557" i="2"/>
  <c r="AB557" i="2"/>
  <c r="AA557" i="2"/>
  <c r="W557" i="2"/>
  <c r="L557" i="2"/>
  <c r="K557" i="2"/>
  <c r="AH556" i="2"/>
  <c r="AC556" i="2"/>
  <c r="AB556" i="2"/>
  <c r="AD556" i="2" s="1"/>
  <c r="AI556" i="2" s="1"/>
  <c r="AA556" i="2"/>
  <c r="W556" i="2"/>
  <c r="L556" i="2"/>
  <c r="AE556" i="2" s="1"/>
  <c r="K556" i="2"/>
  <c r="AH555" i="2"/>
  <c r="AE555" i="2"/>
  <c r="AJ555" i="2" s="1"/>
  <c r="AC555" i="2"/>
  <c r="AB555" i="2"/>
  <c r="AA555" i="2"/>
  <c r="W555" i="2"/>
  <c r="L555" i="2"/>
  <c r="K555" i="2"/>
  <c r="AH554" i="2"/>
  <c r="AE554" i="2"/>
  <c r="AJ554" i="2" s="1"/>
  <c r="AD554" i="2"/>
  <c r="AI554" i="2" s="1"/>
  <c r="AC554" i="2"/>
  <c r="AB554" i="2"/>
  <c r="AA554" i="2"/>
  <c r="W554" i="2"/>
  <c r="L554" i="2"/>
  <c r="K554" i="2"/>
  <c r="AJ553" i="2"/>
  <c r="AH553" i="2"/>
  <c r="AC553" i="2"/>
  <c r="AB553" i="2"/>
  <c r="AA553" i="2"/>
  <c r="W553" i="2"/>
  <c r="L553" i="2"/>
  <c r="AE553" i="2" s="1"/>
  <c r="K553" i="2"/>
  <c r="AD553" i="2" s="1"/>
  <c r="AI553" i="2" s="1"/>
  <c r="AH552" i="2"/>
  <c r="AC552" i="2"/>
  <c r="AB552" i="2"/>
  <c r="AA552" i="2"/>
  <c r="AE552" i="2" s="1"/>
  <c r="AJ552" i="2" s="1"/>
  <c r="W552" i="2"/>
  <c r="L552" i="2"/>
  <c r="K552" i="2"/>
  <c r="AH551" i="2"/>
  <c r="AC551" i="2"/>
  <c r="AB551" i="2"/>
  <c r="AA551" i="2"/>
  <c r="W551" i="2"/>
  <c r="L551" i="2"/>
  <c r="K551" i="2"/>
  <c r="AH550" i="2"/>
  <c r="AC550" i="2"/>
  <c r="AB550" i="2"/>
  <c r="AA550" i="2"/>
  <c r="W550" i="2"/>
  <c r="L550" i="2"/>
  <c r="K550" i="2"/>
  <c r="AH549" i="2"/>
  <c r="AC549" i="2"/>
  <c r="AB549" i="2"/>
  <c r="AA549" i="2"/>
  <c r="W549" i="2"/>
  <c r="L549" i="2"/>
  <c r="K549" i="2"/>
  <c r="AH548" i="2"/>
  <c r="AC548" i="2"/>
  <c r="AB548" i="2"/>
  <c r="AD548" i="2" s="1"/>
  <c r="AI548" i="2" s="1"/>
  <c r="AA548" i="2"/>
  <c r="W548" i="2"/>
  <c r="L548" i="2"/>
  <c r="AE548" i="2" s="1"/>
  <c r="K548" i="2"/>
  <c r="AH547" i="2"/>
  <c r="AE547" i="2"/>
  <c r="AJ547" i="2" s="1"/>
  <c r="AC547" i="2"/>
  <c r="AB547" i="2"/>
  <c r="AA547" i="2"/>
  <c r="W547" i="2"/>
  <c r="L547" i="2"/>
  <c r="K547" i="2"/>
  <c r="AH546" i="2"/>
  <c r="AD546" i="2"/>
  <c r="AI546" i="2" s="1"/>
  <c r="AB546" i="2"/>
  <c r="AA546" i="2"/>
  <c r="W546" i="2"/>
  <c r="L546" i="2"/>
  <c r="K546" i="2"/>
  <c r="AI545" i="2"/>
  <c r="AH545" i="2"/>
  <c r="AC545" i="2"/>
  <c r="AA545" i="2"/>
  <c r="W545" i="2"/>
  <c r="L545" i="2"/>
  <c r="AE545" i="2" s="1"/>
  <c r="AJ545" i="2" s="1"/>
  <c r="K545" i="2"/>
  <c r="AD545" i="2" s="1"/>
  <c r="AH544" i="2"/>
  <c r="AJ544" i="2" s="1"/>
  <c r="AC544" i="2"/>
  <c r="AB544" i="2"/>
  <c r="AA544" i="2"/>
  <c r="AE544" i="2" s="1"/>
  <c r="W544" i="2"/>
  <c r="L544" i="2"/>
  <c r="K544" i="2"/>
  <c r="AH543" i="2"/>
  <c r="AE543" i="2"/>
  <c r="AJ543" i="2" s="1"/>
  <c r="AC543" i="2"/>
  <c r="AB543" i="2"/>
  <c r="AA543" i="2"/>
  <c r="W543" i="2"/>
  <c r="L543" i="2"/>
  <c r="K543" i="2"/>
  <c r="AH542" i="2"/>
  <c r="AA542" i="2"/>
  <c r="W542" i="2"/>
  <c r="L542" i="2"/>
  <c r="K542" i="2"/>
  <c r="AI541" i="2"/>
  <c r="AH541" i="2"/>
  <c r="AD541" i="2"/>
  <c r="AC541" i="2"/>
  <c r="AB541" i="2"/>
  <c r="AA541" i="2"/>
  <c r="W541" i="2"/>
  <c r="L541" i="2"/>
  <c r="K541" i="2"/>
  <c r="AH540" i="2"/>
  <c r="AC540" i="2"/>
  <c r="AB540" i="2"/>
  <c r="AA540" i="2"/>
  <c r="W540" i="2"/>
  <c r="L540" i="2"/>
  <c r="AE540" i="2" s="1"/>
  <c r="AJ540" i="2" s="1"/>
  <c r="K540" i="2"/>
  <c r="AD540" i="2" s="1"/>
  <c r="AI540" i="2" s="1"/>
  <c r="AH539" i="2"/>
  <c r="AC539" i="2"/>
  <c r="AB539" i="2"/>
  <c r="AA539" i="2"/>
  <c r="W539" i="2"/>
  <c r="L539" i="2"/>
  <c r="K539" i="2"/>
  <c r="AH538" i="2"/>
  <c r="AE538" i="2"/>
  <c r="AJ538" i="2" s="1"/>
  <c r="AC538" i="2"/>
  <c r="AB538" i="2"/>
  <c r="AD538" i="2" s="1"/>
  <c r="AI538" i="2" s="1"/>
  <c r="AA538" i="2"/>
  <c r="W538" i="2"/>
  <c r="L538" i="2"/>
  <c r="K538" i="2"/>
  <c r="AH537" i="2"/>
  <c r="AC537" i="2"/>
  <c r="AE537" i="2" s="1"/>
  <c r="AJ537" i="2" s="1"/>
  <c r="AB537" i="2"/>
  <c r="AA537" i="2"/>
  <c r="W537" i="2"/>
  <c r="L537" i="2"/>
  <c r="K537" i="2"/>
  <c r="AD537" i="2" s="1"/>
  <c r="AI537" i="2" s="1"/>
  <c r="AH536" i="2"/>
  <c r="AC536" i="2"/>
  <c r="AB536" i="2"/>
  <c r="AA536" i="2"/>
  <c r="W536" i="2"/>
  <c r="L536" i="2"/>
  <c r="K536" i="2"/>
  <c r="AH535" i="2"/>
  <c r="AC535" i="2"/>
  <c r="AE535" i="2" s="1"/>
  <c r="AJ535" i="2" s="1"/>
  <c r="AB535" i="2"/>
  <c r="AA535" i="2"/>
  <c r="W535" i="2"/>
  <c r="L535" i="2"/>
  <c r="K535" i="2"/>
  <c r="AH534" i="2"/>
  <c r="AJ534" i="2" s="1"/>
  <c r="AD534" i="2"/>
  <c r="AI534" i="2" s="1"/>
  <c r="AC534" i="2"/>
  <c r="AB534" i="2"/>
  <c r="AA534" i="2"/>
  <c r="AE534" i="2" s="1"/>
  <c r="W534" i="2"/>
  <c r="L534" i="2"/>
  <c r="K534" i="2"/>
  <c r="AH533" i="2"/>
  <c r="AD533" i="2"/>
  <c r="AI533" i="2" s="1"/>
  <c r="AC533" i="2"/>
  <c r="AB533" i="2"/>
  <c r="AA533" i="2"/>
  <c r="W533" i="2"/>
  <c r="L533" i="2"/>
  <c r="K533" i="2"/>
  <c r="AH532" i="2"/>
  <c r="AI532" i="2" s="1"/>
  <c r="AC532" i="2"/>
  <c r="AB532" i="2"/>
  <c r="AA532" i="2"/>
  <c r="W532" i="2"/>
  <c r="L532" i="2"/>
  <c r="AE532" i="2" s="1"/>
  <c r="K532" i="2"/>
  <c r="AD532" i="2" s="1"/>
  <c r="AH531" i="2"/>
  <c r="AC531" i="2"/>
  <c r="AB531" i="2"/>
  <c r="AA531" i="2"/>
  <c r="W531" i="2"/>
  <c r="L531" i="2"/>
  <c r="K531" i="2"/>
  <c r="AH530" i="2"/>
  <c r="AE530" i="2"/>
  <c r="AJ530" i="2" s="1"/>
  <c r="AC530" i="2"/>
  <c r="AB530" i="2"/>
  <c r="AD530" i="2" s="1"/>
  <c r="AI530" i="2" s="1"/>
  <c r="AA530" i="2"/>
  <c r="W530" i="2"/>
  <c r="L530" i="2"/>
  <c r="K530" i="2"/>
  <c r="AH529" i="2"/>
  <c r="AE529" i="2"/>
  <c r="AJ529" i="2" s="1"/>
  <c r="AC529" i="2"/>
  <c r="AB529" i="2"/>
  <c r="AA529" i="2"/>
  <c r="W529" i="2"/>
  <c r="L529" i="2"/>
  <c r="K529" i="2"/>
  <c r="AD529" i="2" s="1"/>
  <c r="AI529" i="2" s="1"/>
  <c r="AH528" i="2"/>
  <c r="AC528" i="2"/>
  <c r="AB528" i="2"/>
  <c r="AA528" i="2"/>
  <c r="W528" i="2"/>
  <c r="L528" i="2"/>
  <c r="K528" i="2"/>
  <c r="AH527" i="2"/>
  <c r="AE527" i="2"/>
  <c r="AJ527" i="2" s="1"/>
  <c r="AC527" i="2"/>
  <c r="AB527" i="2"/>
  <c r="AA527" i="2"/>
  <c r="W527" i="2"/>
  <c r="L527" i="2"/>
  <c r="K527" i="2"/>
  <c r="AH526" i="2"/>
  <c r="AJ526" i="2" s="1"/>
  <c r="AD526" i="2"/>
  <c r="AC526" i="2"/>
  <c r="AB526" i="2"/>
  <c r="AA526" i="2"/>
  <c r="AE526" i="2" s="1"/>
  <c r="W526" i="2"/>
  <c r="L526" i="2"/>
  <c r="K526" i="2"/>
  <c r="AI525" i="2"/>
  <c r="AH525" i="2"/>
  <c r="AD525" i="2"/>
  <c r="AC525" i="2"/>
  <c r="AB525" i="2"/>
  <c r="AA525" i="2"/>
  <c r="W525" i="2"/>
  <c r="L525" i="2"/>
  <c r="K525" i="2"/>
  <c r="AH524" i="2"/>
  <c r="AC524" i="2"/>
  <c r="AB524" i="2"/>
  <c r="AA524" i="2"/>
  <c r="W524" i="2"/>
  <c r="L524" i="2"/>
  <c r="AE524" i="2" s="1"/>
  <c r="K524" i="2"/>
  <c r="AD524" i="2" s="1"/>
  <c r="AH523" i="2"/>
  <c r="AC523" i="2"/>
  <c r="AB523" i="2"/>
  <c r="AA523" i="2"/>
  <c r="W523" i="2"/>
  <c r="L523" i="2"/>
  <c r="K523" i="2"/>
  <c r="AH522" i="2"/>
  <c r="AE522" i="2"/>
  <c r="AJ522" i="2" s="1"/>
  <c r="AC522" i="2"/>
  <c r="AB522" i="2"/>
  <c r="AD522" i="2" s="1"/>
  <c r="AI522" i="2" s="1"/>
  <c r="AA522" i="2"/>
  <c r="W522" i="2"/>
  <c r="L522" i="2"/>
  <c r="K522" i="2"/>
  <c r="AH521" i="2"/>
  <c r="AC521" i="2"/>
  <c r="AE521" i="2" s="1"/>
  <c r="AJ521" i="2" s="1"/>
  <c r="AB521" i="2"/>
  <c r="AA521" i="2"/>
  <c r="W521" i="2"/>
  <c r="L521" i="2"/>
  <c r="K521" i="2"/>
  <c r="AD521" i="2" s="1"/>
  <c r="AI521" i="2" s="1"/>
  <c r="AH520" i="2"/>
  <c r="AC520" i="2"/>
  <c r="AB520" i="2"/>
  <c r="AA520" i="2"/>
  <c r="W520" i="2"/>
  <c r="L520" i="2"/>
  <c r="K520" i="2"/>
  <c r="AH519" i="2"/>
  <c r="AC519" i="2"/>
  <c r="AE519" i="2" s="1"/>
  <c r="AJ519" i="2" s="1"/>
  <c r="AB519" i="2"/>
  <c r="AA519" i="2"/>
  <c r="W519" i="2"/>
  <c r="L519" i="2"/>
  <c r="K519" i="2"/>
  <c r="AH518" i="2"/>
  <c r="AJ518" i="2" s="1"/>
  <c r="AD518" i="2"/>
  <c r="AI518" i="2" s="1"/>
  <c r="AC518" i="2"/>
  <c r="AB518" i="2"/>
  <c r="AA518" i="2"/>
  <c r="AE518" i="2" s="1"/>
  <c r="W518" i="2"/>
  <c r="L518" i="2"/>
  <c r="K518" i="2"/>
  <c r="AH517" i="2"/>
  <c r="AD517" i="2"/>
  <c r="AI517" i="2" s="1"/>
  <c r="AC517" i="2"/>
  <c r="AB517" i="2"/>
  <c r="AA517" i="2"/>
  <c r="W517" i="2"/>
  <c r="L517" i="2"/>
  <c r="K517" i="2"/>
  <c r="AH516" i="2"/>
  <c r="AI516" i="2" s="1"/>
  <c r="AC516" i="2"/>
  <c r="AB516" i="2"/>
  <c r="AA516" i="2"/>
  <c r="W516" i="2"/>
  <c r="L516" i="2"/>
  <c r="AE516" i="2" s="1"/>
  <c r="K516" i="2"/>
  <c r="AD516" i="2" s="1"/>
  <c r="AH515" i="2"/>
  <c r="AC515" i="2"/>
  <c r="AB515" i="2"/>
  <c r="AA515" i="2"/>
  <c r="W515" i="2"/>
  <c r="L515" i="2"/>
  <c r="K515" i="2"/>
  <c r="AH514" i="2"/>
  <c r="AE514" i="2"/>
  <c r="AJ514" i="2" s="1"/>
  <c r="AC514" i="2"/>
  <c r="AB514" i="2"/>
  <c r="AD514" i="2" s="1"/>
  <c r="AI514" i="2" s="1"/>
  <c r="AA514" i="2"/>
  <c r="W514" i="2"/>
  <c r="L514" i="2"/>
  <c r="K514" i="2"/>
  <c r="AH513" i="2"/>
  <c r="AE513" i="2"/>
  <c r="AJ513" i="2" s="1"/>
  <c r="AC513" i="2"/>
  <c r="AB513" i="2"/>
  <c r="AA513" i="2"/>
  <c r="W513" i="2"/>
  <c r="L513" i="2"/>
  <c r="K513" i="2"/>
  <c r="AD513" i="2" s="1"/>
  <c r="AI513" i="2" s="1"/>
  <c r="AH512" i="2"/>
  <c r="AC512" i="2"/>
  <c r="AB512" i="2"/>
  <c r="AA512" i="2"/>
  <c r="W512" i="2"/>
  <c r="L512" i="2"/>
  <c r="K512" i="2"/>
  <c r="AH511" i="2"/>
  <c r="AE511" i="2"/>
  <c r="AJ511" i="2" s="1"/>
  <c r="AC511" i="2"/>
  <c r="AB511" i="2"/>
  <c r="AA511" i="2"/>
  <c r="W511" i="2"/>
  <c r="L511" i="2"/>
  <c r="K511" i="2"/>
  <c r="AH510" i="2"/>
  <c r="AD510" i="2"/>
  <c r="AB510" i="2"/>
  <c r="AA510" i="2"/>
  <c r="W510" i="2"/>
  <c r="L510" i="2"/>
  <c r="K510" i="2"/>
  <c r="AI509" i="2"/>
  <c r="AH509" i="2"/>
  <c r="AD509" i="2"/>
  <c r="AC509" i="2"/>
  <c r="AB509" i="2"/>
  <c r="AA509" i="2"/>
  <c r="W509" i="2"/>
  <c r="L509" i="2"/>
  <c r="K509" i="2"/>
  <c r="AI508" i="2"/>
  <c r="AH508" i="2"/>
  <c r="AC508" i="2"/>
  <c r="AB508" i="2"/>
  <c r="AA508" i="2"/>
  <c r="W508" i="2"/>
  <c r="L508" i="2"/>
  <c r="AE508" i="2" s="1"/>
  <c r="AJ508" i="2" s="1"/>
  <c r="K508" i="2"/>
  <c r="AD508" i="2" s="1"/>
  <c r="AI507" i="2"/>
  <c r="AH507" i="2"/>
  <c r="AC507" i="2"/>
  <c r="AB507" i="2"/>
  <c r="AA507" i="2"/>
  <c r="AD507" i="2" s="1"/>
  <c r="W507" i="2"/>
  <c r="L507" i="2"/>
  <c r="K507" i="2"/>
  <c r="AJ506" i="2"/>
  <c r="AH506" i="2"/>
  <c r="AE506" i="2"/>
  <c r="AB506" i="2"/>
  <c r="AD506" i="2" s="1"/>
  <c r="AI506" i="2" s="1"/>
  <c r="AA506" i="2"/>
  <c r="W506" i="2"/>
  <c r="L506" i="2"/>
  <c r="K506" i="2"/>
  <c r="AH505" i="2"/>
  <c r="AC505" i="2"/>
  <c r="AE505" i="2" s="1"/>
  <c r="AJ505" i="2" s="1"/>
  <c r="AB505" i="2"/>
  <c r="AA505" i="2"/>
  <c r="W505" i="2"/>
  <c r="L505" i="2"/>
  <c r="K505" i="2"/>
  <c r="AD505" i="2" s="1"/>
  <c r="AI505" i="2" s="1"/>
  <c r="AH504" i="2"/>
  <c r="AC504" i="2"/>
  <c r="AB504" i="2"/>
  <c r="AA504" i="2"/>
  <c r="AE504" i="2" s="1"/>
  <c r="AJ504" i="2" s="1"/>
  <c r="W504" i="2"/>
  <c r="L504" i="2"/>
  <c r="K504" i="2"/>
  <c r="AH503" i="2"/>
  <c r="AC503" i="2"/>
  <c r="AB503" i="2"/>
  <c r="AA503" i="2"/>
  <c r="W503" i="2"/>
  <c r="L503" i="2"/>
  <c r="K503" i="2"/>
  <c r="AH502" i="2"/>
  <c r="AD502" i="2"/>
  <c r="AI502" i="2" s="1"/>
  <c r="AC502" i="2"/>
  <c r="AB502" i="2"/>
  <c r="AA502" i="2"/>
  <c r="AE502" i="2" s="1"/>
  <c r="AJ502" i="2" s="1"/>
  <c r="W502" i="2"/>
  <c r="L502" i="2"/>
  <c r="K502" i="2"/>
  <c r="AH501" i="2"/>
  <c r="AD501" i="2"/>
  <c r="AI501" i="2" s="1"/>
  <c r="AC501" i="2"/>
  <c r="AB501" i="2"/>
  <c r="AA501" i="2"/>
  <c r="W501" i="2"/>
  <c r="L501" i="2"/>
  <c r="K501" i="2"/>
  <c r="AH500" i="2"/>
  <c r="AD500" i="2"/>
  <c r="AI500" i="2" s="1"/>
  <c r="AC500" i="2"/>
  <c r="AB500" i="2"/>
  <c r="AA500" i="2"/>
  <c r="W500" i="2"/>
  <c r="L500" i="2"/>
  <c r="AE500" i="2" s="1"/>
  <c r="K500" i="2"/>
  <c r="AH499" i="2"/>
  <c r="AC499" i="2"/>
  <c r="AB499" i="2"/>
  <c r="AA499" i="2"/>
  <c r="W499" i="2"/>
  <c r="L499" i="2"/>
  <c r="AE499" i="2" s="1"/>
  <c r="AJ499" i="2" s="1"/>
  <c r="K499" i="2"/>
  <c r="AJ498" i="2"/>
  <c r="AH498" i="2"/>
  <c r="AE498" i="2"/>
  <c r="AC498" i="2"/>
  <c r="AB498" i="2"/>
  <c r="AD498" i="2" s="1"/>
  <c r="AI498" i="2" s="1"/>
  <c r="AA498" i="2"/>
  <c r="W498" i="2"/>
  <c r="L498" i="2"/>
  <c r="K498" i="2"/>
  <c r="AH497" i="2"/>
  <c r="AC497" i="2"/>
  <c r="AE497" i="2" s="1"/>
  <c r="AJ497" i="2" s="1"/>
  <c r="AB497" i="2"/>
  <c r="AA497" i="2"/>
  <c r="W497" i="2"/>
  <c r="L497" i="2"/>
  <c r="K497" i="2"/>
  <c r="AD497" i="2" s="1"/>
  <c r="AI497" i="2" s="1"/>
  <c r="AH496" i="2"/>
  <c r="AC496" i="2"/>
  <c r="AB496" i="2"/>
  <c r="AA496" i="2"/>
  <c r="AE496" i="2" s="1"/>
  <c r="AJ496" i="2" s="1"/>
  <c r="W496" i="2"/>
  <c r="L496" i="2"/>
  <c r="K496" i="2"/>
  <c r="AH495" i="2"/>
  <c r="AC495" i="2"/>
  <c r="AB495" i="2"/>
  <c r="AA495" i="2"/>
  <c r="W495" i="2"/>
  <c r="L495" i="2"/>
  <c r="K495" i="2"/>
  <c r="AH494" i="2"/>
  <c r="AD494" i="2"/>
  <c r="AI494" i="2" s="1"/>
  <c r="AC494" i="2"/>
  <c r="AB494" i="2"/>
  <c r="AA494" i="2"/>
  <c r="AE494" i="2" s="1"/>
  <c r="AJ494" i="2" s="1"/>
  <c r="W494" i="2"/>
  <c r="L494" i="2"/>
  <c r="K494" i="2"/>
  <c r="AH493" i="2"/>
  <c r="AD493" i="2"/>
  <c r="AI493" i="2" s="1"/>
  <c r="AC493" i="2"/>
  <c r="AB493" i="2"/>
  <c r="AA493" i="2"/>
  <c r="W493" i="2"/>
  <c r="L493" i="2"/>
  <c r="K493" i="2"/>
  <c r="AH492" i="2"/>
  <c r="AD492" i="2"/>
  <c r="AI492" i="2" s="1"/>
  <c r="AC492" i="2"/>
  <c r="AB492" i="2"/>
  <c r="AA492" i="2"/>
  <c r="W492" i="2"/>
  <c r="L492" i="2"/>
  <c r="AE492" i="2" s="1"/>
  <c r="K492" i="2"/>
  <c r="AH491" i="2"/>
  <c r="AC491" i="2"/>
  <c r="AB491" i="2"/>
  <c r="AA491" i="2"/>
  <c r="W491" i="2"/>
  <c r="L491" i="2"/>
  <c r="AE491" i="2" s="1"/>
  <c r="AJ491" i="2" s="1"/>
  <c r="K491" i="2"/>
  <c r="AJ490" i="2"/>
  <c r="AH490" i="2"/>
  <c r="AE490" i="2"/>
  <c r="AC490" i="2"/>
  <c r="AB490" i="2"/>
  <c r="AD490" i="2" s="1"/>
  <c r="AI490" i="2" s="1"/>
  <c r="AA490" i="2"/>
  <c r="W490" i="2"/>
  <c r="L490" i="2"/>
  <c r="K490" i="2"/>
  <c r="AH489" i="2"/>
  <c r="AC489" i="2"/>
  <c r="AE489" i="2" s="1"/>
  <c r="AJ489" i="2" s="1"/>
  <c r="AB489" i="2"/>
  <c r="AA489" i="2"/>
  <c r="W489" i="2"/>
  <c r="L489" i="2"/>
  <c r="K489" i="2"/>
  <c r="AD489" i="2" s="1"/>
  <c r="AI489" i="2" s="1"/>
  <c r="AH488" i="2"/>
  <c r="AC488" i="2"/>
  <c r="AB488" i="2"/>
  <c r="AA488" i="2"/>
  <c r="AE488" i="2" s="1"/>
  <c r="AJ488" i="2" s="1"/>
  <c r="W488" i="2"/>
  <c r="L488" i="2"/>
  <c r="K488" i="2"/>
  <c r="AH487" i="2"/>
  <c r="AC487" i="2"/>
  <c r="AB487" i="2"/>
  <c r="AA487" i="2"/>
  <c r="W487" i="2"/>
  <c r="L487" i="2"/>
  <c r="K487" i="2"/>
  <c r="AH486" i="2"/>
  <c r="AD486" i="2"/>
  <c r="AI486" i="2" s="1"/>
  <c r="AC486" i="2"/>
  <c r="AB486" i="2"/>
  <c r="AA486" i="2"/>
  <c r="AE486" i="2" s="1"/>
  <c r="AJ486" i="2" s="1"/>
  <c r="W486" i="2"/>
  <c r="L486" i="2"/>
  <c r="K486" i="2"/>
  <c r="AH485" i="2"/>
  <c r="AD485" i="2"/>
  <c r="AI485" i="2" s="1"/>
  <c r="AC485" i="2"/>
  <c r="AB485" i="2"/>
  <c r="AA485" i="2"/>
  <c r="W485" i="2"/>
  <c r="L485" i="2"/>
  <c r="K485" i="2"/>
  <c r="AH484" i="2"/>
  <c r="AD484" i="2"/>
  <c r="AI484" i="2" s="1"/>
  <c r="AC484" i="2"/>
  <c r="AB484" i="2"/>
  <c r="AA484" i="2"/>
  <c r="W484" i="2"/>
  <c r="L484" i="2"/>
  <c r="AE484" i="2" s="1"/>
  <c r="K484" i="2"/>
  <c r="AH483" i="2"/>
  <c r="AC483" i="2"/>
  <c r="AB483" i="2"/>
  <c r="AA483" i="2"/>
  <c r="W483" i="2"/>
  <c r="L483" i="2"/>
  <c r="AE483" i="2" s="1"/>
  <c r="AJ483" i="2" s="1"/>
  <c r="K483" i="2"/>
  <c r="AH482" i="2"/>
  <c r="AD482" i="2"/>
  <c r="AI482" i="2" s="1"/>
  <c r="AB482" i="2"/>
  <c r="AA482" i="2"/>
  <c r="W482" i="2"/>
  <c r="L482" i="2"/>
  <c r="K482" i="2"/>
  <c r="AJ481" i="2"/>
  <c r="AH481" i="2"/>
  <c r="AC481" i="2"/>
  <c r="AB481" i="2"/>
  <c r="AA481" i="2"/>
  <c r="W481" i="2"/>
  <c r="L481" i="2"/>
  <c r="AE481" i="2" s="1"/>
  <c r="K481" i="2"/>
  <c r="AD481" i="2" s="1"/>
  <c r="AI481" i="2" s="1"/>
  <c r="AH480" i="2"/>
  <c r="AC480" i="2"/>
  <c r="AB480" i="2"/>
  <c r="AA480" i="2"/>
  <c r="AE480" i="2" s="1"/>
  <c r="AJ480" i="2" s="1"/>
  <c r="W480" i="2"/>
  <c r="L480" i="2"/>
  <c r="K480" i="2"/>
  <c r="AH479" i="2"/>
  <c r="AC479" i="2"/>
  <c r="AB479" i="2"/>
  <c r="AA479" i="2"/>
  <c r="W479" i="2"/>
  <c r="L479" i="2"/>
  <c r="K479" i="2"/>
  <c r="AH478" i="2"/>
  <c r="AB478" i="2"/>
  <c r="AA478" i="2"/>
  <c r="W478" i="2"/>
  <c r="L478" i="2"/>
  <c r="K478" i="2"/>
  <c r="AH477" i="2"/>
  <c r="AC477" i="2"/>
  <c r="AB477" i="2"/>
  <c r="AA477" i="2"/>
  <c r="W477" i="2"/>
  <c r="L477" i="2"/>
  <c r="K477" i="2"/>
  <c r="AH476" i="2"/>
  <c r="AD476" i="2"/>
  <c r="AI476" i="2" s="1"/>
  <c r="AB476" i="2"/>
  <c r="AA476" i="2"/>
  <c r="W476" i="2"/>
  <c r="L476" i="2"/>
  <c r="K476" i="2"/>
  <c r="AH475" i="2"/>
  <c r="AB475" i="2"/>
  <c r="AA475" i="2"/>
  <c r="W475" i="2"/>
  <c r="L475" i="2"/>
  <c r="K475" i="2"/>
  <c r="AH474" i="2"/>
  <c r="AE474" i="2"/>
  <c r="AJ474" i="2" s="1"/>
  <c r="AC474" i="2"/>
  <c r="AB474" i="2"/>
  <c r="AD474" i="2" s="1"/>
  <c r="AI474" i="2" s="1"/>
  <c r="AA474" i="2"/>
  <c r="W474" i="2"/>
  <c r="L474" i="2"/>
  <c r="K474" i="2"/>
  <c r="AH473" i="2"/>
  <c r="AE473" i="2"/>
  <c r="AJ473" i="2" s="1"/>
  <c r="AC473" i="2"/>
  <c r="AB473" i="2"/>
  <c r="AA473" i="2"/>
  <c r="W473" i="2"/>
  <c r="L473" i="2"/>
  <c r="K473" i="2"/>
  <c r="AD473" i="2" s="1"/>
  <c r="AI473" i="2" s="1"/>
  <c r="AJ472" i="2"/>
  <c r="AH472" i="2"/>
  <c r="AC472" i="2"/>
  <c r="AB472" i="2"/>
  <c r="AA472" i="2"/>
  <c r="AE472" i="2" s="1"/>
  <c r="W472" i="2"/>
  <c r="L472" i="2"/>
  <c r="K472" i="2"/>
  <c r="AH471" i="2"/>
  <c r="AE471" i="2"/>
  <c r="AC471" i="2"/>
  <c r="AB471" i="2"/>
  <c r="AA471" i="2"/>
  <c r="W471" i="2"/>
  <c r="L471" i="2"/>
  <c r="K471" i="2"/>
  <c r="AJ470" i="2"/>
  <c r="AH470" i="2"/>
  <c r="AC470" i="2"/>
  <c r="AB470" i="2"/>
  <c r="AA470" i="2"/>
  <c r="AE470" i="2" s="1"/>
  <c r="W470" i="2"/>
  <c r="L470" i="2"/>
  <c r="K470" i="2"/>
  <c r="AH469" i="2"/>
  <c r="AC469" i="2"/>
  <c r="AB469" i="2"/>
  <c r="AA469" i="2"/>
  <c r="W469" i="2"/>
  <c r="L469" i="2"/>
  <c r="K469" i="2"/>
  <c r="AH468" i="2"/>
  <c r="AC468" i="2"/>
  <c r="AB468" i="2"/>
  <c r="AD468" i="2" s="1"/>
  <c r="AI468" i="2" s="1"/>
  <c r="AA468" i="2"/>
  <c r="W468" i="2"/>
  <c r="L468" i="2"/>
  <c r="AE468" i="2" s="1"/>
  <c r="AJ468" i="2" s="1"/>
  <c r="K468" i="2"/>
  <c r="AH467" i="2"/>
  <c r="AC467" i="2"/>
  <c r="AB467" i="2"/>
  <c r="AA467" i="2"/>
  <c r="W467" i="2"/>
  <c r="L467" i="2"/>
  <c r="K467" i="2"/>
  <c r="AH466" i="2"/>
  <c r="AE466" i="2"/>
  <c r="AJ466" i="2" s="1"/>
  <c r="AC466" i="2"/>
  <c r="AB466" i="2"/>
  <c r="AD466" i="2" s="1"/>
  <c r="AI466" i="2" s="1"/>
  <c r="AA466" i="2"/>
  <c r="W466" i="2"/>
  <c r="L466" i="2"/>
  <c r="K466" i="2"/>
  <c r="AH465" i="2"/>
  <c r="AE465" i="2"/>
  <c r="AJ465" i="2" s="1"/>
  <c r="AC465" i="2"/>
  <c r="AB465" i="2"/>
  <c r="AA465" i="2"/>
  <c r="W465" i="2"/>
  <c r="L465" i="2"/>
  <c r="K465" i="2"/>
  <c r="AD465" i="2" s="1"/>
  <c r="AI465" i="2" s="1"/>
  <c r="AH464" i="2"/>
  <c r="AC464" i="2"/>
  <c r="AB464" i="2"/>
  <c r="AA464" i="2"/>
  <c r="W464" i="2"/>
  <c r="L464" i="2"/>
  <c r="K464" i="2"/>
  <c r="AH463" i="2"/>
  <c r="AC463" i="2"/>
  <c r="AB463" i="2"/>
  <c r="AA463" i="2"/>
  <c r="W463" i="2"/>
  <c r="L463" i="2"/>
  <c r="K463" i="2"/>
  <c r="AH462" i="2"/>
  <c r="AE462" i="2"/>
  <c r="AJ462" i="2" s="1"/>
  <c r="AD462" i="2"/>
  <c r="AI462" i="2" s="1"/>
  <c r="AC462" i="2"/>
  <c r="AB462" i="2"/>
  <c r="AA462" i="2"/>
  <c r="W462" i="2"/>
  <c r="L462" i="2"/>
  <c r="K462" i="2"/>
  <c r="AH461" i="2"/>
  <c r="AD461" i="2"/>
  <c r="AI461" i="2" s="1"/>
  <c r="AC461" i="2"/>
  <c r="AB461" i="2"/>
  <c r="AA461" i="2"/>
  <c r="W461" i="2"/>
  <c r="L461" i="2"/>
  <c r="K461" i="2"/>
  <c r="AH460" i="2"/>
  <c r="AI460" i="2" s="1"/>
  <c r="AC460" i="2"/>
  <c r="AB460" i="2"/>
  <c r="AA460" i="2"/>
  <c r="W460" i="2"/>
  <c r="L460" i="2"/>
  <c r="AE460" i="2" s="1"/>
  <c r="K460" i="2"/>
  <c r="AD460" i="2" s="1"/>
  <c r="AH459" i="2"/>
  <c r="AC459" i="2"/>
  <c r="AB459" i="2"/>
  <c r="AA459" i="2"/>
  <c r="W459" i="2"/>
  <c r="L459" i="2"/>
  <c r="K459" i="2"/>
  <c r="AH458" i="2"/>
  <c r="AE458" i="2"/>
  <c r="AJ458" i="2" s="1"/>
  <c r="AD458" i="2"/>
  <c r="AI458" i="2" s="1"/>
  <c r="AC458" i="2"/>
  <c r="AB458" i="2"/>
  <c r="AA458" i="2"/>
  <c r="W458" i="2"/>
  <c r="L458" i="2"/>
  <c r="K458" i="2"/>
  <c r="AJ457" i="2"/>
  <c r="AI457" i="2"/>
  <c r="AH457" i="2"/>
  <c r="AC457" i="2"/>
  <c r="AB457" i="2"/>
  <c r="AA457" i="2"/>
  <c r="W457" i="2"/>
  <c r="L457" i="2"/>
  <c r="AE457" i="2" s="1"/>
  <c r="K457" i="2"/>
  <c r="AD457" i="2" s="1"/>
  <c r="AH456" i="2"/>
  <c r="AC456" i="2"/>
  <c r="AB456" i="2"/>
  <c r="AA456" i="2"/>
  <c r="W456" i="2"/>
  <c r="L456" i="2"/>
  <c r="K456" i="2"/>
  <c r="AH455" i="2"/>
  <c r="AC455" i="2"/>
  <c r="AB455" i="2"/>
  <c r="AA455" i="2"/>
  <c r="W455" i="2"/>
  <c r="L455" i="2"/>
  <c r="K455" i="2"/>
  <c r="AH454" i="2"/>
  <c r="AB454" i="2"/>
  <c r="AA454" i="2"/>
  <c r="W454" i="2"/>
  <c r="L454" i="2"/>
  <c r="K454" i="2"/>
  <c r="AI453" i="2"/>
  <c r="AH453" i="2"/>
  <c r="AD453" i="2"/>
  <c r="AC453" i="2"/>
  <c r="AB453" i="2"/>
  <c r="AA453" i="2"/>
  <c r="W453" i="2"/>
  <c r="L453" i="2"/>
  <c r="K453" i="2"/>
  <c r="AH452" i="2"/>
  <c r="AC452" i="2"/>
  <c r="AB452" i="2"/>
  <c r="AA452" i="2"/>
  <c r="W452" i="2"/>
  <c r="L452" i="2"/>
  <c r="AE452" i="2" s="1"/>
  <c r="AJ452" i="2" s="1"/>
  <c r="K452" i="2"/>
  <c r="AD452" i="2" s="1"/>
  <c r="AI452" i="2" s="1"/>
  <c r="AH451" i="2"/>
  <c r="AC451" i="2"/>
  <c r="AB451" i="2"/>
  <c r="AA451" i="2"/>
  <c r="W451" i="2"/>
  <c r="L451" i="2"/>
  <c r="K451" i="2"/>
  <c r="AH450" i="2"/>
  <c r="AC450" i="2"/>
  <c r="AB450" i="2"/>
  <c r="AA450" i="2"/>
  <c r="W450" i="2"/>
  <c r="L450" i="2"/>
  <c r="K450" i="2"/>
  <c r="AH449" i="2"/>
  <c r="AE449" i="2"/>
  <c r="AJ449" i="2" s="1"/>
  <c r="AD449" i="2"/>
  <c r="AI449" i="2" s="1"/>
  <c r="AC449" i="2"/>
  <c r="AB449" i="2"/>
  <c r="AA449" i="2"/>
  <c r="W449" i="2"/>
  <c r="L449" i="2"/>
  <c r="K449" i="2"/>
  <c r="AH448" i="2"/>
  <c r="AC448" i="2"/>
  <c r="AB448" i="2"/>
  <c r="AA448" i="2"/>
  <c r="W448" i="2"/>
  <c r="L448" i="2"/>
  <c r="K448" i="2"/>
  <c r="AH447" i="2"/>
  <c r="AC447" i="2"/>
  <c r="AB447" i="2"/>
  <c r="AA447" i="2"/>
  <c r="W447" i="2"/>
  <c r="L447" i="2"/>
  <c r="K447" i="2"/>
  <c r="AH446" i="2"/>
  <c r="AC446" i="2"/>
  <c r="AB446" i="2"/>
  <c r="AA446" i="2"/>
  <c r="W446" i="2"/>
  <c r="L446" i="2"/>
  <c r="K446" i="2"/>
  <c r="AH445" i="2"/>
  <c r="AD445" i="2"/>
  <c r="AI445" i="2" s="1"/>
  <c r="AC445" i="2"/>
  <c r="AB445" i="2"/>
  <c r="AA445" i="2"/>
  <c r="W445" i="2"/>
  <c r="L445" i="2"/>
  <c r="K445" i="2"/>
  <c r="AH444" i="2"/>
  <c r="AC444" i="2"/>
  <c r="AB444" i="2"/>
  <c r="AA444" i="2"/>
  <c r="W444" i="2"/>
  <c r="L444" i="2"/>
  <c r="AE444" i="2" s="1"/>
  <c r="AJ444" i="2" s="1"/>
  <c r="K444" i="2"/>
  <c r="AD444" i="2" s="1"/>
  <c r="AH443" i="2"/>
  <c r="AC443" i="2"/>
  <c r="AB443" i="2"/>
  <c r="AA443" i="2"/>
  <c r="W443" i="2"/>
  <c r="L443" i="2"/>
  <c r="K443" i="2"/>
  <c r="AH442" i="2"/>
  <c r="AD442" i="2"/>
  <c r="AI442" i="2" s="1"/>
  <c r="AC442" i="2"/>
  <c r="AB442" i="2"/>
  <c r="AA442" i="2"/>
  <c r="W442" i="2"/>
  <c r="L442" i="2"/>
  <c r="K442" i="2"/>
  <c r="AH441" i="2"/>
  <c r="AE441" i="2"/>
  <c r="AJ441" i="2" s="1"/>
  <c r="AC441" i="2"/>
  <c r="AB441" i="2"/>
  <c r="AA441" i="2"/>
  <c r="W441" i="2"/>
  <c r="L441" i="2"/>
  <c r="K441" i="2"/>
  <c r="AD441" i="2" s="1"/>
  <c r="AI441" i="2" s="1"/>
  <c r="AH440" i="2"/>
  <c r="AC440" i="2"/>
  <c r="AB440" i="2"/>
  <c r="AA440" i="2"/>
  <c r="W440" i="2"/>
  <c r="L440" i="2"/>
  <c r="K440" i="2"/>
  <c r="AH439" i="2"/>
  <c r="AC439" i="2"/>
  <c r="AB439" i="2"/>
  <c r="AA439" i="2"/>
  <c r="W439" i="2"/>
  <c r="L439" i="2"/>
  <c r="K439" i="2"/>
  <c r="AH438" i="2"/>
  <c r="AC438" i="2"/>
  <c r="AB438" i="2"/>
  <c r="AA438" i="2"/>
  <c r="W438" i="2"/>
  <c r="L438" i="2"/>
  <c r="K438" i="2"/>
  <c r="AI437" i="2"/>
  <c r="AH437" i="2"/>
  <c r="AD437" i="2"/>
  <c r="AC437" i="2"/>
  <c r="AB437" i="2"/>
  <c r="AA437" i="2"/>
  <c r="W437" i="2"/>
  <c r="L437" i="2"/>
  <c r="K437" i="2"/>
  <c r="AH436" i="2"/>
  <c r="AC436" i="2"/>
  <c r="AB436" i="2"/>
  <c r="AA436" i="2"/>
  <c r="W436" i="2"/>
  <c r="L436" i="2"/>
  <c r="AE436" i="2" s="1"/>
  <c r="AJ436" i="2" s="1"/>
  <c r="K436" i="2"/>
  <c r="AD436" i="2" s="1"/>
  <c r="AI436" i="2" s="1"/>
  <c r="AH435" i="2"/>
  <c r="AC435" i="2"/>
  <c r="AB435" i="2"/>
  <c r="AA435" i="2"/>
  <c r="W435" i="2"/>
  <c r="L435" i="2"/>
  <c r="K435" i="2"/>
  <c r="AH434" i="2"/>
  <c r="AC434" i="2"/>
  <c r="AB434" i="2"/>
  <c r="AA434" i="2"/>
  <c r="W434" i="2"/>
  <c r="L434" i="2"/>
  <c r="K434" i="2"/>
  <c r="AH433" i="2"/>
  <c r="AE433" i="2"/>
  <c r="AJ433" i="2" s="1"/>
  <c r="AD433" i="2"/>
  <c r="AI433" i="2" s="1"/>
  <c r="AC433" i="2"/>
  <c r="AB433" i="2"/>
  <c r="AA433" i="2"/>
  <c r="W433" i="2"/>
  <c r="L433" i="2"/>
  <c r="K433" i="2"/>
  <c r="AH432" i="2"/>
  <c r="AC432" i="2"/>
  <c r="AB432" i="2"/>
  <c r="AA432" i="2"/>
  <c r="W432" i="2"/>
  <c r="L432" i="2"/>
  <c r="K432" i="2"/>
  <c r="AH431" i="2"/>
  <c r="AC431" i="2"/>
  <c r="AB431" i="2"/>
  <c r="AA431" i="2"/>
  <c r="W431" i="2"/>
  <c r="L431" i="2"/>
  <c r="K431" i="2"/>
  <c r="AH430" i="2"/>
  <c r="AC430" i="2"/>
  <c r="AB430" i="2"/>
  <c r="AA430" i="2"/>
  <c r="W430" i="2"/>
  <c r="L430" i="2"/>
  <c r="K430" i="2"/>
  <c r="AH429" i="2"/>
  <c r="AD429" i="2"/>
  <c r="AI429" i="2" s="1"/>
  <c r="AC429" i="2"/>
  <c r="AB429" i="2"/>
  <c r="AA429" i="2"/>
  <c r="W429" i="2"/>
  <c r="L429" i="2"/>
  <c r="K429" i="2"/>
  <c r="AH428" i="2"/>
  <c r="AE428" i="2"/>
  <c r="AJ428" i="2" s="1"/>
  <c r="AC428" i="2"/>
  <c r="AB428" i="2"/>
  <c r="AA428" i="2"/>
  <c r="W428" i="2"/>
  <c r="L428" i="2"/>
  <c r="K428" i="2"/>
  <c r="AD428" i="2" s="1"/>
  <c r="AH427" i="2"/>
  <c r="AB427" i="2"/>
  <c r="AA427" i="2"/>
  <c r="W427" i="2"/>
  <c r="L427" i="2"/>
  <c r="K427" i="2"/>
  <c r="AH426" i="2"/>
  <c r="AC426" i="2"/>
  <c r="AB426" i="2"/>
  <c r="AA426" i="2"/>
  <c r="W426" i="2"/>
  <c r="L426" i="2"/>
  <c r="K426" i="2"/>
  <c r="AH425" i="2"/>
  <c r="AC425" i="2"/>
  <c r="AE425" i="2" s="1"/>
  <c r="AJ425" i="2" s="1"/>
  <c r="AB425" i="2"/>
  <c r="AA425" i="2"/>
  <c r="W425" i="2"/>
  <c r="L425" i="2"/>
  <c r="K425" i="2"/>
  <c r="AD425" i="2" s="1"/>
  <c r="AI425" i="2" s="1"/>
  <c r="AH424" i="2"/>
  <c r="AC424" i="2"/>
  <c r="AB424" i="2"/>
  <c r="AA424" i="2"/>
  <c r="W424" i="2"/>
  <c r="L424" i="2"/>
  <c r="K424" i="2"/>
  <c r="AH423" i="2"/>
  <c r="AE423" i="2"/>
  <c r="AJ423" i="2" s="1"/>
  <c r="AC423" i="2"/>
  <c r="AB423" i="2"/>
  <c r="AA423" i="2"/>
  <c r="W423" i="2"/>
  <c r="L423" i="2"/>
  <c r="K423" i="2"/>
  <c r="AH422" i="2"/>
  <c r="AC422" i="2"/>
  <c r="AB422" i="2"/>
  <c r="AA422" i="2"/>
  <c r="W422" i="2"/>
  <c r="L422" i="2"/>
  <c r="K422" i="2"/>
  <c r="AH421" i="2"/>
  <c r="AD421" i="2"/>
  <c r="AI421" i="2" s="1"/>
  <c r="AC421" i="2"/>
  <c r="AB421" i="2"/>
  <c r="AA421" i="2"/>
  <c r="W421" i="2"/>
  <c r="L421" i="2"/>
  <c r="K421" i="2"/>
  <c r="AH420" i="2"/>
  <c r="AC420" i="2"/>
  <c r="AB420" i="2"/>
  <c r="AA420" i="2"/>
  <c r="W420" i="2"/>
  <c r="L420" i="2"/>
  <c r="AE420" i="2" s="1"/>
  <c r="AJ420" i="2" s="1"/>
  <c r="K420" i="2"/>
  <c r="AD420" i="2" s="1"/>
  <c r="AI420" i="2" s="1"/>
  <c r="AH419" i="2"/>
  <c r="AC419" i="2"/>
  <c r="AB419" i="2"/>
  <c r="AA419" i="2"/>
  <c r="W419" i="2"/>
  <c r="L419" i="2"/>
  <c r="K419" i="2"/>
  <c r="AH418" i="2"/>
  <c r="AC418" i="2"/>
  <c r="AB418" i="2"/>
  <c r="AA418" i="2"/>
  <c r="W418" i="2"/>
  <c r="L418" i="2"/>
  <c r="K418" i="2"/>
  <c r="AH417" i="2"/>
  <c r="AC417" i="2"/>
  <c r="AE417" i="2" s="1"/>
  <c r="AJ417" i="2" s="1"/>
  <c r="AB417" i="2"/>
  <c r="AA417" i="2"/>
  <c r="W417" i="2"/>
  <c r="L417" i="2"/>
  <c r="K417" i="2"/>
  <c r="AD417" i="2" s="1"/>
  <c r="AI417" i="2" s="1"/>
  <c r="AH416" i="2"/>
  <c r="AC416" i="2"/>
  <c r="AB416" i="2"/>
  <c r="AA416" i="2"/>
  <c r="W416" i="2"/>
  <c r="L416" i="2"/>
  <c r="K416" i="2"/>
  <c r="AH415" i="2"/>
  <c r="AE415" i="2"/>
  <c r="AC415" i="2"/>
  <c r="AB415" i="2"/>
  <c r="AA415" i="2"/>
  <c r="AD415" i="2" s="1"/>
  <c r="AI415" i="2" s="1"/>
  <c r="W415" i="2"/>
  <c r="L415" i="2"/>
  <c r="K415" i="2"/>
  <c r="AH414" i="2"/>
  <c r="AC414" i="2"/>
  <c r="AB414" i="2"/>
  <c r="AA414" i="2"/>
  <c r="W414" i="2"/>
  <c r="L414" i="2"/>
  <c r="K414" i="2"/>
  <c r="AH413" i="2"/>
  <c r="AC413" i="2"/>
  <c r="AB413" i="2"/>
  <c r="AD413" i="2" s="1"/>
  <c r="AI413" i="2" s="1"/>
  <c r="AA413" i="2"/>
  <c r="W413" i="2"/>
  <c r="L413" i="2"/>
  <c r="K413" i="2"/>
  <c r="AH412" i="2"/>
  <c r="AE412" i="2"/>
  <c r="AJ412" i="2" s="1"/>
  <c r="AD412" i="2"/>
  <c r="AI412" i="2" s="1"/>
  <c r="AC412" i="2"/>
  <c r="AB412" i="2"/>
  <c r="AA412" i="2"/>
  <c r="W412" i="2"/>
  <c r="L412" i="2"/>
  <c r="K412" i="2"/>
  <c r="AH411" i="2"/>
  <c r="AC411" i="2"/>
  <c r="AB411" i="2"/>
  <c r="AA411" i="2"/>
  <c r="W411" i="2"/>
  <c r="L411" i="2"/>
  <c r="K411" i="2"/>
  <c r="AH410" i="2"/>
  <c r="AC410" i="2"/>
  <c r="AB410" i="2"/>
  <c r="AA410" i="2"/>
  <c r="W410" i="2"/>
  <c r="L410" i="2"/>
  <c r="K410" i="2"/>
  <c r="AH409" i="2"/>
  <c r="AC409" i="2"/>
  <c r="AE409" i="2" s="1"/>
  <c r="AJ409" i="2" s="1"/>
  <c r="AB409" i="2"/>
  <c r="AA409" i="2"/>
  <c r="W409" i="2"/>
  <c r="L409" i="2"/>
  <c r="K409" i="2"/>
  <c r="AD409" i="2" s="1"/>
  <c r="AI409" i="2" s="1"/>
  <c r="AH408" i="2"/>
  <c r="AC408" i="2"/>
  <c r="AB408" i="2"/>
  <c r="AA408" i="2"/>
  <c r="W408" i="2"/>
  <c r="L408" i="2"/>
  <c r="K408" i="2"/>
  <c r="AH407" i="2"/>
  <c r="AD407" i="2"/>
  <c r="AI407" i="2" s="1"/>
  <c r="AC407" i="2"/>
  <c r="AB407" i="2"/>
  <c r="AA407" i="2"/>
  <c r="W407" i="2"/>
  <c r="L407" i="2"/>
  <c r="K407" i="2"/>
  <c r="AH406" i="2"/>
  <c r="AC406" i="2"/>
  <c r="AB406" i="2"/>
  <c r="AA406" i="2"/>
  <c r="W406" i="2"/>
  <c r="L406" i="2"/>
  <c r="AE406" i="2" s="1"/>
  <c r="AJ406" i="2" s="1"/>
  <c r="K406" i="2"/>
  <c r="AD406" i="2" s="1"/>
  <c r="AI406" i="2" s="1"/>
  <c r="AH405" i="2"/>
  <c r="AC405" i="2"/>
  <c r="AB405" i="2"/>
  <c r="AA405" i="2"/>
  <c r="W405" i="2"/>
  <c r="L405" i="2"/>
  <c r="K405" i="2"/>
  <c r="AH404" i="2"/>
  <c r="AC404" i="2"/>
  <c r="AE404" i="2" s="1"/>
  <c r="AJ404" i="2" s="1"/>
  <c r="AB404" i="2"/>
  <c r="AD404" i="2" s="1"/>
  <c r="AI404" i="2" s="1"/>
  <c r="AA404" i="2"/>
  <c r="W404" i="2"/>
  <c r="L404" i="2"/>
  <c r="K404" i="2"/>
  <c r="AH403" i="2"/>
  <c r="AE403" i="2"/>
  <c r="AJ403" i="2" s="1"/>
  <c r="AC403" i="2"/>
  <c r="AB403" i="2"/>
  <c r="AA403" i="2"/>
  <c r="AD403" i="2" s="1"/>
  <c r="W403" i="2"/>
  <c r="L403" i="2"/>
  <c r="K403" i="2"/>
  <c r="AH402" i="2"/>
  <c r="AC402" i="2"/>
  <c r="AB402" i="2"/>
  <c r="AA402" i="2"/>
  <c r="W402" i="2"/>
  <c r="L402" i="2"/>
  <c r="K402" i="2"/>
  <c r="AH401" i="2"/>
  <c r="AD401" i="2"/>
  <c r="AI401" i="2" s="1"/>
  <c r="AC401" i="2"/>
  <c r="AE401" i="2" s="1"/>
  <c r="AJ401" i="2" s="1"/>
  <c r="AB401" i="2"/>
  <c r="AA401" i="2"/>
  <c r="W401" i="2"/>
  <c r="L401" i="2"/>
  <c r="K401" i="2"/>
  <c r="AH400" i="2"/>
  <c r="AC400" i="2"/>
  <c r="AB400" i="2"/>
  <c r="AA400" i="2"/>
  <c r="W400" i="2"/>
  <c r="L400" i="2"/>
  <c r="K400" i="2"/>
  <c r="AH399" i="2"/>
  <c r="AD399" i="2"/>
  <c r="AI399" i="2" s="1"/>
  <c r="AC399" i="2"/>
  <c r="AB399" i="2"/>
  <c r="AA399" i="2"/>
  <c r="W399" i="2"/>
  <c r="L399" i="2"/>
  <c r="K399" i="2"/>
  <c r="AH398" i="2"/>
  <c r="AE398" i="2"/>
  <c r="AJ398" i="2" s="1"/>
  <c r="AC398" i="2"/>
  <c r="AB398" i="2"/>
  <c r="AA398" i="2"/>
  <c r="W398" i="2"/>
  <c r="L398" i="2"/>
  <c r="K398" i="2"/>
  <c r="AD398" i="2" s="1"/>
  <c r="AI398" i="2" s="1"/>
  <c r="AH397" i="2"/>
  <c r="AC397" i="2"/>
  <c r="AB397" i="2"/>
  <c r="AA397" i="2"/>
  <c r="W397" i="2"/>
  <c r="L397" i="2"/>
  <c r="K397" i="2"/>
  <c r="AH396" i="2"/>
  <c r="AC396" i="2"/>
  <c r="AE396" i="2" s="1"/>
  <c r="AJ396" i="2" s="1"/>
  <c r="AB396" i="2"/>
  <c r="AD396" i="2" s="1"/>
  <c r="AI396" i="2" s="1"/>
  <c r="AA396" i="2"/>
  <c r="W396" i="2"/>
  <c r="L396" i="2"/>
  <c r="K396" i="2"/>
  <c r="AH395" i="2"/>
  <c r="AC395" i="2"/>
  <c r="AB395" i="2"/>
  <c r="AA395" i="2"/>
  <c r="W395" i="2"/>
  <c r="L395" i="2"/>
  <c r="K395" i="2"/>
  <c r="AH394" i="2"/>
  <c r="AC394" i="2"/>
  <c r="AB394" i="2"/>
  <c r="AD394" i="2" s="1"/>
  <c r="AI394" i="2" s="1"/>
  <c r="AA394" i="2"/>
  <c r="W394" i="2"/>
  <c r="L394" i="2"/>
  <c r="K394" i="2"/>
  <c r="AH393" i="2"/>
  <c r="AE393" i="2"/>
  <c r="AJ393" i="2" s="1"/>
  <c r="AD393" i="2"/>
  <c r="AI393" i="2" s="1"/>
  <c r="AC393" i="2"/>
  <c r="AB393" i="2"/>
  <c r="AA393" i="2"/>
  <c r="W393" i="2"/>
  <c r="L393" i="2"/>
  <c r="K393" i="2"/>
  <c r="AH392" i="2"/>
  <c r="AC392" i="2"/>
  <c r="AB392" i="2"/>
  <c r="AA392" i="2"/>
  <c r="W392" i="2"/>
  <c r="L392" i="2"/>
  <c r="K392" i="2"/>
  <c r="AH391" i="2"/>
  <c r="AD391" i="2"/>
  <c r="AI391" i="2" s="1"/>
  <c r="AC391" i="2"/>
  <c r="AB391" i="2"/>
  <c r="AA391" i="2"/>
  <c r="AE391" i="2" s="1"/>
  <c r="AJ391" i="2" s="1"/>
  <c r="W391" i="2"/>
  <c r="L391" i="2"/>
  <c r="K391" i="2"/>
  <c r="AI390" i="2"/>
  <c r="AH390" i="2"/>
  <c r="AD390" i="2"/>
  <c r="AC390" i="2"/>
  <c r="AB390" i="2"/>
  <c r="AA390" i="2"/>
  <c r="W390" i="2"/>
  <c r="L390" i="2"/>
  <c r="AE390" i="2" s="1"/>
  <c r="AJ390" i="2" s="1"/>
  <c r="K390" i="2"/>
  <c r="AH389" i="2"/>
  <c r="AC389" i="2"/>
  <c r="AB389" i="2"/>
  <c r="AA389" i="2"/>
  <c r="W389" i="2"/>
  <c r="L389" i="2"/>
  <c r="K389" i="2"/>
  <c r="AH388" i="2"/>
  <c r="AC388" i="2"/>
  <c r="AE388" i="2" s="1"/>
  <c r="AJ388" i="2" s="1"/>
  <c r="AB388" i="2"/>
  <c r="AD388" i="2" s="1"/>
  <c r="AI388" i="2" s="1"/>
  <c r="AA388" i="2"/>
  <c r="W388" i="2"/>
  <c r="L388" i="2"/>
  <c r="K388" i="2"/>
  <c r="AH387" i="2"/>
  <c r="AC387" i="2"/>
  <c r="AB387" i="2"/>
  <c r="AA387" i="2"/>
  <c r="W387" i="2"/>
  <c r="L387" i="2"/>
  <c r="K387" i="2"/>
  <c r="AH386" i="2"/>
  <c r="AC386" i="2"/>
  <c r="AB386" i="2"/>
  <c r="AD386" i="2" s="1"/>
  <c r="AI386" i="2" s="1"/>
  <c r="AA386" i="2"/>
  <c r="W386" i="2"/>
  <c r="L386" i="2"/>
  <c r="K386" i="2"/>
  <c r="AH385" i="2"/>
  <c r="AE385" i="2"/>
  <c r="AJ385" i="2" s="1"/>
  <c r="AD385" i="2"/>
  <c r="AI385" i="2" s="1"/>
  <c r="AC385" i="2"/>
  <c r="AB385" i="2"/>
  <c r="AA385" i="2"/>
  <c r="W385" i="2"/>
  <c r="L385" i="2"/>
  <c r="K385" i="2"/>
  <c r="AH384" i="2"/>
  <c r="AC384" i="2"/>
  <c r="AB384" i="2"/>
  <c r="AA384" i="2"/>
  <c r="W384" i="2"/>
  <c r="L384" i="2"/>
  <c r="K384" i="2"/>
  <c r="AH383" i="2"/>
  <c r="AC383" i="2"/>
  <c r="AB383" i="2"/>
  <c r="AA383" i="2"/>
  <c r="W383" i="2"/>
  <c r="L383" i="2"/>
  <c r="K383" i="2"/>
  <c r="AH382" i="2"/>
  <c r="AE382" i="2"/>
  <c r="AJ382" i="2" s="1"/>
  <c r="AD382" i="2"/>
  <c r="AI382" i="2" s="1"/>
  <c r="AC382" i="2"/>
  <c r="AB382" i="2"/>
  <c r="AA382" i="2"/>
  <c r="W382" i="2"/>
  <c r="L382" i="2"/>
  <c r="K382" i="2"/>
  <c r="AH381" i="2"/>
  <c r="AC381" i="2"/>
  <c r="AB381" i="2"/>
  <c r="AA381" i="2"/>
  <c r="W381" i="2"/>
  <c r="L381" i="2"/>
  <c r="K381" i="2"/>
  <c r="AJ380" i="2"/>
  <c r="AH380" i="2"/>
  <c r="AC380" i="2"/>
  <c r="AE380" i="2" s="1"/>
  <c r="AB380" i="2"/>
  <c r="AD380" i="2" s="1"/>
  <c r="AI380" i="2" s="1"/>
  <c r="AA380" i="2"/>
  <c r="W380" i="2"/>
  <c r="L380" i="2"/>
  <c r="K380" i="2"/>
  <c r="AH379" i="2"/>
  <c r="AC379" i="2"/>
  <c r="AE379" i="2" s="1"/>
  <c r="AJ379" i="2" s="1"/>
  <c r="AB379" i="2"/>
  <c r="AA379" i="2"/>
  <c r="W379" i="2"/>
  <c r="L379" i="2"/>
  <c r="K379" i="2"/>
  <c r="AH378" i="2"/>
  <c r="AE378" i="2"/>
  <c r="AJ378" i="2" s="1"/>
  <c r="AD378" i="2"/>
  <c r="AI378" i="2" s="1"/>
  <c r="AC378" i="2"/>
  <c r="AB378" i="2"/>
  <c r="AA378" i="2"/>
  <c r="W378" i="2"/>
  <c r="L378" i="2"/>
  <c r="K378" i="2"/>
  <c r="AH377" i="2"/>
  <c r="AC377" i="2"/>
  <c r="AB377" i="2"/>
  <c r="AA377" i="2"/>
  <c r="W377" i="2"/>
  <c r="L377" i="2"/>
  <c r="K377" i="2"/>
  <c r="AH376" i="2"/>
  <c r="AC376" i="2"/>
  <c r="AB376" i="2"/>
  <c r="AA376" i="2"/>
  <c r="W376" i="2"/>
  <c r="L376" i="2"/>
  <c r="K376" i="2"/>
  <c r="AH375" i="2"/>
  <c r="AE375" i="2"/>
  <c r="AJ375" i="2" s="1"/>
  <c r="AD375" i="2"/>
  <c r="AI375" i="2" s="1"/>
  <c r="AC375" i="2"/>
  <c r="AB375" i="2"/>
  <c r="AA375" i="2"/>
  <c r="W375" i="2"/>
  <c r="L375" i="2"/>
  <c r="K375" i="2"/>
  <c r="AH374" i="2"/>
  <c r="AC374" i="2"/>
  <c r="AB374" i="2"/>
  <c r="AA374" i="2"/>
  <c r="W374" i="2"/>
  <c r="L374" i="2"/>
  <c r="K374" i="2"/>
  <c r="AH373" i="2"/>
  <c r="AD373" i="2"/>
  <c r="AI373" i="2" s="1"/>
  <c r="AC373" i="2"/>
  <c r="AE373" i="2" s="1"/>
  <c r="AJ373" i="2" s="1"/>
  <c r="AB373" i="2"/>
  <c r="AA373" i="2"/>
  <c r="W373" i="2"/>
  <c r="L373" i="2"/>
  <c r="K373" i="2"/>
  <c r="AH372" i="2"/>
  <c r="AE372" i="2"/>
  <c r="AJ372" i="2" s="1"/>
  <c r="AC372" i="2"/>
  <c r="AB372" i="2"/>
  <c r="AA372" i="2"/>
  <c r="W372" i="2"/>
  <c r="L372" i="2"/>
  <c r="K372" i="2"/>
  <c r="AJ371" i="2"/>
  <c r="AH371" i="2"/>
  <c r="AD371" i="2"/>
  <c r="AI371" i="2" s="1"/>
  <c r="AC371" i="2"/>
  <c r="AB371" i="2"/>
  <c r="AA371" i="2"/>
  <c r="AE371" i="2" s="1"/>
  <c r="W371" i="2"/>
  <c r="L371" i="2"/>
  <c r="K371" i="2"/>
  <c r="AI370" i="2"/>
  <c r="AH370" i="2"/>
  <c r="AD370" i="2"/>
  <c r="AC370" i="2"/>
  <c r="AB370" i="2"/>
  <c r="AA370" i="2"/>
  <c r="W370" i="2"/>
  <c r="L370" i="2"/>
  <c r="AE370" i="2" s="1"/>
  <c r="AJ370" i="2" s="1"/>
  <c r="K370" i="2"/>
  <c r="AH369" i="2"/>
  <c r="AC369" i="2"/>
  <c r="AB369" i="2"/>
  <c r="AA369" i="2"/>
  <c r="W369" i="2"/>
  <c r="L369" i="2"/>
  <c r="K369" i="2"/>
  <c r="AH368" i="2"/>
  <c r="AC368" i="2"/>
  <c r="AB368" i="2"/>
  <c r="AA368" i="2"/>
  <c r="W368" i="2"/>
  <c r="L368" i="2"/>
  <c r="K368" i="2"/>
  <c r="AH367" i="2"/>
  <c r="AE367" i="2"/>
  <c r="AJ367" i="2" s="1"/>
  <c r="AD367" i="2"/>
  <c r="AI367" i="2" s="1"/>
  <c r="AC367" i="2"/>
  <c r="AB367" i="2"/>
  <c r="AA367" i="2"/>
  <c r="W367" i="2"/>
  <c r="L367" i="2"/>
  <c r="K367" i="2"/>
  <c r="AH366" i="2"/>
  <c r="AC366" i="2"/>
  <c r="AB366" i="2"/>
  <c r="AA366" i="2"/>
  <c r="W366" i="2"/>
  <c r="L366" i="2"/>
  <c r="K366" i="2"/>
  <c r="AH365" i="2"/>
  <c r="AD365" i="2"/>
  <c r="AI365" i="2" s="1"/>
  <c r="AC365" i="2"/>
  <c r="AE365" i="2" s="1"/>
  <c r="AJ365" i="2" s="1"/>
  <c r="AB365" i="2"/>
  <c r="AA365" i="2"/>
  <c r="W365" i="2"/>
  <c r="L365" i="2"/>
  <c r="K365" i="2"/>
  <c r="AH364" i="2"/>
  <c r="AE364" i="2"/>
  <c r="AJ364" i="2" s="1"/>
  <c r="AC364" i="2"/>
  <c r="AB364" i="2"/>
  <c r="AA364" i="2"/>
  <c r="W364" i="2"/>
  <c r="L364" i="2"/>
  <c r="K364" i="2"/>
  <c r="AJ363" i="2"/>
  <c r="AH363" i="2"/>
  <c r="AD363" i="2"/>
  <c r="AI363" i="2" s="1"/>
  <c r="AC363" i="2"/>
  <c r="AB363" i="2"/>
  <c r="AA363" i="2"/>
  <c r="AE363" i="2" s="1"/>
  <c r="W363" i="2"/>
  <c r="L363" i="2"/>
  <c r="K363" i="2"/>
  <c r="AI362" i="2"/>
  <c r="AH362" i="2"/>
  <c r="AD362" i="2"/>
  <c r="AC362" i="2"/>
  <c r="AB362" i="2"/>
  <c r="AA362" i="2"/>
  <c r="W362" i="2"/>
  <c r="L362" i="2"/>
  <c r="AE362" i="2" s="1"/>
  <c r="AJ362" i="2" s="1"/>
  <c r="K362" i="2"/>
  <c r="AH361" i="2"/>
  <c r="AC361" i="2"/>
  <c r="AB361" i="2"/>
  <c r="AA361" i="2"/>
  <c r="W361" i="2"/>
  <c r="L361" i="2"/>
  <c r="K361" i="2"/>
  <c r="AH360" i="2"/>
  <c r="AC360" i="2"/>
  <c r="AB360" i="2"/>
  <c r="AA360" i="2"/>
  <c r="W360" i="2"/>
  <c r="L360" i="2"/>
  <c r="K360" i="2"/>
  <c r="AH359" i="2"/>
  <c r="AE359" i="2"/>
  <c r="AJ359" i="2" s="1"/>
  <c r="AD359" i="2"/>
  <c r="AI359" i="2" s="1"/>
  <c r="AC359" i="2"/>
  <c r="AB359" i="2"/>
  <c r="AA359" i="2"/>
  <c r="W359" i="2"/>
  <c r="L359" i="2"/>
  <c r="K359" i="2"/>
  <c r="AH358" i="2"/>
  <c r="AC358" i="2"/>
  <c r="AB358" i="2"/>
  <c r="AA358" i="2"/>
  <c r="W358" i="2"/>
  <c r="L358" i="2"/>
  <c r="K358" i="2"/>
  <c r="AH357" i="2"/>
  <c r="AC357" i="2"/>
  <c r="AE357" i="2" s="1"/>
  <c r="AJ357" i="2" s="1"/>
  <c r="AB357" i="2"/>
  <c r="AA357" i="2"/>
  <c r="W357" i="2"/>
  <c r="L357" i="2"/>
  <c r="K357" i="2"/>
  <c r="AD357" i="2" s="1"/>
  <c r="AI357" i="2" s="1"/>
  <c r="AH356" i="2"/>
  <c r="AC356" i="2"/>
  <c r="AB356" i="2"/>
  <c r="AA356" i="2"/>
  <c r="W356" i="2"/>
  <c r="L356" i="2"/>
  <c r="AE356" i="2" s="1"/>
  <c r="K356" i="2"/>
  <c r="AJ355" i="2"/>
  <c r="AH355" i="2"/>
  <c r="AD355" i="2"/>
  <c r="AI355" i="2" s="1"/>
  <c r="AC355" i="2"/>
  <c r="AB355" i="2"/>
  <c r="AA355" i="2"/>
  <c r="AE355" i="2" s="1"/>
  <c r="W355" i="2"/>
  <c r="L355" i="2"/>
  <c r="K355" i="2"/>
  <c r="AI354" i="2"/>
  <c r="AH354" i="2"/>
  <c r="AD354" i="2"/>
  <c r="AC354" i="2"/>
  <c r="AB354" i="2"/>
  <c r="AA354" i="2"/>
  <c r="W354" i="2"/>
  <c r="L354" i="2"/>
  <c r="AE354" i="2" s="1"/>
  <c r="AJ354" i="2" s="1"/>
  <c r="K354" i="2"/>
  <c r="AH353" i="2"/>
  <c r="AC353" i="2"/>
  <c r="AB353" i="2"/>
  <c r="AA353" i="2"/>
  <c r="W353" i="2"/>
  <c r="L353" i="2"/>
  <c r="K353" i="2"/>
  <c r="AH352" i="2"/>
  <c r="AC352" i="2"/>
  <c r="AB352" i="2"/>
  <c r="AA352" i="2"/>
  <c r="W352" i="2"/>
  <c r="L352" i="2"/>
  <c r="K352" i="2"/>
  <c r="AH351" i="2"/>
  <c r="AE351" i="2"/>
  <c r="AJ351" i="2" s="1"/>
  <c r="AD351" i="2"/>
  <c r="AI351" i="2" s="1"/>
  <c r="AC351" i="2"/>
  <c r="AB351" i="2"/>
  <c r="AA351" i="2"/>
  <c r="W351" i="2"/>
  <c r="L351" i="2"/>
  <c r="K351" i="2"/>
  <c r="AH350" i="2"/>
  <c r="AC350" i="2"/>
  <c r="AB350" i="2"/>
  <c r="AA350" i="2"/>
  <c r="W350" i="2"/>
  <c r="L350" i="2"/>
  <c r="K350" i="2"/>
  <c r="AH349" i="2"/>
  <c r="AC349" i="2"/>
  <c r="AE349" i="2" s="1"/>
  <c r="AJ349" i="2" s="1"/>
  <c r="AB349" i="2"/>
  <c r="AA349" i="2"/>
  <c r="W349" i="2"/>
  <c r="L349" i="2"/>
  <c r="K349" i="2"/>
  <c r="AD349" i="2" s="1"/>
  <c r="AI349" i="2" s="1"/>
  <c r="AH348" i="2"/>
  <c r="AC348" i="2"/>
  <c r="AB348" i="2"/>
  <c r="AA348" i="2"/>
  <c r="W348" i="2"/>
  <c r="L348" i="2"/>
  <c r="AE348" i="2" s="1"/>
  <c r="AJ348" i="2" s="1"/>
  <c r="K348" i="2"/>
  <c r="AJ347" i="2"/>
  <c r="AH347" i="2"/>
  <c r="AD347" i="2"/>
  <c r="AI347" i="2" s="1"/>
  <c r="AC347" i="2"/>
  <c r="AB347" i="2"/>
  <c r="AA347" i="2"/>
  <c r="AE347" i="2" s="1"/>
  <c r="W347" i="2"/>
  <c r="L347" i="2"/>
  <c r="K347" i="2"/>
  <c r="AI346" i="2"/>
  <c r="AH346" i="2"/>
  <c r="AD346" i="2"/>
  <c r="AC346" i="2"/>
  <c r="AB346" i="2"/>
  <c r="AA346" i="2"/>
  <c r="W346" i="2"/>
  <c r="L346" i="2"/>
  <c r="AE346" i="2" s="1"/>
  <c r="AJ346" i="2" s="1"/>
  <c r="K346" i="2"/>
  <c r="AH345" i="2"/>
  <c r="AC345" i="2"/>
  <c r="AB345" i="2"/>
  <c r="AA345" i="2"/>
  <c r="AE345" i="2" s="1"/>
  <c r="AJ345" i="2" s="1"/>
  <c r="W345" i="2"/>
  <c r="L345" i="2"/>
  <c r="K345" i="2"/>
  <c r="AH344" i="2"/>
  <c r="AC344" i="2"/>
  <c r="AB344" i="2"/>
  <c r="AA344" i="2"/>
  <c r="W344" i="2"/>
  <c r="L344" i="2"/>
  <c r="K344" i="2"/>
  <c r="AH343" i="2"/>
  <c r="AE343" i="2"/>
  <c r="AJ343" i="2" s="1"/>
  <c r="AD343" i="2"/>
  <c r="AI343" i="2" s="1"/>
  <c r="AC343" i="2"/>
  <c r="AB343" i="2"/>
  <c r="AA343" i="2"/>
  <c r="W343" i="2"/>
  <c r="L343" i="2"/>
  <c r="K343" i="2"/>
  <c r="AH342" i="2"/>
  <c r="AC342" i="2"/>
  <c r="AB342" i="2"/>
  <c r="AA342" i="2"/>
  <c r="W342" i="2"/>
  <c r="L342" i="2"/>
  <c r="K342" i="2"/>
  <c r="AH341" i="2"/>
  <c r="AC341" i="2"/>
  <c r="AE341" i="2" s="1"/>
  <c r="AJ341" i="2" s="1"/>
  <c r="AB341" i="2"/>
  <c r="AD341" i="2" s="1"/>
  <c r="AI341" i="2" s="1"/>
  <c r="AA341" i="2"/>
  <c r="W341" i="2"/>
  <c r="L341" i="2"/>
  <c r="K341" i="2"/>
  <c r="AH340" i="2"/>
  <c r="AC340" i="2"/>
  <c r="AB340" i="2"/>
  <c r="AA340" i="2"/>
  <c r="W340" i="2"/>
  <c r="L340" i="2"/>
  <c r="AE340" i="2" s="1"/>
  <c r="AJ340" i="2" s="1"/>
  <c r="K340" i="2"/>
  <c r="AJ339" i="2"/>
  <c r="AH339" i="2"/>
  <c r="AD339" i="2"/>
  <c r="AI339" i="2" s="1"/>
  <c r="AC339" i="2"/>
  <c r="AB339" i="2"/>
  <c r="AA339" i="2"/>
  <c r="AE339" i="2" s="1"/>
  <c r="W339" i="2"/>
  <c r="L339" i="2"/>
  <c r="K339" i="2"/>
  <c r="AI338" i="2"/>
  <c r="AH338" i="2"/>
  <c r="AD338" i="2"/>
  <c r="AC338" i="2"/>
  <c r="AB338" i="2"/>
  <c r="AA338" i="2"/>
  <c r="W338" i="2"/>
  <c r="L338" i="2"/>
  <c r="AE338" i="2" s="1"/>
  <c r="AJ338" i="2" s="1"/>
  <c r="K338" i="2"/>
  <c r="AH337" i="2"/>
  <c r="AC337" i="2"/>
  <c r="AB337" i="2"/>
  <c r="AA337" i="2"/>
  <c r="AE337" i="2" s="1"/>
  <c r="AJ337" i="2" s="1"/>
  <c r="W337" i="2"/>
  <c r="L337" i="2"/>
  <c r="K337" i="2"/>
  <c r="AH336" i="2"/>
  <c r="AC336" i="2"/>
  <c r="AB336" i="2"/>
  <c r="AA336" i="2"/>
  <c r="W336" i="2"/>
  <c r="L336" i="2"/>
  <c r="K336" i="2"/>
  <c r="AH335" i="2"/>
  <c r="AE335" i="2"/>
  <c r="AJ335" i="2" s="1"/>
  <c r="AD335" i="2"/>
  <c r="AI335" i="2" s="1"/>
  <c r="AC335" i="2"/>
  <c r="AB335" i="2"/>
  <c r="AA335" i="2"/>
  <c r="W335" i="2"/>
  <c r="L335" i="2"/>
  <c r="K335" i="2"/>
  <c r="AH334" i="2"/>
  <c r="AC334" i="2"/>
  <c r="AB334" i="2"/>
  <c r="AA334" i="2"/>
  <c r="W334" i="2"/>
  <c r="L334" i="2"/>
  <c r="K334" i="2"/>
  <c r="AH333" i="2"/>
  <c r="AC333" i="2"/>
  <c r="AE333" i="2" s="1"/>
  <c r="AJ333" i="2" s="1"/>
  <c r="AB333" i="2"/>
  <c r="AD333" i="2" s="1"/>
  <c r="AI333" i="2" s="1"/>
  <c r="AA333" i="2"/>
  <c r="W333" i="2"/>
  <c r="L333" i="2"/>
  <c r="K333" i="2"/>
  <c r="AH332" i="2"/>
  <c r="AE332" i="2"/>
  <c r="AJ332" i="2" s="1"/>
  <c r="AC332" i="2"/>
  <c r="AB332" i="2"/>
  <c r="AA332" i="2"/>
  <c r="W332" i="2"/>
  <c r="L332" i="2"/>
  <c r="K332" i="2"/>
  <c r="AJ331" i="2"/>
  <c r="AH331" i="2"/>
  <c r="AD331" i="2"/>
  <c r="AI331" i="2" s="1"/>
  <c r="AC331" i="2"/>
  <c r="AB331" i="2"/>
  <c r="AA331" i="2"/>
  <c r="AE331" i="2" s="1"/>
  <c r="W331" i="2"/>
  <c r="L331" i="2"/>
  <c r="K331" i="2"/>
  <c r="AI330" i="2"/>
  <c r="AH330" i="2"/>
  <c r="AD330" i="2"/>
  <c r="AC330" i="2"/>
  <c r="AB330" i="2"/>
  <c r="AA330" i="2"/>
  <c r="W330" i="2"/>
  <c r="L330" i="2"/>
  <c r="AE330" i="2" s="1"/>
  <c r="AJ330" i="2" s="1"/>
  <c r="K330" i="2"/>
  <c r="AH329" i="2"/>
  <c r="AC329" i="2"/>
  <c r="AB329" i="2"/>
  <c r="AA329" i="2"/>
  <c r="AE329" i="2" s="1"/>
  <c r="AJ329" i="2" s="1"/>
  <c r="W329" i="2"/>
  <c r="L329" i="2"/>
  <c r="K329" i="2"/>
  <c r="AH328" i="2"/>
  <c r="AC328" i="2"/>
  <c r="AB328" i="2"/>
  <c r="AA328" i="2"/>
  <c r="W328" i="2"/>
  <c r="L328" i="2"/>
  <c r="K328" i="2"/>
  <c r="AH327" i="2"/>
  <c r="AE327" i="2"/>
  <c r="AJ327" i="2" s="1"/>
  <c r="AD327" i="2"/>
  <c r="AI327" i="2" s="1"/>
  <c r="AC327" i="2"/>
  <c r="AB327" i="2"/>
  <c r="AA327" i="2"/>
  <c r="W327" i="2"/>
  <c r="L327" i="2"/>
  <c r="K327" i="2"/>
  <c r="AH326" i="2"/>
  <c r="AC326" i="2"/>
  <c r="AB326" i="2"/>
  <c r="AA326" i="2"/>
  <c r="W326" i="2"/>
  <c r="L326" i="2"/>
  <c r="K326" i="2"/>
  <c r="AH325" i="2"/>
  <c r="AC325" i="2"/>
  <c r="AE325" i="2" s="1"/>
  <c r="AJ325" i="2" s="1"/>
  <c r="AB325" i="2"/>
  <c r="AD325" i="2" s="1"/>
  <c r="AI325" i="2" s="1"/>
  <c r="AA325" i="2"/>
  <c r="W325" i="2"/>
  <c r="L325" i="2"/>
  <c r="K325" i="2"/>
  <c r="AH324" i="2"/>
  <c r="AE324" i="2"/>
  <c r="AC324" i="2"/>
  <c r="AB324" i="2"/>
  <c r="AA324" i="2"/>
  <c r="W324" i="2"/>
  <c r="L324" i="2"/>
  <c r="K324" i="2"/>
  <c r="AJ323" i="2"/>
  <c r="AH323" i="2"/>
  <c r="AD323" i="2"/>
  <c r="AI323" i="2" s="1"/>
  <c r="AC323" i="2"/>
  <c r="AB323" i="2"/>
  <c r="AA323" i="2"/>
  <c r="AE323" i="2" s="1"/>
  <c r="W323" i="2"/>
  <c r="L323" i="2"/>
  <c r="K323" i="2"/>
  <c r="AI322" i="2"/>
  <c r="AH322" i="2"/>
  <c r="AD322" i="2"/>
  <c r="AC322" i="2"/>
  <c r="AB322" i="2"/>
  <c r="AA322" i="2"/>
  <c r="W322" i="2"/>
  <c r="L322" i="2"/>
  <c r="AE322" i="2" s="1"/>
  <c r="AJ322" i="2" s="1"/>
  <c r="K322" i="2"/>
  <c r="AH321" i="2"/>
  <c r="AC321" i="2"/>
  <c r="AB321" i="2"/>
  <c r="AA321" i="2"/>
  <c r="W321" i="2"/>
  <c r="L321" i="2"/>
  <c r="K321" i="2"/>
  <c r="AH320" i="2"/>
  <c r="AC320" i="2"/>
  <c r="AB320" i="2"/>
  <c r="AA320" i="2"/>
  <c r="W320" i="2"/>
  <c r="L320" i="2"/>
  <c r="K320" i="2"/>
  <c r="AH319" i="2"/>
  <c r="AE319" i="2"/>
  <c r="AJ319" i="2" s="1"/>
  <c r="AD319" i="2"/>
  <c r="AI319" i="2" s="1"/>
  <c r="AC319" i="2"/>
  <c r="AB319" i="2"/>
  <c r="AA319" i="2"/>
  <c r="W319" i="2"/>
  <c r="L319" i="2"/>
  <c r="K319" i="2"/>
  <c r="AH318" i="2"/>
  <c r="AC318" i="2"/>
  <c r="AB318" i="2"/>
  <c r="AA318" i="2"/>
  <c r="W318" i="2"/>
  <c r="L318" i="2"/>
  <c r="K318" i="2"/>
  <c r="AH317" i="2"/>
  <c r="AD317" i="2"/>
  <c r="AI317" i="2" s="1"/>
  <c r="AC317" i="2"/>
  <c r="AE317" i="2" s="1"/>
  <c r="AJ317" i="2" s="1"/>
  <c r="AB317" i="2"/>
  <c r="AA317" i="2"/>
  <c r="W317" i="2"/>
  <c r="L317" i="2"/>
  <c r="K317" i="2"/>
  <c r="AH316" i="2"/>
  <c r="AE316" i="2"/>
  <c r="AJ316" i="2" s="1"/>
  <c r="AC316" i="2"/>
  <c r="AB316" i="2"/>
  <c r="AA316" i="2"/>
  <c r="W316" i="2"/>
  <c r="L316" i="2"/>
  <c r="K316" i="2"/>
  <c r="AJ315" i="2"/>
  <c r="AH315" i="2"/>
  <c r="AD315" i="2"/>
  <c r="AI315" i="2" s="1"/>
  <c r="AC315" i="2"/>
  <c r="AB315" i="2"/>
  <c r="AA315" i="2"/>
  <c r="AE315" i="2" s="1"/>
  <c r="W315" i="2"/>
  <c r="L315" i="2"/>
  <c r="K315" i="2"/>
  <c r="AI314" i="2"/>
  <c r="AH314" i="2"/>
  <c r="AD314" i="2"/>
  <c r="AC314" i="2"/>
  <c r="AB314" i="2"/>
  <c r="AA314" i="2"/>
  <c r="W314" i="2"/>
  <c r="L314" i="2"/>
  <c r="AE314" i="2" s="1"/>
  <c r="AJ314" i="2" s="1"/>
  <c r="K314" i="2"/>
  <c r="AH313" i="2"/>
  <c r="AC313" i="2"/>
  <c r="AB313" i="2"/>
  <c r="AA313" i="2"/>
  <c r="W313" i="2"/>
  <c r="L313" i="2"/>
  <c r="K313" i="2"/>
  <c r="AH312" i="2"/>
  <c r="AC312" i="2"/>
  <c r="AB312" i="2"/>
  <c r="AA312" i="2"/>
  <c r="W312" i="2"/>
  <c r="L312" i="2"/>
  <c r="K312" i="2"/>
  <c r="AH311" i="2"/>
  <c r="AE311" i="2"/>
  <c r="AJ311" i="2" s="1"/>
  <c r="AD311" i="2"/>
  <c r="AI311" i="2" s="1"/>
  <c r="AC311" i="2"/>
  <c r="AB311" i="2"/>
  <c r="AA311" i="2"/>
  <c r="W311" i="2"/>
  <c r="L311" i="2"/>
  <c r="K311" i="2"/>
  <c r="AH310" i="2"/>
  <c r="AC310" i="2"/>
  <c r="AB310" i="2"/>
  <c r="AA310" i="2"/>
  <c r="W310" i="2"/>
  <c r="L310" i="2"/>
  <c r="K310" i="2"/>
  <c r="AH309" i="2"/>
  <c r="AD309" i="2"/>
  <c r="AI309" i="2" s="1"/>
  <c r="AC309" i="2"/>
  <c r="AE309" i="2" s="1"/>
  <c r="AJ309" i="2" s="1"/>
  <c r="AB309" i="2"/>
  <c r="AA309" i="2"/>
  <c r="W309" i="2"/>
  <c r="L309" i="2"/>
  <c r="K309" i="2"/>
  <c r="AH308" i="2"/>
  <c r="AE308" i="2"/>
  <c r="AJ308" i="2" s="1"/>
  <c r="AC308" i="2"/>
  <c r="AB308" i="2"/>
  <c r="AA308" i="2"/>
  <c r="W308" i="2"/>
  <c r="L308" i="2"/>
  <c r="K308" i="2"/>
  <c r="AJ307" i="2"/>
  <c r="AH307" i="2"/>
  <c r="AD307" i="2"/>
  <c r="AI307" i="2" s="1"/>
  <c r="AC307" i="2"/>
  <c r="AB307" i="2"/>
  <c r="AA307" i="2"/>
  <c r="AE307" i="2" s="1"/>
  <c r="W307" i="2"/>
  <c r="L307" i="2"/>
  <c r="K307" i="2"/>
  <c r="AI306" i="2"/>
  <c r="AH306" i="2"/>
  <c r="AD306" i="2"/>
  <c r="AC306" i="2"/>
  <c r="AB306" i="2"/>
  <c r="AA306" i="2"/>
  <c r="W306" i="2"/>
  <c r="L306" i="2"/>
  <c r="AE306" i="2" s="1"/>
  <c r="AJ306" i="2" s="1"/>
  <c r="K306" i="2"/>
  <c r="AH305" i="2"/>
  <c r="AC305" i="2"/>
  <c r="AB305" i="2"/>
  <c r="AA305" i="2"/>
  <c r="W305" i="2"/>
  <c r="L305" i="2"/>
  <c r="K305" i="2"/>
  <c r="AH304" i="2"/>
  <c r="AC304" i="2"/>
  <c r="AB304" i="2"/>
  <c r="AA304" i="2"/>
  <c r="W304" i="2"/>
  <c r="L304" i="2"/>
  <c r="K304" i="2"/>
  <c r="AH303" i="2"/>
  <c r="AE303" i="2"/>
  <c r="AJ303" i="2" s="1"/>
  <c r="AD303" i="2"/>
  <c r="AI303" i="2" s="1"/>
  <c r="AC303" i="2"/>
  <c r="AB303" i="2"/>
  <c r="AA303" i="2"/>
  <c r="W303" i="2"/>
  <c r="L303" i="2"/>
  <c r="K303" i="2"/>
  <c r="AH302" i="2"/>
  <c r="AC302" i="2"/>
  <c r="AB302" i="2"/>
  <c r="AA302" i="2"/>
  <c r="W302" i="2"/>
  <c r="L302" i="2"/>
  <c r="K302" i="2"/>
  <c r="AH301" i="2"/>
  <c r="AC301" i="2"/>
  <c r="AE301" i="2" s="1"/>
  <c r="AJ301" i="2" s="1"/>
  <c r="AB301" i="2"/>
  <c r="AA301" i="2"/>
  <c r="W301" i="2"/>
  <c r="L301" i="2"/>
  <c r="K301" i="2"/>
  <c r="AD301" i="2" s="1"/>
  <c r="AI301" i="2" s="1"/>
  <c r="AH300" i="2"/>
  <c r="AE300" i="2"/>
  <c r="AC300" i="2"/>
  <c r="AB300" i="2"/>
  <c r="AA300" i="2"/>
  <c r="W300" i="2"/>
  <c r="L300" i="2"/>
  <c r="K300" i="2"/>
  <c r="AJ299" i="2"/>
  <c r="AH299" i="2"/>
  <c r="AD299" i="2"/>
  <c r="AI299" i="2" s="1"/>
  <c r="AC299" i="2"/>
  <c r="AB299" i="2"/>
  <c r="AA299" i="2"/>
  <c r="AE299" i="2" s="1"/>
  <c r="W299" i="2"/>
  <c r="L299" i="2"/>
  <c r="K299" i="2"/>
  <c r="AI298" i="2"/>
  <c r="AH298" i="2"/>
  <c r="AD298" i="2"/>
  <c r="AC298" i="2"/>
  <c r="AB298" i="2"/>
  <c r="AA298" i="2"/>
  <c r="W298" i="2"/>
  <c r="L298" i="2"/>
  <c r="AE298" i="2" s="1"/>
  <c r="AJ298" i="2" s="1"/>
  <c r="K298" i="2"/>
  <c r="AH297" i="2"/>
  <c r="AC297" i="2"/>
  <c r="AB297" i="2"/>
  <c r="AA297" i="2"/>
  <c r="W297" i="2"/>
  <c r="L297" i="2"/>
  <c r="K297" i="2"/>
  <c r="AH296" i="2"/>
  <c r="AC296" i="2"/>
  <c r="AB296" i="2"/>
  <c r="AA296" i="2"/>
  <c r="W296" i="2"/>
  <c r="L296" i="2"/>
  <c r="K296" i="2"/>
  <c r="AH295" i="2"/>
  <c r="AE295" i="2"/>
  <c r="AJ295" i="2" s="1"/>
  <c r="AD295" i="2"/>
  <c r="AI295" i="2" s="1"/>
  <c r="AC295" i="2"/>
  <c r="AB295" i="2"/>
  <c r="AA295" i="2"/>
  <c r="W295" i="2"/>
  <c r="L295" i="2"/>
  <c r="K295" i="2"/>
  <c r="AH294" i="2"/>
  <c r="AC294" i="2"/>
  <c r="AB294" i="2"/>
  <c r="AA294" i="2"/>
  <c r="W294" i="2"/>
  <c r="L294" i="2"/>
  <c r="K294" i="2"/>
  <c r="AH293" i="2"/>
  <c r="AC293" i="2"/>
  <c r="AB293" i="2"/>
  <c r="AA293" i="2"/>
  <c r="W293" i="2"/>
  <c r="L293" i="2"/>
  <c r="K293" i="2"/>
  <c r="AD293" i="2" s="1"/>
  <c r="AI293" i="2" s="1"/>
  <c r="AH292" i="2"/>
  <c r="AC292" i="2"/>
  <c r="AB292" i="2"/>
  <c r="AA292" i="2"/>
  <c r="W292" i="2"/>
  <c r="L292" i="2"/>
  <c r="AE292" i="2" s="1"/>
  <c r="K292" i="2"/>
  <c r="AJ291" i="2"/>
  <c r="AH291" i="2"/>
  <c r="AD291" i="2"/>
  <c r="AI291" i="2" s="1"/>
  <c r="AC291" i="2"/>
  <c r="AB291" i="2"/>
  <c r="AA291" i="2"/>
  <c r="AE291" i="2" s="1"/>
  <c r="W291" i="2"/>
  <c r="L291" i="2"/>
  <c r="K291" i="2"/>
  <c r="AI290" i="2"/>
  <c r="AH290" i="2"/>
  <c r="AD290" i="2"/>
  <c r="AC290" i="2"/>
  <c r="AB290" i="2"/>
  <c r="AA290" i="2"/>
  <c r="W290" i="2"/>
  <c r="L290" i="2"/>
  <c r="AE290" i="2" s="1"/>
  <c r="AJ290" i="2" s="1"/>
  <c r="K290" i="2"/>
  <c r="AH289" i="2"/>
  <c r="AC289" i="2"/>
  <c r="AB289" i="2"/>
  <c r="AA289" i="2"/>
  <c r="W289" i="2"/>
  <c r="L289" i="2"/>
  <c r="K289" i="2"/>
  <c r="AH288" i="2"/>
  <c r="AC288" i="2"/>
  <c r="AB288" i="2"/>
  <c r="AA288" i="2"/>
  <c r="W288" i="2"/>
  <c r="L288" i="2"/>
  <c r="K288" i="2"/>
  <c r="AH287" i="2"/>
  <c r="AE287" i="2"/>
  <c r="AJ287" i="2" s="1"/>
  <c r="AD287" i="2"/>
  <c r="AI287" i="2" s="1"/>
  <c r="AC287" i="2"/>
  <c r="AB287" i="2"/>
  <c r="AA287" i="2"/>
  <c r="W287" i="2"/>
  <c r="L287" i="2"/>
  <c r="K287" i="2"/>
  <c r="AH286" i="2"/>
  <c r="AC286" i="2"/>
  <c r="AB286" i="2"/>
  <c r="AA286" i="2"/>
  <c r="W286" i="2"/>
  <c r="L286" i="2"/>
  <c r="K286" i="2"/>
  <c r="AH285" i="2"/>
  <c r="AC285" i="2"/>
  <c r="AB285" i="2"/>
  <c r="AA285" i="2"/>
  <c r="W285" i="2"/>
  <c r="L285" i="2"/>
  <c r="K285" i="2"/>
  <c r="AD285" i="2" s="1"/>
  <c r="AI285" i="2" s="1"/>
  <c r="AH284" i="2"/>
  <c r="AC284" i="2"/>
  <c r="AB284" i="2"/>
  <c r="AA284" i="2"/>
  <c r="W284" i="2"/>
  <c r="L284" i="2"/>
  <c r="AE284" i="2" s="1"/>
  <c r="AJ284" i="2" s="1"/>
  <c r="K284" i="2"/>
  <c r="AJ283" i="2"/>
  <c r="AH283" i="2"/>
  <c r="AD283" i="2"/>
  <c r="AI283" i="2" s="1"/>
  <c r="AC283" i="2"/>
  <c r="AB283" i="2"/>
  <c r="AA283" i="2"/>
  <c r="AE283" i="2" s="1"/>
  <c r="W283" i="2"/>
  <c r="L283" i="2"/>
  <c r="K283" i="2"/>
  <c r="AI282" i="2"/>
  <c r="AH282" i="2"/>
  <c r="AD282" i="2"/>
  <c r="AC282" i="2"/>
  <c r="AB282" i="2"/>
  <c r="AA282" i="2"/>
  <c r="W282" i="2"/>
  <c r="L282" i="2"/>
  <c r="AE282" i="2" s="1"/>
  <c r="AJ282" i="2" s="1"/>
  <c r="K282" i="2"/>
  <c r="AH281" i="2"/>
  <c r="AC281" i="2"/>
  <c r="AB281" i="2"/>
  <c r="AA281" i="2"/>
  <c r="W281" i="2"/>
  <c r="L281" i="2"/>
  <c r="K281" i="2"/>
  <c r="AH280" i="2"/>
  <c r="AC280" i="2"/>
  <c r="AB280" i="2"/>
  <c r="AA280" i="2"/>
  <c r="W280" i="2"/>
  <c r="L280" i="2"/>
  <c r="K280" i="2"/>
  <c r="AH279" i="2"/>
  <c r="AC279" i="2"/>
  <c r="AE279" i="2" s="1"/>
  <c r="AB279" i="2"/>
  <c r="AA279" i="2"/>
  <c r="W279" i="2"/>
  <c r="L279" i="2"/>
  <c r="K279" i="2"/>
  <c r="AD279" i="2" s="1"/>
  <c r="AI279" i="2" s="1"/>
  <c r="AH278" i="2"/>
  <c r="AC278" i="2"/>
  <c r="AB278" i="2"/>
  <c r="AA278" i="2"/>
  <c r="W278" i="2"/>
  <c r="L278" i="2"/>
  <c r="K278" i="2"/>
  <c r="AH277" i="2"/>
  <c r="AC277" i="2"/>
  <c r="AB277" i="2"/>
  <c r="AA277" i="2"/>
  <c r="W277" i="2"/>
  <c r="L277" i="2"/>
  <c r="K277" i="2"/>
  <c r="AH276" i="2"/>
  <c r="AD276" i="2"/>
  <c r="AI276" i="2" s="1"/>
  <c r="AC276" i="2"/>
  <c r="AE276" i="2" s="1"/>
  <c r="AJ276" i="2" s="1"/>
  <c r="AB276" i="2"/>
  <c r="AA276" i="2"/>
  <c r="W276" i="2"/>
  <c r="L276" i="2"/>
  <c r="K276" i="2"/>
  <c r="AH275" i="2"/>
  <c r="AC275" i="2"/>
  <c r="AB275" i="2"/>
  <c r="AA275" i="2"/>
  <c r="W275" i="2"/>
  <c r="L275" i="2"/>
  <c r="K275" i="2"/>
  <c r="AH274" i="2"/>
  <c r="AC274" i="2"/>
  <c r="AE274" i="2" s="1"/>
  <c r="AJ274" i="2" s="1"/>
  <c r="AB274" i="2"/>
  <c r="AA274" i="2"/>
  <c r="W274" i="2"/>
  <c r="L274" i="2"/>
  <c r="K274" i="2"/>
  <c r="AH273" i="2"/>
  <c r="AE273" i="2"/>
  <c r="AJ273" i="2" s="1"/>
  <c r="AC273" i="2"/>
  <c r="AB273" i="2"/>
  <c r="AA273" i="2"/>
  <c r="W273" i="2"/>
  <c r="L273" i="2"/>
  <c r="K273" i="2"/>
  <c r="AD273" i="2" s="1"/>
  <c r="AH272" i="2"/>
  <c r="AC272" i="2"/>
  <c r="AB272" i="2"/>
  <c r="AA272" i="2"/>
  <c r="W272" i="2"/>
  <c r="L272" i="2"/>
  <c r="K272" i="2"/>
  <c r="AH271" i="2"/>
  <c r="AC271" i="2"/>
  <c r="AE271" i="2" s="1"/>
  <c r="AJ271" i="2" s="1"/>
  <c r="AB271" i="2"/>
  <c r="AA271" i="2"/>
  <c r="W271" i="2"/>
  <c r="L271" i="2"/>
  <c r="K271" i="2"/>
  <c r="AD271" i="2" s="1"/>
  <c r="AI271" i="2" s="1"/>
  <c r="AH270" i="2"/>
  <c r="AC270" i="2"/>
  <c r="AB270" i="2"/>
  <c r="AA270" i="2"/>
  <c r="W270" i="2"/>
  <c r="L270" i="2"/>
  <c r="K270" i="2"/>
  <c r="AH269" i="2"/>
  <c r="AC269" i="2"/>
  <c r="AB269" i="2"/>
  <c r="AA269" i="2"/>
  <c r="W269" i="2"/>
  <c r="L269" i="2"/>
  <c r="K269" i="2"/>
  <c r="AH268" i="2"/>
  <c r="AD268" i="2"/>
  <c r="AI268" i="2" s="1"/>
  <c r="AC268" i="2"/>
  <c r="AE268" i="2" s="1"/>
  <c r="AJ268" i="2" s="1"/>
  <c r="AB268" i="2"/>
  <c r="AA268" i="2"/>
  <c r="W268" i="2"/>
  <c r="L268" i="2"/>
  <c r="K268" i="2"/>
  <c r="AH267" i="2"/>
  <c r="AC267" i="2"/>
  <c r="AB267" i="2"/>
  <c r="AA267" i="2"/>
  <c r="W267" i="2"/>
  <c r="L267" i="2"/>
  <c r="K267" i="2"/>
  <c r="AH266" i="2"/>
  <c r="AE266" i="2"/>
  <c r="AJ266" i="2" s="1"/>
  <c r="AC266" i="2"/>
  <c r="AB266" i="2"/>
  <c r="AA266" i="2"/>
  <c r="W266" i="2"/>
  <c r="L266" i="2"/>
  <c r="K266" i="2"/>
  <c r="AJ265" i="2"/>
  <c r="AH265" i="2"/>
  <c r="AE265" i="2"/>
  <c r="AC265" i="2"/>
  <c r="AB265" i="2"/>
  <c r="AA265" i="2"/>
  <c r="W265" i="2"/>
  <c r="L265" i="2"/>
  <c r="K265" i="2"/>
  <c r="AD265" i="2" s="1"/>
  <c r="AI265" i="2" s="1"/>
  <c r="AH264" i="2"/>
  <c r="AC264" i="2"/>
  <c r="AB264" i="2"/>
  <c r="AA264" i="2"/>
  <c r="W264" i="2"/>
  <c r="L264" i="2"/>
  <c r="K264" i="2"/>
  <c r="AH263" i="2"/>
  <c r="AC263" i="2"/>
  <c r="AB263" i="2"/>
  <c r="AA263" i="2"/>
  <c r="W263" i="2"/>
  <c r="L263" i="2"/>
  <c r="AE263" i="2" s="1"/>
  <c r="AJ263" i="2" s="1"/>
  <c r="K263" i="2"/>
  <c r="AD263" i="2" s="1"/>
  <c r="AI263" i="2" s="1"/>
  <c r="AH262" i="2"/>
  <c r="AC262" i="2"/>
  <c r="AB262" i="2"/>
  <c r="AA262" i="2"/>
  <c r="W262" i="2"/>
  <c r="L262" i="2"/>
  <c r="K262" i="2"/>
  <c r="AH261" i="2"/>
  <c r="AC261" i="2"/>
  <c r="AB261" i="2"/>
  <c r="AA261" i="2"/>
  <c r="W261" i="2"/>
  <c r="L261" i="2"/>
  <c r="K261" i="2"/>
  <c r="AH260" i="2"/>
  <c r="AD260" i="2"/>
  <c r="AI260" i="2" s="1"/>
  <c r="AC260" i="2"/>
  <c r="AE260" i="2" s="1"/>
  <c r="AJ260" i="2" s="1"/>
  <c r="AB260" i="2"/>
  <c r="AA260" i="2"/>
  <c r="W260" i="2"/>
  <c r="L260" i="2"/>
  <c r="K260" i="2"/>
  <c r="AH259" i="2"/>
  <c r="AC259" i="2"/>
  <c r="AB259" i="2"/>
  <c r="AA259" i="2"/>
  <c r="W259" i="2"/>
  <c r="L259" i="2"/>
  <c r="K259" i="2"/>
  <c r="AH258" i="2"/>
  <c r="AC258" i="2"/>
  <c r="AE258" i="2" s="1"/>
  <c r="AJ258" i="2" s="1"/>
  <c r="AB258" i="2"/>
  <c r="AA258" i="2"/>
  <c r="W258" i="2"/>
  <c r="L258" i="2"/>
  <c r="K258" i="2"/>
  <c r="AH257" i="2"/>
  <c r="AE257" i="2"/>
  <c r="AJ257" i="2" s="1"/>
  <c r="AC257" i="2"/>
  <c r="AB257" i="2"/>
  <c r="AA257" i="2"/>
  <c r="W257" i="2"/>
  <c r="L257" i="2"/>
  <c r="K257" i="2"/>
  <c r="AD257" i="2" s="1"/>
  <c r="AH256" i="2"/>
  <c r="AC256" i="2"/>
  <c r="AB256" i="2"/>
  <c r="AA256" i="2"/>
  <c r="W256" i="2"/>
  <c r="L256" i="2"/>
  <c r="K256" i="2"/>
  <c r="AH255" i="2"/>
  <c r="AC255" i="2"/>
  <c r="AB255" i="2"/>
  <c r="AA255" i="2"/>
  <c r="W255" i="2"/>
  <c r="L255" i="2"/>
  <c r="AE255" i="2" s="1"/>
  <c r="AJ255" i="2" s="1"/>
  <c r="K255" i="2"/>
  <c r="AD255" i="2" s="1"/>
  <c r="AI255" i="2" s="1"/>
  <c r="AH254" i="2"/>
  <c r="AC254" i="2"/>
  <c r="AB254" i="2"/>
  <c r="AA254" i="2"/>
  <c r="W254" i="2"/>
  <c r="L254" i="2"/>
  <c r="K254" i="2"/>
  <c r="AH253" i="2"/>
  <c r="AC253" i="2"/>
  <c r="AB253" i="2"/>
  <c r="AA253" i="2"/>
  <c r="W253" i="2"/>
  <c r="L253" i="2"/>
  <c r="K253" i="2"/>
  <c r="AH252" i="2"/>
  <c r="AD252" i="2"/>
  <c r="AI252" i="2" s="1"/>
  <c r="AC252" i="2"/>
  <c r="AB252" i="2"/>
  <c r="AA252" i="2"/>
  <c r="W252" i="2"/>
  <c r="L252" i="2"/>
  <c r="K252" i="2"/>
  <c r="AH251" i="2"/>
  <c r="AC251" i="2"/>
  <c r="AB251" i="2"/>
  <c r="AA251" i="2"/>
  <c r="W251" i="2"/>
  <c r="L251" i="2"/>
  <c r="K251" i="2"/>
  <c r="AH250" i="2"/>
  <c r="AC250" i="2"/>
  <c r="AE250" i="2" s="1"/>
  <c r="AJ250" i="2" s="1"/>
  <c r="AB250" i="2"/>
  <c r="AA250" i="2"/>
  <c r="W250" i="2"/>
  <c r="L250" i="2"/>
  <c r="K250" i="2"/>
  <c r="AH249" i="2"/>
  <c r="AE249" i="2"/>
  <c r="AJ249" i="2" s="1"/>
  <c r="AC249" i="2"/>
  <c r="AB249" i="2"/>
  <c r="AA249" i="2"/>
  <c r="W249" i="2"/>
  <c r="L249" i="2"/>
  <c r="K249" i="2"/>
  <c r="AD249" i="2" s="1"/>
  <c r="AI249" i="2" s="1"/>
  <c r="AH248" i="2"/>
  <c r="AC248" i="2"/>
  <c r="AB248" i="2"/>
  <c r="AA248" i="2"/>
  <c r="W248" i="2"/>
  <c r="L248" i="2"/>
  <c r="K248" i="2"/>
  <c r="AH247" i="2"/>
  <c r="AC247" i="2"/>
  <c r="AB247" i="2"/>
  <c r="AA247" i="2"/>
  <c r="W247" i="2"/>
  <c r="L247" i="2"/>
  <c r="AE247" i="2" s="1"/>
  <c r="AJ247" i="2" s="1"/>
  <c r="K247" i="2"/>
  <c r="AD247" i="2" s="1"/>
  <c r="AI247" i="2" s="1"/>
  <c r="AH246" i="2"/>
  <c r="AC246" i="2"/>
  <c r="AB246" i="2"/>
  <c r="AA246" i="2"/>
  <c r="W246" i="2"/>
  <c r="L246" i="2"/>
  <c r="K246" i="2"/>
  <c r="AH245" i="2"/>
  <c r="AC245" i="2"/>
  <c r="AB245" i="2"/>
  <c r="AA245" i="2"/>
  <c r="W245" i="2"/>
  <c r="L245" i="2"/>
  <c r="K245" i="2"/>
  <c r="AH244" i="2"/>
  <c r="AD244" i="2"/>
  <c r="AI244" i="2" s="1"/>
  <c r="AC244" i="2"/>
  <c r="AB244" i="2"/>
  <c r="AA244" i="2"/>
  <c r="W244" i="2"/>
  <c r="L244" i="2"/>
  <c r="AE244" i="2" s="1"/>
  <c r="AJ244" i="2" s="1"/>
  <c r="K244" i="2"/>
  <c r="AH243" i="2"/>
  <c r="AC243" i="2"/>
  <c r="AB243" i="2"/>
  <c r="AA243" i="2"/>
  <c r="W243" i="2"/>
  <c r="L243" i="2"/>
  <c r="K243" i="2"/>
  <c r="AH242" i="2"/>
  <c r="AC242" i="2"/>
  <c r="AE242" i="2" s="1"/>
  <c r="AJ242" i="2" s="1"/>
  <c r="AB242" i="2"/>
  <c r="AA242" i="2"/>
  <c r="W242" i="2"/>
  <c r="L242" i="2"/>
  <c r="K242" i="2"/>
  <c r="AH241" i="2"/>
  <c r="AE241" i="2"/>
  <c r="AJ241" i="2" s="1"/>
  <c r="AC241" i="2"/>
  <c r="AB241" i="2"/>
  <c r="AA241" i="2"/>
  <c r="W241" i="2"/>
  <c r="L241" i="2"/>
  <c r="K241" i="2"/>
  <c r="AD241" i="2" s="1"/>
  <c r="AH240" i="2"/>
  <c r="AC240" i="2"/>
  <c r="AB240" i="2"/>
  <c r="AA240" i="2"/>
  <c r="W240" i="2"/>
  <c r="L240" i="2"/>
  <c r="K240" i="2"/>
  <c r="AH239" i="2"/>
  <c r="AC239" i="2"/>
  <c r="AB239" i="2"/>
  <c r="AA239" i="2"/>
  <c r="W239" i="2"/>
  <c r="L239" i="2"/>
  <c r="AE239" i="2" s="1"/>
  <c r="AJ239" i="2" s="1"/>
  <c r="K239" i="2"/>
  <c r="AD239" i="2" s="1"/>
  <c r="AI239" i="2" s="1"/>
  <c r="AH238" i="2"/>
  <c r="AC238" i="2"/>
  <c r="AB238" i="2"/>
  <c r="AA238" i="2"/>
  <c r="W238" i="2"/>
  <c r="L238" i="2"/>
  <c r="K238" i="2"/>
  <c r="AH237" i="2"/>
  <c r="AC237" i="2"/>
  <c r="AB237" i="2"/>
  <c r="AA237" i="2"/>
  <c r="W237" i="2"/>
  <c r="L237" i="2"/>
  <c r="K237" i="2"/>
  <c r="AH236" i="2"/>
  <c r="AD236" i="2"/>
  <c r="AI236" i="2" s="1"/>
  <c r="AC236" i="2"/>
  <c r="AB236" i="2"/>
  <c r="AA236" i="2"/>
  <c r="W236" i="2"/>
  <c r="L236" i="2"/>
  <c r="AE236" i="2" s="1"/>
  <c r="AJ236" i="2" s="1"/>
  <c r="K236" i="2"/>
  <c r="AH235" i="2"/>
  <c r="AC235" i="2"/>
  <c r="AB235" i="2"/>
  <c r="AA235" i="2"/>
  <c r="W235" i="2"/>
  <c r="L235" i="2"/>
  <c r="K235" i="2"/>
  <c r="AH234" i="2"/>
  <c r="AE234" i="2"/>
  <c r="AJ234" i="2" s="1"/>
  <c r="AC234" i="2"/>
  <c r="AB234" i="2"/>
  <c r="AA234" i="2"/>
  <c r="W234" i="2"/>
  <c r="L234" i="2"/>
  <c r="K234" i="2"/>
  <c r="AJ233" i="2"/>
  <c r="AH233" i="2"/>
  <c r="AE233" i="2"/>
  <c r="AC233" i="2"/>
  <c r="AB233" i="2"/>
  <c r="AA233" i="2"/>
  <c r="W233" i="2"/>
  <c r="L233" i="2"/>
  <c r="K233" i="2"/>
  <c r="AD233" i="2" s="1"/>
  <c r="AI233" i="2" s="1"/>
  <c r="AH232" i="2"/>
  <c r="AC232" i="2"/>
  <c r="AB232" i="2"/>
  <c r="AA232" i="2"/>
  <c r="W232" i="2"/>
  <c r="L232" i="2"/>
  <c r="K232" i="2"/>
  <c r="AH231" i="2"/>
  <c r="AC231" i="2"/>
  <c r="AB231" i="2"/>
  <c r="AA231" i="2"/>
  <c r="W231" i="2"/>
  <c r="L231" i="2"/>
  <c r="AE231" i="2" s="1"/>
  <c r="AJ231" i="2" s="1"/>
  <c r="K231" i="2"/>
  <c r="AD231" i="2" s="1"/>
  <c r="AI231" i="2" s="1"/>
  <c r="AH230" i="2"/>
  <c r="AC230" i="2"/>
  <c r="AB230" i="2"/>
  <c r="AA230" i="2"/>
  <c r="W230" i="2"/>
  <c r="L230" i="2"/>
  <c r="K230" i="2"/>
  <c r="AH229" i="2"/>
  <c r="AC229" i="2"/>
  <c r="AB229" i="2"/>
  <c r="AA229" i="2"/>
  <c r="W229" i="2"/>
  <c r="L229" i="2"/>
  <c r="K229" i="2"/>
  <c r="AH228" i="2"/>
  <c r="AD228" i="2"/>
  <c r="AI228" i="2" s="1"/>
  <c r="AC228" i="2"/>
  <c r="AB228" i="2"/>
  <c r="AA228" i="2"/>
  <c r="W228" i="2"/>
  <c r="L228" i="2"/>
  <c r="K228" i="2"/>
  <c r="AH227" i="2"/>
  <c r="AC227" i="2"/>
  <c r="AB227" i="2"/>
  <c r="AA227" i="2"/>
  <c r="W227" i="2"/>
  <c r="L227" i="2"/>
  <c r="K227" i="2"/>
  <c r="AH226" i="2"/>
  <c r="AC226" i="2"/>
  <c r="AE226" i="2" s="1"/>
  <c r="AJ226" i="2" s="1"/>
  <c r="AB226" i="2"/>
  <c r="AA226" i="2"/>
  <c r="W226" i="2"/>
  <c r="L226" i="2"/>
  <c r="K226" i="2"/>
  <c r="AH225" i="2"/>
  <c r="AE225" i="2"/>
  <c r="AJ225" i="2" s="1"/>
  <c r="AC225" i="2"/>
  <c r="AB225" i="2"/>
  <c r="AA225" i="2"/>
  <c r="W225" i="2"/>
  <c r="L225" i="2"/>
  <c r="K225" i="2"/>
  <c r="AD225" i="2" s="1"/>
  <c r="AH224" i="2"/>
  <c r="AC224" i="2"/>
  <c r="AB224" i="2"/>
  <c r="AA224" i="2"/>
  <c r="W224" i="2"/>
  <c r="L224" i="2"/>
  <c r="K224" i="2"/>
  <c r="AH223" i="2"/>
  <c r="AC223" i="2"/>
  <c r="AB223" i="2"/>
  <c r="AA223" i="2"/>
  <c r="W223" i="2"/>
  <c r="L223" i="2"/>
  <c r="AE223" i="2" s="1"/>
  <c r="AJ223" i="2" s="1"/>
  <c r="K223" i="2"/>
  <c r="AD223" i="2" s="1"/>
  <c r="AI223" i="2" s="1"/>
  <c r="AH222" i="2"/>
  <c r="AC222" i="2"/>
  <c r="AB222" i="2"/>
  <c r="AA222" i="2"/>
  <c r="W222" i="2"/>
  <c r="L222" i="2"/>
  <c r="K222" i="2"/>
  <c r="AH221" i="2"/>
  <c r="AC221" i="2"/>
  <c r="AB221" i="2"/>
  <c r="AA221" i="2"/>
  <c r="W221" i="2"/>
  <c r="L221" i="2"/>
  <c r="K221" i="2"/>
  <c r="AH220" i="2"/>
  <c r="AD220" i="2"/>
  <c r="AI220" i="2" s="1"/>
  <c r="AC220" i="2"/>
  <c r="AB220" i="2"/>
  <c r="AA220" i="2"/>
  <c r="W220" i="2"/>
  <c r="L220" i="2"/>
  <c r="K220" i="2"/>
  <c r="AH219" i="2"/>
  <c r="AC219" i="2"/>
  <c r="AB219" i="2"/>
  <c r="AA219" i="2"/>
  <c r="W219" i="2"/>
  <c r="L219" i="2"/>
  <c r="K219" i="2"/>
  <c r="AH218" i="2"/>
  <c r="AC218" i="2"/>
  <c r="AE218" i="2" s="1"/>
  <c r="AJ218" i="2" s="1"/>
  <c r="AB218" i="2"/>
  <c r="AA218" i="2"/>
  <c r="W218" i="2"/>
  <c r="L218" i="2"/>
  <c r="K218" i="2"/>
  <c r="AH217" i="2"/>
  <c r="AE217" i="2"/>
  <c r="AJ217" i="2" s="1"/>
  <c r="AC217" i="2"/>
  <c r="AB217" i="2"/>
  <c r="AA217" i="2"/>
  <c r="W217" i="2"/>
  <c r="L217" i="2"/>
  <c r="K217" i="2"/>
  <c r="AD217" i="2" s="1"/>
  <c r="AI217" i="2" s="1"/>
  <c r="AH216" i="2"/>
  <c r="AC216" i="2"/>
  <c r="AB216" i="2"/>
  <c r="AA216" i="2"/>
  <c r="W216" i="2"/>
  <c r="L216" i="2"/>
  <c r="K216" i="2"/>
  <c r="AH215" i="2"/>
  <c r="AC215" i="2"/>
  <c r="AB215" i="2"/>
  <c r="AA215" i="2"/>
  <c r="W215" i="2"/>
  <c r="L215" i="2"/>
  <c r="AE215" i="2" s="1"/>
  <c r="AJ215" i="2" s="1"/>
  <c r="K215" i="2"/>
  <c r="AD215" i="2" s="1"/>
  <c r="AI215" i="2" s="1"/>
  <c r="AH214" i="2"/>
  <c r="AC214" i="2"/>
  <c r="AB214" i="2"/>
  <c r="AA214" i="2"/>
  <c r="W214" i="2"/>
  <c r="L214" i="2"/>
  <c r="K214" i="2"/>
  <c r="AH213" i="2"/>
  <c r="AC213" i="2"/>
  <c r="AB213" i="2"/>
  <c r="AA213" i="2"/>
  <c r="W213" i="2"/>
  <c r="L213" i="2"/>
  <c r="K213" i="2"/>
  <c r="AH212" i="2"/>
  <c r="AD212" i="2"/>
  <c r="AI212" i="2" s="1"/>
  <c r="AC212" i="2"/>
  <c r="AB212" i="2"/>
  <c r="AA212" i="2"/>
  <c r="W212" i="2"/>
  <c r="L212" i="2"/>
  <c r="AE212" i="2" s="1"/>
  <c r="AJ212" i="2" s="1"/>
  <c r="K212" i="2"/>
  <c r="AH211" i="2"/>
  <c r="AC211" i="2"/>
  <c r="AB211" i="2"/>
  <c r="AA211" i="2"/>
  <c r="W211" i="2"/>
  <c r="L211" i="2"/>
  <c r="K211" i="2"/>
  <c r="AH210" i="2"/>
  <c r="AC210" i="2"/>
  <c r="AE210" i="2" s="1"/>
  <c r="AJ210" i="2" s="1"/>
  <c r="AB210" i="2"/>
  <c r="AA210" i="2"/>
  <c r="W210" i="2"/>
  <c r="L210" i="2"/>
  <c r="K210" i="2"/>
  <c r="AH209" i="2"/>
  <c r="AE209" i="2"/>
  <c r="AJ209" i="2" s="1"/>
  <c r="AC209" i="2"/>
  <c r="AB209" i="2"/>
  <c r="AA209" i="2"/>
  <c r="W209" i="2"/>
  <c r="L209" i="2"/>
  <c r="K209" i="2"/>
  <c r="AD209" i="2" s="1"/>
  <c r="AH208" i="2"/>
  <c r="AC208" i="2"/>
  <c r="AB208" i="2"/>
  <c r="AA208" i="2"/>
  <c r="W208" i="2"/>
  <c r="L208" i="2"/>
  <c r="K208" i="2"/>
  <c r="AH207" i="2"/>
  <c r="AC207" i="2"/>
  <c r="AB207" i="2"/>
  <c r="AA207" i="2"/>
  <c r="W207" i="2"/>
  <c r="L207" i="2"/>
  <c r="AE207" i="2" s="1"/>
  <c r="AJ207" i="2" s="1"/>
  <c r="K207" i="2"/>
  <c r="AD207" i="2" s="1"/>
  <c r="AI207" i="2" s="1"/>
  <c r="AH206" i="2"/>
  <c r="AC206" i="2"/>
  <c r="AB206" i="2"/>
  <c r="AA206" i="2"/>
  <c r="W206" i="2"/>
  <c r="L206" i="2"/>
  <c r="K206" i="2"/>
  <c r="AH205" i="2"/>
  <c r="AC205" i="2"/>
  <c r="AB205" i="2"/>
  <c r="AA205" i="2"/>
  <c r="W205" i="2"/>
  <c r="L205" i="2"/>
  <c r="K205" i="2"/>
  <c r="AH204" i="2"/>
  <c r="AD204" i="2"/>
  <c r="AI204" i="2" s="1"/>
  <c r="AC204" i="2"/>
  <c r="AB204" i="2"/>
  <c r="AA204" i="2"/>
  <c r="W204" i="2"/>
  <c r="L204" i="2"/>
  <c r="AE204" i="2" s="1"/>
  <c r="AJ204" i="2" s="1"/>
  <c r="K204" i="2"/>
  <c r="AH203" i="2"/>
  <c r="AC203" i="2"/>
  <c r="AB203" i="2"/>
  <c r="AA203" i="2"/>
  <c r="W203" i="2"/>
  <c r="L203" i="2"/>
  <c r="K203" i="2"/>
  <c r="AH202" i="2"/>
  <c r="AE202" i="2"/>
  <c r="AJ202" i="2" s="1"/>
  <c r="AC202" i="2"/>
  <c r="AB202" i="2"/>
  <c r="AA202" i="2"/>
  <c r="W202" i="2"/>
  <c r="L202" i="2"/>
  <c r="K202" i="2"/>
  <c r="AJ201" i="2"/>
  <c r="AH201" i="2"/>
  <c r="AE201" i="2"/>
  <c r="AC201" i="2"/>
  <c r="AB201" i="2"/>
  <c r="AA201" i="2"/>
  <c r="W201" i="2"/>
  <c r="L201" i="2"/>
  <c r="K201" i="2"/>
  <c r="AD201" i="2" s="1"/>
  <c r="AI201" i="2" s="1"/>
  <c r="AH200" i="2"/>
  <c r="AC200" i="2"/>
  <c r="AB200" i="2"/>
  <c r="AA200" i="2"/>
  <c r="W200" i="2"/>
  <c r="L200" i="2"/>
  <c r="K200" i="2"/>
  <c r="AH199" i="2"/>
  <c r="AC199" i="2"/>
  <c r="AB199" i="2"/>
  <c r="AA199" i="2"/>
  <c r="W199" i="2"/>
  <c r="L199" i="2"/>
  <c r="AE199" i="2" s="1"/>
  <c r="AJ199" i="2" s="1"/>
  <c r="K199" i="2"/>
  <c r="AD199" i="2" s="1"/>
  <c r="AI199" i="2" s="1"/>
  <c r="AH198" i="2"/>
  <c r="AC198" i="2"/>
  <c r="AB198" i="2"/>
  <c r="AA198" i="2"/>
  <c r="W198" i="2"/>
  <c r="L198" i="2"/>
  <c r="K198" i="2"/>
  <c r="AH197" i="2"/>
  <c r="AC197" i="2"/>
  <c r="AB197" i="2"/>
  <c r="AA197" i="2"/>
  <c r="W197" i="2"/>
  <c r="L197" i="2"/>
  <c r="K197" i="2"/>
  <c r="AH196" i="2"/>
  <c r="AD196" i="2"/>
  <c r="AI196" i="2" s="1"/>
  <c r="AC196" i="2"/>
  <c r="AB196" i="2"/>
  <c r="AA196" i="2"/>
  <c r="W196" i="2"/>
  <c r="L196" i="2"/>
  <c r="K196" i="2"/>
  <c r="AH195" i="2"/>
  <c r="AC195" i="2"/>
  <c r="AB195" i="2"/>
  <c r="AA195" i="2"/>
  <c r="W195" i="2"/>
  <c r="L195" i="2"/>
  <c r="K195" i="2"/>
  <c r="AH194" i="2"/>
  <c r="AC194" i="2"/>
  <c r="AE194" i="2" s="1"/>
  <c r="AJ194" i="2" s="1"/>
  <c r="AB194" i="2"/>
  <c r="AA194" i="2"/>
  <c r="W194" i="2"/>
  <c r="L194" i="2"/>
  <c r="K194" i="2"/>
  <c r="AH193" i="2"/>
  <c r="AE193" i="2"/>
  <c r="AJ193" i="2" s="1"/>
  <c r="AC193" i="2"/>
  <c r="AB193" i="2"/>
  <c r="AA193" i="2"/>
  <c r="W193" i="2"/>
  <c r="L193" i="2"/>
  <c r="K193" i="2"/>
  <c r="AD193" i="2" s="1"/>
  <c r="AH192" i="2"/>
  <c r="AC192" i="2"/>
  <c r="AB192" i="2"/>
  <c r="AA192" i="2"/>
  <c r="W192" i="2"/>
  <c r="L192" i="2"/>
  <c r="K192" i="2"/>
  <c r="AH191" i="2"/>
  <c r="AC191" i="2"/>
  <c r="AB191" i="2"/>
  <c r="AA191" i="2"/>
  <c r="W191" i="2"/>
  <c r="L191" i="2"/>
  <c r="AE191" i="2" s="1"/>
  <c r="AJ191" i="2" s="1"/>
  <c r="K191" i="2"/>
  <c r="AD191" i="2" s="1"/>
  <c r="AI191" i="2" s="1"/>
  <c r="AH190" i="2"/>
  <c r="AC190" i="2"/>
  <c r="AB190" i="2"/>
  <c r="AA190" i="2"/>
  <c r="W190" i="2"/>
  <c r="L190" i="2"/>
  <c r="K190" i="2"/>
  <c r="AH189" i="2"/>
  <c r="AC189" i="2"/>
  <c r="AB189" i="2"/>
  <c r="AA189" i="2"/>
  <c r="W189" i="2"/>
  <c r="L189" i="2"/>
  <c r="K189" i="2"/>
  <c r="AH188" i="2"/>
  <c r="AD188" i="2"/>
  <c r="AI188" i="2" s="1"/>
  <c r="AC188" i="2"/>
  <c r="AB188" i="2"/>
  <c r="AA188" i="2"/>
  <c r="W188" i="2"/>
  <c r="L188" i="2"/>
  <c r="K188" i="2"/>
  <c r="AH187" i="2"/>
  <c r="AC187" i="2"/>
  <c r="AB187" i="2"/>
  <c r="AA187" i="2"/>
  <c r="W187" i="2"/>
  <c r="L187" i="2"/>
  <c r="K187" i="2"/>
  <c r="AH186" i="2"/>
  <c r="AC186" i="2"/>
  <c r="AE186" i="2" s="1"/>
  <c r="AJ186" i="2" s="1"/>
  <c r="AB186" i="2"/>
  <c r="AA186" i="2"/>
  <c r="W186" i="2"/>
  <c r="L186" i="2"/>
  <c r="K186" i="2"/>
  <c r="AH185" i="2"/>
  <c r="AE185" i="2"/>
  <c r="AJ185" i="2" s="1"/>
  <c r="AC185" i="2"/>
  <c r="AB185" i="2"/>
  <c r="AA185" i="2"/>
  <c r="W185" i="2"/>
  <c r="L185" i="2"/>
  <c r="K185" i="2"/>
  <c r="AD185" i="2" s="1"/>
  <c r="AI185" i="2" s="1"/>
  <c r="AH184" i="2"/>
  <c r="AC184" i="2"/>
  <c r="AB184" i="2"/>
  <c r="AA184" i="2"/>
  <c r="W184" i="2"/>
  <c r="L184" i="2"/>
  <c r="K184" i="2"/>
  <c r="AH183" i="2"/>
  <c r="AC183" i="2"/>
  <c r="AB183" i="2"/>
  <c r="AA183" i="2"/>
  <c r="W183" i="2"/>
  <c r="L183" i="2"/>
  <c r="AE183" i="2" s="1"/>
  <c r="AJ183" i="2" s="1"/>
  <c r="K183" i="2"/>
  <c r="AD183" i="2" s="1"/>
  <c r="AI183" i="2" s="1"/>
  <c r="AH182" i="2"/>
  <c r="AC182" i="2"/>
  <c r="AB182" i="2"/>
  <c r="AA182" i="2"/>
  <c r="W182" i="2"/>
  <c r="L182" i="2"/>
  <c r="K182" i="2"/>
  <c r="AH181" i="2"/>
  <c r="AC181" i="2"/>
  <c r="AB181" i="2"/>
  <c r="AA181" i="2"/>
  <c r="W181" i="2"/>
  <c r="L181" i="2"/>
  <c r="K181" i="2"/>
  <c r="AH180" i="2"/>
  <c r="AD180" i="2"/>
  <c r="AI180" i="2" s="1"/>
  <c r="AC180" i="2"/>
  <c r="AB180" i="2"/>
  <c r="AA180" i="2"/>
  <c r="W180" i="2"/>
  <c r="L180" i="2"/>
  <c r="AE180" i="2" s="1"/>
  <c r="AJ180" i="2" s="1"/>
  <c r="K180" i="2"/>
  <c r="AH179" i="2"/>
  <c r="AC179" i="2"/>
  <c r="AB179" i="2"/>
  <c r="AA179" i="2"/>
  <c r="W179" i="2"/>
  <c r="L179" i="2"/>
  <c r="K179" i="2"/>
  <c r="AH178" i="2"/>
  <c r="AC178" i="2"/>
  <c r="AE178" i="2" s="1"/>
  <c r="AJ178" i="2" s="1"/>
  <c r="AB178" i="2"/>
  <c r="AA178" i="2"/>
  <c r="W178" i="2"/>
  <c r="L178" i="2"/>
  <c r="K178" i="2"/>
  <c r="AH177" i="2"/>
  <c r="AE177" i="2"/>
  <c r="AJ177" i="2" s="1"/>
  <c r="AC177" i="2"/>
  <c r="AB177" i="2"/>
  <c r="AA177" i="2"/>
  <c r="W177" i="2"/>
  <c r="L177" i="2"/>
  <c r="K177" i="2"/>
  <c r="AD177" i="2" s="1"/>
  <c r="AH176" i="2"/>
  <c r="AC176" i="2"/>
  <c r="AB176" i="2"/>
  <c r="AA176" i="2"/>
  <c r="W176" i="2"/>
  <c r="L176" i="2"/>
  <c r="K176" i="2"/>
  <c r="AH175" i="2"/>
  <c r="AC175" i="2"/>
  <c r="AB175" i="2"/>
  <c r="AA175" i="2"/>
  <c r="W175" i="2"/>
  <c r="L175" i="2"/>
  <c r="AE175" i="2" s="1"/>
  <c r="AJ175" i="2" s="1"/>
  <c r="K175" i="2"/>
  <c r="AD175" i="2" s="1"/>
  <c r="AI175" i="2" s="1"/>
  <c r="AH174" i="2"/>
  <c r="AC174" i="2"/>
  <c r="AB174" i="2"/>
  <c r="AA174" i="2"/>
  <c r="W174" i="2"/>
  <c r="L174" i="2"/>
  <c r="K174" i="2"/>
  <c r="AH173" i="2"/>
  <c r="AC173" i="2"/>
  <c r="AB173" i="2"/>
  <c r="AA173" i="2"/>
  <c r="W173" i="2"/>
  <c r="L173" i="2"/>
  <c r="K173" i="2"/>
  <c r="AH172" i="2"/>
  <c r="AD172" i="2"/>
  <c r="AI172" i="2" s="1"/>
  <c r="AC172" i="2"/>
  <c r="AB172" i="2"/>
  <c r="AA172" i="2"/>
  <c r="W172" i="2"/>
  <c r="L172" i="2"/>
  <c r="AE172" i="2" s="1"/>
  <c r="AJ172" i="2" s="1"/>
  <c r="K172" i="2"/>
  <c r="AH171" i="2"/>
  <c r="AC171" i="2"/>
  <c r="AB171" i="2"/>
  <c r="AA171" i="2"/>
  <c r="W171" i="2"/>
  <c r="L171" i="2"/>
  <c r="K171" i="2"/>
  <c r="AH170" i="2"/>
  <c r="AE170" i="2"/>
  <c r="AJ170" i="2" s="1"/>
  <c r="AC170" i="2"/>
  <c r="AB170" i="2"/>
  <c r="AA170" i="2"/>
  <c r="W170" i="2"/>
  <c r="L170" i="2"/>
  <c r="K170" i="2"/>
  <c r="AJ169" i="2"/>
  <c r="AH169" i="2"/>
  <c r="AE169" i="2"/>
  <c r="AC169" i="2"/>
  <c r="AB169" i="2"/>
  <c r="AA169" i="2"/>
  <c r="W169" i="2"/>
  <c r="L169" i="2"/>
  <c r="K169" i="2"/>
  <c r="AD169" i="2" s="1"/>
  <c r="AI169" i="2" s="1"/>
  <c r="AH168" i="2"/>
  <c r="AC168" i="2"/>
  <c r="AB168" i="2"/>
  <c r="AA168" i="2"/>
  <c r="W168" i="2"/>
  <c r="L168" i="2"/>
  <c r="K168" i="2"/>
  <c r="AH167" i="2"/>
  <c r="AC167" i="2"/>
  <c r="AB167" i="2"/>
  <c r="AA167" i="2"/>
  <c r="W167" i="2"/>
  <c r="L167" i="2"/>
  <c r="AE167" i="2" s="1"/>
  <c r="AJ167" i="2" s="1"/>
  <c r="K167" i="2"/>
  <c r="AD167" i="2" s="1"/>
  <c r="AI167" i="2" s="1"/>
  <c r="AH166" i="2"/>
  <c r="AC166" i="2"/>
  <c r="AB166" i="2"/>
  <c r="AA166" i="2"/>
  <c r="W166" i="2"/>
  <c r="L166" i="2"/>
  <c r="K166" i="2"/>
  <c r="AH165" i="2"/>
  <c r="AC165" i="2"/>
  <c r="AB165" i="2"/>
  <c r="AA165" i="2"/>
  <c r="W165" i="2"/>
  <c r="L165" i="2"/>
  <c r="K165" i="2"/>
  <c r="AH164" i="2"/>
  <c r="AD164" i="2"/>
  <c r="AI164" i="2" s="1"/>
  <c r="AC164" i="2"/>
  <c r="AB164" i="2"/>
  <c r="AA164" i="2"/>
  <c r="W164" i="2"/>
  <c r="L164" i="2"/>
  <c r="K164" i="2"/>
  <c r="AH163" i="2"/>
  <c r="AC163" i="2"/>
  <c r="AB163" i="2"/>
  <c r="AA163" i="2"/>
  <c r="W163" i="2"/>
  <c r="L163" i="2"/>
  <c r="K163" i="2"/>
  <c r="AH162" i="2"/>
  <c r="AC162" i="2"/>
  <c r="AE162" i="2" s="1"/>
  <c r="AJ162" i="2" s="1"/>
  <c r="AB162" i="2"/>
  <c r="AA162" i="2"/>
  <c r="W162" i="2"/>
  <c r="L162" i="2"/>
  <c r="K162" i="2"/>
  <c r="AH161" i="2"/>
  <c r="AE161" i="2"/>
  <c r="AJ161" i="2" s="1"/>
  <c r="AC161" i="2"/>
  <c r="AB161" i="2"/>
  <c r="AA161" i="2"/>
  <c r="W161" i="2"/>
  <c r="L161" i="2"/>
  <c r="K161" i="2"/>
  <c r="AD161" i="2" s="1"/>
  <c r="AH160" i="2"/>
  <c r="AC160" i="2"/>
  <c r="AB160" i="2"/>
  <c r="AA160" i="2"/>
  <c r="W160" i="2"/>
  <c r="L160" i="2"/>
  <c r="K160" i="2"/>
  <c r="AH159" i="2"/>
  <c r="AC159" i="2"/>
  <c r="AB159" i="2"/>
  <c r="AA159" i="2"/>
  <c r="W159" i="2"/>
  <c r="L159" i="2"/>
  <c r="AE159" i="2" s="1"/>
  <c r="AJ159" i="2" s="1"/>
  <c r="K159" i="2"/>
  <c r="AD159" i="2" s="1"/>
  <c r="AI159" i="2" s="1"/>
  <c r="AH158" i="2"/>
  <c r="AC158" i="2"/>
  <c r="AB158" i="2"/>
  <c r="AA158" i="2"/>
  <c r="W158" i="2"/>
  <c r="L158" i="2"/>
  <c r="K158" i="2"/>
  <c r="AH157" i="2"/>
  <c r="AC157" i="2"/>
  <c r="AB157" i="2"/>
  <c r="AA157" i="2"/>
  <c r="W157" i="2"/>
  <c r="L157" i="2"/>
  <c r="K157" i="2"/>
  <c r="AH156" i="2"/>
  <c r="AE156" i="2"/>
  <c r="AJ156" i="2" s="1"/>
  <c r="AD156" i="2"/>
  <c r="AI156" i="2" s="1"/>
  <c r="AC156" i="2"/>
  <c r="AB156" i="2"/>
  <c r="AA156" i="2"/>
  <c r="W156" i="2"/>
  <c r="L156" i="2"/>
  <c r="K156" i="2"/>
  <c r="AH155" i="2"/>
  <c r="AC155" i="2"/>
  <c r="AB155" i="2"/>
  <c r="AA155" i="2"/>
  <c r="W155" i="2"/>
  <c r="L155" i="2"/>
  <c r="K155" i="2"/>
  <c r="AH154" i="2"/>
  <c r="AC154" i="2"/>
  <c r="AB154" i="2"/>
  <c r="AA154" i="2"/>
  <c r="W154" i="2"/>
  <c r="L154" i="2"/>
  <c r="K154" i="2"/>
  <c r="AH153" i="2"/>
  <c r="AC153" i="2"/>
  <c r="AB153" i="2"/>
  <c r="AA153" i="2"/>
  <c r="W153" i="2"/>
  <c r="L153" i="2"/>
  <c r="K153" i="2"/>
  <c r="AH152" i="2"/>
  <c r="AC152" i="2"/>
  <c r="AB152" i="2"/>
  <c r="AA152" i="2"/>
  <c r="W152" i="2"/>
  <c r="L152" i="2"/>
  <c r="K152" i="2"/>
  <c r="AH151" i="2"/>
  <c r="AC151" i="2"/>
  <c r="AB151" i="2"/>
  <c r="AD151" i="2" s="1"/>
  <c r="AI151" i="2" s="1"/>
  <c r="AA151" i="2"/>
  <c r="W151" i="2"/>
  <c r="L151" i="2"/>
  <c r="K151" i="2"/>
  <c r="AH150" i="2"/>
  <c r="AE150" i="2"/>
  <c r="AC150" i="2"/>
  <c r="AB150" i="2"/>
  <c r="AA150" i="2"/>
  <c r="W150" i="2"/>
  <c r="L150" i="2"/>
  <c r="K150" i="2"/>
  <c r="AH149" i="2"/>
  <c r="AE149" i="2"/>
  <c r="AJ149" i="2" s="1"/>
  <c r="AC149" i="2"/>
  <c r="AB149" i="2"/>
  <c r="AA149" i="2"/>
  <c r="AD149" i="2" s="1"/>
  <c r="AI149" i="2" s="1"/>
  <c r="W149" i="2"/>
  <c r="L149" i="2"/>
  <c r="K149" i="2"/>
  <c r="AH148" i="2"/>
  <c r="AD148" i="2"/>
  <c r="AI148" i="2" s="1"/>
  <c r="AC148" i="2"/>
  <c r="AB148" i="2"/>
  <c r="AA148" i="2"/>
  <c r="W148" i="2"/>
  <c r="L148" i="2"/>
  <c r="AE148" i="2" s="1"/>
  <c r="AJ148" i="2" s="1"/>
  <c r="K148" i="2"/>
  <c r="AH147" i="2"/>
  <c r="AC147" i="2"/>
  <c r="AB147" i="2"/>
  <c r="AA147" i="2"/>
  <c r="W147" i="2"/>
  <c r="L147" i="2"/>
  <c r="K147" i="2"/>
  <c r="AH146" i="2"/>
  <c r="AC146" i="2"/>
  <c r="AB146" i="2"/>
  <c r="AA146" i="2"/>
  <c r="W146" i="2"/>
  <c r="L146" i="2"/>
  <c r="K146" i="2"/>
  <c r="AH145" i="2"/>
  <c r="AE145" i="2"/>
  <c r="AJ145" i="2" s="1"/>
  <c r="AD145" i="2"/>
  <c r="AI145" i="2" s="1"/>
  <c r="AC145" i="2"/>
  <c r="AB145" i="2"/>
  <c r="AA145" i="2"/>
  <c r="W145" i="2"/>
  <c r="L145" i="2"/>
  <c r="K145" i="2"/>
  <c r="AH144" i="2"/>
  <c r="AC144" i="2"/>
  <c r="AB144" i="2"/>
  <c r="AA144" i="2"/>
  <c r="W144" i="2"/>
  <c r="L144" i="2"/>
  <c r="K144" i="2"/>
  <c r="AI143" i="2"/>
  <c r="AH143" i="2"/>
  <c r="AC143" i="2"/>
  <c r="AB143" i="2"/>
  <c r="AA143" i="2"/>
  <c r="W143" i="2"/>
  <c r="L143" i="2"/>
  <c r="AE143" i="2" s="1"/>
  <c r="AJ143" i="2" s="1"/>
  <c r="K143" i="2"/>
  <c r="AD143" i="2" s="1"/>
  <c r="AH142" i="2"/>
  <c r="AC142" i="2"/>
  <c r="AB142" i="2"/>
  <c r="AA142" i="2"/>
  <c r="W142" i="2"/>
  <c r="L142" i="2"/>
  <c r="K142" i="2"/>
  <c r="AH141" i="2"/>
  <c r="AC141" i="2"/>
  <c r="AB141" i="2"/>
  <c r="AA141" i="2"/>
  <c r="W141" i="2"/>
  <c r="L141" i="2"/>
  <c r="K141" i="2"/>
  <c r="AH140" i="2"/>
  <c r="AE140" i="2"/>
  <c r="AJ140" i="2" s="1"/>
  <c r="AD140" i="2"/>
  <c r="AI140" i="2" s="1"/>
  <c r="AC140" i="2"/>
  <c r="AB140" i="2"/>
  <c r="AA140" i="2"/>
  <c r="W140" i="2"/>
  <c r="L140" i="2"/>
  <c r="K140" i="2"/>
  <c r="AH139" i="2"/>
  <c r="AC139" i="2"/>
  <c r="AB139" i="2"/>
  <c r="AA139" i="2"/>
  <c r="W139" i="2"/>
  <c r="L139" i="2"/>
  <c r="K139" i="2"/>
  <c r="AH138" i="2"/>
  <c r="AC138" i="2"/>
  <c r="AB138" i="2"/>
  <c r="AA138" i="2"/>
  <c r="W138" i="2"/>
  <c r="L138" i="2"/>
  <c r="K138" i="2"/>
  <c r="AH137" i="2"/>
  <c r="AC137" i="2"/>
  <c r="AB137" i="2"/>
  <c r="AA137" i="2"/>
  <c r="W137" i="2"/>
  <c r="L137" i="2"/>
  <c r="K137" i="2"/>
  <c r="AH136" i="2"/>
  <c r="AC136" i="2"/>
  <c r="AB136" i="2"/>
  <c r="AA136" i="2"/>
  <c r="W136" i="2"/>
  <c r="L136" i="2"/>
  <c r="K136" i="2"/>
  <c r="AH135" i="2"/>
  <c r="AC135" i="2"/>
  <c r="AB135" i="2"/>
  <c r="AD135" i="2" s="1"/>
  <c r="AI135" i="2" s="1"/>
  <c r="AA135" i="2"/>
  <c r="W135" i="2"/>
  <c r="L135" i="2"/>
  <c r="K135" i="2"/>
  <c r="AH134" i="2"/>
  <c r="AE134" i="2"/>
  <c r="AC134" i="2"/>
  <c r="AB134" i="2"/>
  <c r="AA134" i="2"/>
  <c r="W134" i="2"/>
  <c r="L134" i="2"/>
  <c r="K134" i="2"/>
  <c r="AH133" i="2"/>
  <c r="AE133" i="2"/>
  <c r="AJ133" i="2" s="1"/>
  <c r="AC133" i="2"/>
  <c r="AB133" i="2"/>
  <c r="AA133" i="2"/>
  <c r="AD133" i="2" s="1"/>
  <c r="AI133" i="2" s="1"/>
  <c r="W133" i="2"/>
  <c r="L133" i="2"/>
  <c r="K133" i="2"/>
  <c r="AH132" i="2"/>
  <c r="AD132" i="2"/>
  <c r="AI132" i="2" s="1"/>
  <c r="AC132" i="2"/>
  <c r="AB132" i="2"/>
  <c r="AA132" i="2"/>
  <c r="W132" i="2"/>
  <c r="L132" i="2"/>
  <c r="AE132" i="2" s="1"/>
  <c r="AJ132" i="2" s="1"/>
  <c r="K132" i="2"/>
  <c r="AH131" i="2"/>
  <c r="AC131" i="2"/>
  <c r="AB131" i="2"/>
  <c r="AA131" i="2"/>
  <c r="W131" i="2"/>
  <c r="L131" i="2"/>
  <c r="K131" i="2"/>
  <c r="AH130" i="2"/>
  <c r="AC130" i="2"/>
  <c r="AB130" i="2"/>
  <c r="AA130" i="2"/>
  <c r="W130" i="2"/>
  <c r="L130" i="2"/>
  <c r="K130" i="2"/>
  <c r="AH129" i="2"/>
  <c r="AE129" i="2"/>
  <c r="AJ129" i="2" s="1"/>
  <c r="AD129" i="2"/>
  <c r="AI129" i="2" s="1"/>
  <c r="AC129" i="2"/>
  <c r="AB129" i="2"/>
  <c r="AA129" i="2"/>
  <c r="W129" i="2"/>
  <c r="L129" i="2"/>
  <c r="K129" i="2"/>
  <c r="AH128" i="2"/>
  <c r="AC128" i="2"/>
  <c r="AB128" i="2"/>
  <c r="AA128" i="2"/>
  <c r="W128" i="2"/>
  <c r="L128" i="2"/>
  <c r="K128" i="2"/>
  <c r="AI127" i="2"/>
  <c r="AH127" i="2"/>
  <c r="AC127" i="2"/>
  <c r="AB127" i="2"/>
  <c r="AA127" i="2"/>
  <c r="W127" i="2"/>
  <c r="L127" i="2"/>
  <c r="AE127" i="2" s="1"/>
  <c r="AJ127" i="2" s="1"/>
  <c r="K127" i="2"/>
  <c r="AD127" i="2" s="1"/>
  <c r="AH126" i="2"/>
  <c r="AC126" i="2"/>
  <c r="AB126" i="2"/>
  <c r="AA126" i="2"/>
  <c r="W126" i="2"/>
  <c r="L126" i="2"/>
  <c r="K126" i="2"/>
  <c r="AH125" i="2"/>
  <c r="AC125" i="2"/>
  <c r="AB125" i="2"/>
  <c r="AA125" i="2"/>
  <c r="W125" i="2"/>
  <c r="L125" i="2"/>
  <c r="K125" i="2"/>
  <c r="AH124" i="2"/>
  <c r="AE124" i="2"/>
  <c r="AD124" i="2"/>
  <c r="AI124" i="2" s="1"/>
  <c r="AC124" i="2"/>
  <c r="AB124" i="2"/>
  <c r="AA124" i="2"/>
  <c r="W124" i="2"/>
  <c r="L124" i="2"/>
  <c r="K124" i="2"/>
  <c r="AH123" i="2"/>
  <c r="AC123" i="2"/>
  <c r="AB123" i="2"/>
  <c r="AA123" i="2"/>
  <c r="W123" i="2"/>
  <c r="L123" i="2"/>
  <c r="K123" i="2"/>
  <c r="AH122" i="2"/>
  <c r="AE122" i="2"/>
  <c r="AC122" i="2"/>
  <c r="AB122" i="2"/>
  <c r="AA122" i="2"/>
  <c r="W122" i="2"/>
  <c r="L122" i="2"/>
  <c r="K122" i="2"/>
  <c r="AH121" i="2"/>
  <c r="AC121" i="2"/>
  <c r="AE121" i="2" s="1"/>
  <c r="AJ121" i="2" s="1"/>
  <c r="AB121" i="2"/>
  <c r="AA121" i="2"/>
  <c r="AD121" i="2" s="1"/>
  <c r="AI121" i="2" s="1"/>
  <c r="W121" i="2"/>
  <c r="L121" i="2"/>
  <c r="K121" i="2"/>
  <c r="AH120" i="2"/>
  <c r="AD120" i="2"/>
  <c r="AI120" i="2" s="1"/>
  <c r="AC120" i="2"/>
  <c r="AB120" i="2"/>
  <c r="AA120" i="2"/>
  <c r="W120" i="2"/>
  <c r="L120" i="2"/>
  <c r="K120" i="2"/>
  <c r="AH119" i="2"/>
  <c r="AC119" i="2"/>
  <c r="AB119" i="2"/>
  <c r="AA119" i="2"/>
  <c r="W119" i="2"/>
  <c r="L119" i="2"/>
  <c r="K119" i="2"/>
  <c r="AJ118" i="2"/>
  <c r="AH118" i="2"/>
  <c r="AC118" i="2"/>
  <c r="AB118" i="2"/>
  <c r="AA118" i="2"/>
  <c r="AE118" i="2" s="1"/>
  <c r="W118" i="2"/>
  <c r="L118" i="2"/>
  <c r="K118" i="2"/>
  <c r="AH117" i="2"/>
  <c r="AD117" i="2"/>
  <c r="AI117" i="2" s="1"/>
  <c r="AC117" i="2"/>
  <c r="AB117" i="2"/>
  <c r="AA117" i="2"/>
  <c r="W117" i="2"/>
  <c r="L117" i="2"/>
  <c r="AE117" i="2" s="1"/>
  <c r="AJ117" i="2" s="1"/>
  <c r="K117" i="2"/>
  <c r="AH116" i="2"/>
  <c r="AJ116" i="2" s="1"/>
  <c r="AC116" i="2"/>
  <c r="AB116" i="2"/>
  <c r="AA116" i="2"/>
  <c r="W116" i="2"/>
  <c r="L116" i="2"/>
  <c r="AE116" i="2" s="1"/>
  <c r="K116" i="2"/>
  <c r="AH115" i="2"/>
  <c r="AC115" i="2"/>
  <c r="AB115" i="2"/>
  <c r="AA115" i="2"/>
  <c r="AD115" i="2" s="1"/>
  <c r="AI115" i="2" s="1"/>
  <c r="W115" i="2"/>
  <c r="L115" i="2"/>
  <c r="K115" i="2"/>
  <c r="AH114" i="2"/>
  <c r="AC114" i="2"/>
  <c r="AB114" i="2"/>
  <c r="AD114" i="2" s="1"/>
  <c r="AI114" i="2" s="1"/>
  <c r="AA114" i="2"/>
  <c r="AE114" i="2" s="1"/>
  <c r="AJ114" i="2" s="1"/>
  <c r="W114" i="2"/>
  <c r="L114" i="2"/>
  <c r="K114" i="2"/>
  <c r="AH113" i="2"/>
  <c r="AE113" i="2"/>
  <c r="AJ113" i="2" s="1"/>
  <c r="AC113" i="2"/>
  <c r="AB113" i="2"/>
  <c r="AA113" i="2"/>
  <c r="W113" i="2"/>
  <c r="L113" i="2"/>
  <c r="K113" i="2"/>
  <c r="AH112" i="2"/>
  <c r="AC112" i="2"/>
  <c r="AB112" i="2"/>
  <c r="AA112" i="2"/>
  <c r="W112" i="2"/>
  <c r="L112" i="2"/>
  <c r="K112" i="2"/>
  <c r="AH111" i="2"/>
  <c r="AC111" i="2"/>
  <c r="AE111" i="2" s="1"/>
  <c r="AJ111" i="2" s="1"/>
  <c r="AB111" i="2"/>
  <c r="AA111" i="2"/>
  <c r="W111" i="2"/>
  <c r="L111" i="2"/>
  <c r="K111" i="2"/>
  <c r="AH110" i="2"/>
  <c r="AE110" i="2"/>
  <c r="AJ110" i="2" s="1"/>
  <c r="AD110" i="2"/>
  <c r="AI110" i="2" s="1"/>
  <c r="AC110" i="2"/>
  <c r="AB110" i="2"/>
  <c r="AA110" i="2"/>
  <c r="W110" i="2"/>
  <c r="L110" i="2"/>
  <c r="K110" i="2"/>
  <c r="AH109" i="2"/>
  <c r="AC109" i="2"/>
  <c r="AB109" i="2"/>
  <c r="AA109" i="2"/>
  <c r="W109" i="2"/>
  <c r="L109" i="2"/>
  <c r="K109" i="2"/>
  <c r="AH108" i="2"/>
  <c r="AC108" i="2"/>
  <c r="AB108" i="2"/>
  <c r="AA108" i="2"/>
  <c r="W108" i="2"/>
  <c r="L108" i="2"/>
  <c r="AE108" i="2" s="1"/>
  <c r="K108" i="2"/>
  <c r="AD108" i="2" s="1"/>
  <c r="AI108" i="2" s="1"/>
  <c r="AH107" i="2"/>
  <c r="AE107" i="2"/>
  <c r="AC107" i="2"/>
  <c r="AB107" i="2"/>
  <c r="AA107" i="2"/>
  <c r="W107" i="2"/>
  <c r="L107" i="2"/>
  <c r="K107" i="2"/>
  <c r="AJ106" i="2"/>
  <c r="AH106" i="2"/>
  <c r="AE106" i="2"/>
  <c r="AC106" i="2"/>
  <c r="AB106" i="2"/>
  <c r="AA106" i="2"/>
  <c r="AD106" i="2" s="1"/>
  <c r="AI106" i="2" s="1"/>
  <c r="W106" i="2"/>
  <c r="L106" i="2"/>
  <c r="K106" i="2"/>
  <c r="AH105" i="2"/>
  <c r="AC105" i="2"/>
  <c r="AB105" i="2"/>
  <c r="AA105" i="2"/>
  <c r="AD105" i="2" s="1"/>
  <c r="AI105" i="2" s="1"/>
  <c r="W105" i="2"/>
  <c r="L105" i="2"/>
  <c r="K105" i="2"/>
  <c r="AH104" i="2"/>
  <c r="AD104" i="2"/>
  <c r="AI104" i="2" s="1"/>
  <c r="AC104" i="2"/>
  <c r="AB104" i="2"/>
  <c r="AA104" i="2"/>
  <c r="W104" i="2"/>
  <c r="L104" i="2"/>
  <c r="K104" i="2"/>
  <c r="AH103" i="2"/>
  <c r="AC103" i="2"/>
  <c r="AB103" i="2"/>
  <c r="AA103" i="2"/>
  <c r="AD103" i="2" s="1"/>
  <c r="AI103" i="2" s="1"/>
  <c r="W103" i="2"/>
  <c r="L103" i="2"/>
  <c r="K103" i="2"/>
  <c r="AJ102" i="2"/>
  <c r="AH102" i="2"/>
  <c r="AC102" i="2"/>
  <c r="AB102" i="2"/>
  <c r="AD102" i="2" s="1"/>
  <c r="AI102" i="2" s="1"/>
  <c r="AA102" i="2"/>
  <c r="AE102" i="2" s="1"/>
  <c r="W102" i="2"/>
  <c r="L102" i="2"/>
  <c r="K102" i="2"/>
  <c r="AH101" i="2"/>
  <c r="AE101" i="2"/>
  <c r="AJ101" i="2" s="1"/>
  <c r="AD101" i="2"/>
  <c r="AI101" i="2" s="1"/>
  <c r="AC101" i="2"/>
  <c r="AB101" i="2"/>
  <c r="AA101" i="2"/>
  <c r="W101" i="2"/>
  <c r="L101" i="2"/>
  <c r="K101" i="2"/>
  <c r="AJ100" i="2"/>
  <c r="AI100" i="2"/>
  <c r="AH100" i="2"/>
  <c r="AC100" i="2"/>
  <c r="AB100" i="2"/>
  <c r="AA100" i="2"/>
  <c r="W100" i="2"/>
  <c r="L100" i="2"/>
  <c r="AE100" i="2" s="1"/>
  <c r="K100" i="2"/>
  <c r="AD100" i="2" s="1"/>
  <c r="AH99" i="2"/>
  <c r="AC99" i="2"/>
  <c r="AB99" i="2"/>
  <c r="AA99" i="2"/>
  <c r="AD99" i="2" s="1"/>
  <c r="AI99" i="2" s="1"/>
  <c r="W99" i="2"/>
  <c r="L99" i="2"/>
  <c r="K99" i="2"/>
  <c r="AH98" i="2"/>
  <c r="AC98" i="2"/>
  <c r="AB98" i="2"/>
  <c r="AA98" i="2"/>
  <c r="AE98" i="2" s="1"/>
  <c r="W98" i="2"/>
  <c r="L98" i="2"/>
  <c r="K98" i="2"/>
  <c r="AD98" i="2" s="1"/>
  <c r="AI98" i="2" s="1"/>
  <c r="AH97" i="2"/>
  <c r="AC97" i="2"/>
  <c r="AB97" i="2"/>
  <c r="AA97" i="2"/>
  <c r="W97" i="2"/>
  <c r="L97" i="2"/>
  <c r="K97" i="2"/>
  <c r="AH96" i="2"/>
  <c r="AC96" i="2"/>
  <c r="AB96" i="2"/>
  <c r="AA96" i="2"/>
  <c r="W96" i="2"/>
  <c r="L96" i="2"/>
  <c r="K96" i="2"/>
  <c r="AH95" i="2"/>
  <c r="AC95" i="2"/>
  <c r="AB95" i="2"/>
  <c r="AA95" i="2"/>
  <c r="W95" i="2"/>
  <c r="L95" i="2"/>
  <c r="K95" i="2"/>
  <c r="AJ94" i="2"/>
  <c r="AH94" i="2"/>
  <c r="AE94" i="2"/>
  <c r="AD94" i="2"/>
  <c r="AI94" i="2" s="1"/>
  <c r="AC94" i="2"/>
  <c r="AB94" i="2"/>
  <c r="AA94" i="2"/>
  <c r="W94" i="2"/>
  <c r="L94" i="2"/>
  <c r="K94" i="2"/>
  <c r="AH93" i="2"/>
  <c r="AC93" i="2"/>
  <c r="AB93" i="2"/>
  <c r="AA93" i="2"/>
  <c r="W93" i="2"/>
  <c r="L93" i="2"/>
  <c r="K93" i="2"/>
  <c r="AH92" i="2"/>
  <c r="AC92" i="2"/>
  <c r="AB92" i="2"/>
  <c r="AD92" i="2" s="1"/>
  <c r="AI92" i="2" s="1"/>
  <c r="AA92" i="2"/>
  <c r="W92" i="2"/>
  <c r="L92" i="2"/>
  <c r="K92" i="2"/>
  <c r="AH91" i="2"/>
  <c r="AE91" i="2"/>
  <c r="AJ91" i="2" s="1"/>
  <c r="AC91" i="2"/>
  <c r="AB91" i="2"/>
  <c r="AA91" i="2"/>
  <c r="W91" i="2"/>
  <c r="L91" i="2"/>
  <c r="K91" i="2"/>
  <c r="AH90" i="2"/>
  <c r="AC90" i="2"/>
  <c r="AE90" i="2" s="1"/>
  <c r="AJ90" i="2" s="1"/>
  <c r="AB90" i="2"/>
  <c r="AA90" i="2"/>
  <c r="W90" i="2"/>
  <c r="L90" i="2"/>
  <c r="K90" i="2"/>
  <c r="AH89" i="2"/>
  <c r="AC89" i="2"/>
  <c r="AE89" i="2" s="1"/>
  <c r="AJ89" i="2" s="1"/>
  <c r="AB89" i="2"/>
  <c r="AA89" i="2"/>
  <c r="AD89" i="2" s="1"/>
  <c r="AI89" i="2" s="1"/>
  <c r="W89" i="2"/>
  <c r="L89" i="2"/>
  <c r="K89" i="2"/>
  <c r="AH88" i="2"/>
  <c r="AD88" i="2"/>
  <c r="AI88" i="2" s="1"/>
  <c r="AC88" i="2"/>
  <c r="AB88" i="2"/>
  <c r="AA88" i="2"/>
  <c r="W88" i="2"/>
  <c r="L88" i="2"/>
  <c r="K88" i="2"/>
  <c r="AH87" i="2"/>
  <c r="AE87" i="2"/>
  <c r="AJ87" i="2" s="1"/>
  <c r="AC87" i="2"/>
  <c r="AB87" i="2"/>
  <c r="AA87" i="2"/>
  <c r="W87" i="2"/>
  <c r="L87" i="2"/>
  <c r="K87" i="2"/>
  <c r="AJ86" i="2"/>
  <c r="AH86" i="2"/>
  <c r="AC86" i="2"/>
  <c r="AB86" i="2"/>
  <c r="AA86" i="2"/>
  <c r="AE86" i="2" s="1"/>
  <c r="W86" i="2"/>
  <c r="L86" i="2"/>
  <c r="K86" i="2"/>
  <c r="AI85" i="2"/>
  <c r="AH85" i="2"/>
  <c r="AD85" i="2"/>
  <c r="AC85" i="2"/>
  <c r="AB85" i="2"/>
  <c r="AA85" i="2"/>
  <c r="W85" i="2"/>
  <c r="L85" i="2"/>
  <c r="AE85" i="2" s="1"/>
  <c r="AJ85" i="2" s="1"/>
  <c r="K85" i="2"/>
  <c r="AH84" i="2"/>
  <c r="AC84" i="2"/>
  <c r="AB84" i="2"/>
  <c r="AA84" i="2"/>
  <c r="AD84" i="2" s="1"/>
  <c r="AI84" i="2" s="1"/>
  <c r="W84" i="2"/>
  <c r="L84" i="2"/>
  <c r="AE84" i="2" s="1"/>
  <c r="AJ84" i="2" s="1"/>
  <c r="K84" i="2"/>
  <c r="AH83" i="2"/>
  <c r="AC83" i="2"/>
  <c r="AB83" i="2"/>
  <c r="AA83" i="2"/>
  <c r="AD83" i="2" s="1"/>
  <c r="AI83" i="2" s="1"/>
  <c r="W83" i="2"/>
  <c r="L83" i="2"/>
  <c r="K83" i="2"/>
  <c r="AH82" i="2"/>
  <c r="AE82" i="2"/>
  <c r="AJ82" i="2" s="1"/>
  <c r="AD82" i="2"/>
  <c r="AI82" i="2" s="1"/>
  <c r="AC82" i="2"/>
  <c r="AB82" i="2"/>
  <c r="AA82" i="2"/>
  <c r="W82" i="2"/>
  <c r="L82" i="2"/>
  <c r="K82" i="2"/>
  <c r="AH81" i="2"/>
  <c r="AC81" i="2"/>
  <c r="AB81" i="2"/>
  <c r="AA81" i="2"/>
  <c r="W81" i="2"/>
  <c r="L81" i="2"/>
  <c r="K81" i="2"/>
  <c r="AH80" i="2"/>
  <c r="AD80" i="2"/>
  <c r="AI80" i="2" s="1"/>
  <c r="AC80" i="2"/>
  <c r="AB80" i="2"/>
  <c r="AA80" i="2"/>
  <c r="W80" i="2"/>
  <c r="L80" i="2"/>
  <c r="K80" i="2"/>
  <c r="AH79" i="2"/>
  <c r="AE79" i="2"/>
  <c r="AJ79" i="2" s="1"/>
  <c r="AC79" i="2"/>
  <c r="AB79" i="2"/>
  <c r="AA79" i="2"/>
  <c r="W79" i="2"/>
  <c r="L79" i="2"/>
  <c r="K79" i="2"/>
  <c r="AJ78" i="2"/>
  <c r="AH78" i="2"/>
  <c r="AC78" i="2"/>
  <c r="AB78" i="2"/>
  <c r="AA78" i="2"/>
  <c r="AE78" i="2" s="1"/>
  <c r="W78" i="2"/>
  <c r="L78" i="2"/>
  <c r="K78" i="2"/>
  <c r="AI77" i="2"/>
  <c r="AH77" i="2"/>
  <c r="AD77" i="2"/>
  <c r="AC77" i="2"/>
  <c r="AB77" i="2"/>
  <c r="AA77" i="2"/>
  <c r="W77" i="2"/>
  <c r="L77" i="2"/>
  <c r="AE77" i="2" s="1"/>
  <c r="AJ77" i="2" s="1"/>
  <c r="K77" i="2"/>
  <c r="AH76" i="2"/>
  <c r="AC76" i="2"/>
  <c r="AB76" i="2"/>
  <c r="AA76" i="2"/>
  <c r="AD76" i="2" s="1"/>
  <c r="AI76" i="2" s="1"/>
  <c r="W76" i="2"/>
  <c r="L76" i="2"/>
  <c r="AE76" i="2" s="1"/>
  <c r="AJ76" i="2" s="1"/>
  <c r="K76" i="2"/>
  <c r="AH75" i="2"/>
  <c r="AC75" i="2"/>
  <c r="AB75" i="2"/>
  <c r="AA75" i="2"/>
  <c r="AD75" i="2" s="1"/>
  <c r="AI75" i="2" s="1"/>
  <c r="W75" i="2"/>
  <c r="L75" i="2"/>
  <c r="K75" i="2"/>
  <c r="AH74" i="2"/>
  <c r="AE74" i="2"/>
  <c r="AJ74" i="2" s="1"/>
  <c r="AD74" i="2"/>
  <c r="AI74" i="2" s="1"/>
  <c r="AC74" i="2"/>
  <c r="AB74" i="2"/>
  <c r="AA74" i="2"/>
  <c r="W74" i="2"/>
  <c r="L74" i="2"/>
  <c r="K74" i="2"/>
  <c r="AH73" i="2"/>
  <c r="AC73" i="2"/>
  <c r="AB73" i="2"/>
  <c r="AA73" i="2"/>
  <c r="W73" i="2"/>
  <c r="L73" i="2"/>
  <c r="K73" i="2"/>
  <c r="AH72" i="2"/>
  <c r="AD72" i="2"/>
  <c r="AI72" i="2" s="1"/>
  <c r="AC72" i="2"/>
  <c r="AB72" i="2"/>
  <c r="AA72" i="2"/>
  <c r="W72" i="2"/>
  <c r="L72" i="2"/>
  <c r="K72" i="2"/>
  <c r="AH71" i="2"/>
  <c r="AE71" i="2"/>
  <c r="AJ71" i="2" s="1"/>
  <c r="AC71" i="2"/>
  <c r="AB71" i="2"/>
  <c r="AA71" i="2"/>
  <c r="W71" i="2"/>
  <c r="L71" i="2"/>
  <c r="K71" i="2"/>
  <c r="AJ70" i="2"/>
  <c r="AH70" i="2"/>
  <c r="AC70" i="2"/>
  <c r="AB70" i="2"/>
  <c r="AA70" i="2"/>
  <c r="AE70" i="2" s="1"/>
  <c r="W70" i="2"/>
  <c r="L70" i="2"/>
  <c r="K70" i="2"/>
  <c r="AI69" i="2"/>
  <c r="AH69" i="2"/>
  <c r="AD69" i="2"/>
  <c r="AC69" i="2"/>
  <c r="AB69" i="2"/>
  <c r="AA69" i="2"/>
  <c r="W69" i="2"/>
  <c r="L69" i="2"/>
  <c r="AE69" i="2" s="1"/>
  <c r="AJ69" i="2" s="1"/>
  <c r="K69" i="2"/>
  <c r="AH68" i="2"/>
  <c r="AC68" i="2"/>
  <c r="AB68" i="2"/>
  <c r="AA68" i="2"/>
  <c r="AD68" i="2" s="1"/>
  <c r="AI68" i="2" s="1"/>
  <c r="W68" i="2"/>
  <c r="L68" i="2"/>
  <c r="AE68" i="2" s="1"/>
  <c r="AJ68" i="2" s="1"/>
  <c r="K68" i="2"/>
  <c r="AH67" i="2"/>
  <c r="AC67" i="2"/>
  <c r="AB67" i="2"/>
  <c r="AA67" i="2"/>
  <c r="AD67" i="2" s="1"/>
  <c r="AI67" i="2" s="1"/>
  <c r="W67" i="2"/>
  <c r="L67" i="2"/>
  <c r="K67" i="2"/>
  <c r="AH66" i="2"/>
  <c r="AE66" i="2"/>
  <c r="AJ66" i="2" s="1"/>
  <c r="AD66" i="2"/>
  <c r="AI66" i="2" s="1"/>
  <c r="AC66" i="2"/>
  <c r="AB66" i="2"/>
  <c r="AA66" i="2"/>
  <c r="W66" i="2"/>
  <c r="L66" i="2"/>
  <c r="K66" i="2"/>
  <c r="AH65" i="2"/>
  <c r="AC65" i="2"/>
  <c r="AB65" i="2"/>
  <c r="AA65" i="2"/>
  <c r="W65" i="2"/>
  <c r="L65" i="2"/>
  <c r="K65" i="2"/>
  <c r="AH64" i="2"/>
  <c r="AD64" i="2"/>
  <c r="AI64" i="2" s="1"/>
  <c r="AC64" i="2"/>
  <c r="AB64" i="2"/>
  <c r="AA64" i="2"/>
  <c r="W64" i="2"/>
  <c r="L64" i="2"/>
  <c r="K64" i="2"/>
  <c r="AH63" i="2"/>
  <c r="AE63" i="2"/>
  <c r="AJ63" i="2" s="1"/>
  <c r="AC63" i="2"/>
  <c r="AB63" i="2"/>
  <c r="AA63" i="2"/>
  <c r="W63" i="2"/>
  <c r="L63" i="2"/>
  <c r="K63" i="2"/>
  <c r="AJ62" i="2"/>
  <c r="AH62" i="2"/>
  <c r="AC62" i="2"/>
  <c r="AB62" i="2"/>
  <c r="AA62" i="2"/>
  <c r="AE62" i="2" s="1"/>
  <c r="W62" i="2"/>
  <c r="L62" i="2"/>
  <c r="K62" i="2"/>
  <c r="AI61" i="2"/>
  <c r="AH61" i="2"/>
  <c r="AD61" i="2"/>
  <c r="AC61" i="2"/>
  <c r="AB61" i="2"/>
  <c r="AA61" i="2"/>
  <c r="W61" i="2"/>
  <c r="L61" i="2"/>
  <c r="AE61" i="2" s="1"/>
  <c r="AJ61" i="2" s="1"/>
  <c r="K61" i="2"/>
  <c r="AH60" i="2"/>
  <c r="AC60" i="2"/>
  <c r="AB60" i="2"/>
  <c r="AA60" i="2"/>
  <c r="AD60" i="2" s="1"/>
  <c r="AI60" i="2" s="1"/>
  <c r="W60" i="2"/>
  <c r="L60" i="2"/>
  <c r="AE60" i="2" s="1"/>
  <c r="AJ60" i="2" s="1"/>
  <c r="K60" i="2"/>
  <c r="AH59" i="2"/>
  <c r="AC59" i="2"/>
  <c r="AB59" i="2"/>
  <c r="AA59" i="2"/>
  <c r="AD59" i="2" s="1"/>
  <c r="AI59" i="2" s="1"/>
  <c r="W59" i="2"/>
  <c r="L59" i="2"/>
  <c r="K59" i="2"/>
  <c r="AH58" i="2"/>
  <c r="AE58" i="2"/>
  <c r="AJ58" i="2" s="1"/>
  <c r="AD58" i="2"/>
  <c r="AI58" i="2" s="1"/>
  <c r="AC58" i="2"/>
  <c r="AB58" i="2"/>
  <c r="AA58" i="2"/>
  <c r="W58" i="2"/>
  <c r="L58" i="2"/>
  <c r="K58" i="2"/>
  <c r="AH57" i="2"/>
  <c r="AC57" i="2"/>
  <c r="AB57" i="2"/>
  <c r="AA57" i="2"/>
  <c r="W57" i="2"/>
  <c r="L57" i="2"/>
  <c r="K57" i="2"/>
  <c r="AH56" i="2"/>
  <c r="AD56" i="2"/>
  <c r="AI56" i="2" s="1"/>
  <c r="AC56" i="2"/>
  <c r="AB56" i="2"/>
  <c r="AA56" i="2"/>
  <c r="W56" i="2"/>
  <c r="L56" i="2"/>
  <c r="K56" i="2"/>
  <c r="AH55" i="2"/>
  <c r="AE55" i="2"/>
  <c r="AJ55" i="2" s="1"/>
  <c r="AC55" i="2"/>
  <c r="AB55" i="2"/>
  <c r="AA55" i="2"/>
  <c r="W55" i="2"/>
  <c r="L55" i="2"/>
  <c r="K55" i="2"/>
  <c r="AJ54" i="2"/>
  <c r="AH54" i="2"/>
  <c r="AC54" i="2"/>
  <c r="AB54" i="2"/>
  <c r="AA54" i="2"/>
  <c r="AE54" i="2" s="1"/>
  <c r="W54" i="2"/>
  <c r="L54" i="2"/>
  <c r="K54" i="2"/>
  <c r="AI53" i="2"/>
  <c r="AH53" i="2"/>
  <c r="AD53" i="2"/>
  <c r="AC53" i="2"/>
  <c r="AB53" i="2"/>
  <c r="AA53" i="2"/>
  <c r="W53" i="2"/>
  <c r="L53" i="2"/>
  <c r="AE53" i="2" s="1"/>
  <c r="AJ53" i="2" s="1"/>
  <c r="K53" i="2"/>
  <c r="AH52" i="2"/>
  <c r="AC52" i="2"/>
  <c r="AB52" i="2"/>
  <c r="AA52" i="2"/>
  <c r="AD52" i="2" s="1"/>
  <c r="AI52" i="2" s="1"/>
  <c r="W52" i="2"/>
  <c r="L52" i="2"/>
  <c r="AE52" i="2" s="1"/>
  <c r="AJ52" i="2" s="1"/>
  <c r="K52" i="2"/>
  <c r="AH51" i="2"/>
  <c r="AC51" i="2"/>
  <c r="AB51" i="2"/>
  <c r="AA51" i="2"/>
  <c r="AD51" i="2" s="1"/>
  <c r="AI51" i="2" s="1"/>
  <c r="W51" i="2"/>
  <c r="L51" i="2"/>
  <c r="K51" i="2"/>
  <c r="AH50" i="2"/>
  <c r="AE50" i="2"/>
  <c r="AJ50" i="2" s="1"/>
  <c r="AD50" i="2"/>
  <c r="AI50" i="2" s="1"/>
  <c r="AC50" i="2"/>
  <c r="AB50" i="2"/>
  <c r="AA50" i="2"/>
  <c r="W50" i="2"/>
  <c r="L50" i="2"/>
  <c r="K50" i="2"/>
  <c r="AH49" i="2"/>
  <c r="AC49" i="2"/>
  <c r="AB49" i="2"/>
  <c r="AA49" i="2"/>
  <c r="W49" i="2"/>
  <c r="L49" i="2"/>
  <c r="K49" i="2"/>
  <c r="AH48" i="2"/>
  <c r="AD48" i="2"/>
  <c r="AI48" i="2" s="1"/>
  <c r="AC48" i="2"/>
  <c r="AB48" i="2"/>
  <c r="AA48" i="2"/>
  <c r="W48" i="2"/>
  <c r="L48" i="2"/>
  <c r="K48" i="2"/>
  <c r="AH47" i="2"/>
  <c r="AE47" i="2"/>
  <c r="AJ47" i="2" s="1"/>
  <c r="AC47" i="2"/>
  <c r="AB47" i="2"/>
  <c r="AA47" i="2"/>
  <c r="W47" i="2"/>
  <c r="L47" i="2"/>
  <c r="K47" i="2"/>
  <c r="AJ46" i="2"/>
  <c r="AH46" i="2"/>
  <c r="AC46" i="2"/>
  <c r="AB46" i="2"/>
  <c r="AA46" i="2"/>
  <c r="AE46" i="2" s="1"/>
  <c r="W46" i="2"/>
  <c r="L46" i="2"/>
  <c r="K46" i="2"/>
  <c r="AI45" i="2"/>
  <c r="AH45" i="2"/>
  <c r="AD45" i="2"/>
  <c r="AC45" i="2"/>
  <c r="AB45" i="2"/>
  <c r="AA45" i="2"/>
  <c r="W45" i="2"/>
  <c r="L45" i="2"/>
  <c r="AE45" i="2" s="1"/>
  <c r="AJ45" i="2" s="1"/>
  <c r="K45" i="2"/>
  <c r="AH44" i="2"/>
  <c r="AC44" i="2"/>
  <c r="AB44" i="2"/>
  <c r="AA44" i="2"/>
  <c r="AD44" i="2" s="1"/>
  <c r="AI44" i="2" s="1"/>
  <c r="W44" i="2"/>
  <c r="L44" i="2"/>
  <c r="AE44" i="2" s="1"/>
  <c r="AJ44" i="2" s="1"/>
  <c r="K44" i="2"/>
  <c r="AH43" i="2"/>
  <c r="AC43" i="2"/>
  <c r="AB43" i="2"/>
  <c r="AA43" i="2"/>
  <c r="AD43" i="2" s="1"/>
  <c r="AI43" i="2" s="1"/>
  <c r="W43" i="2"/>
  <c r="L43" i="2"/>
  <c r="K43" i="2"/>
  <c r="AH42" i="2"/>
  <c r="AE42" i="2"/>
  <c r="AJ42" i="2" s="1"/>
  <c r="AD42" i="2"/>
  <c r="AI42" i="2" s="1"/>
  <c r="AC42" i="2"/>
  <c r="AB42" i="2"/>
  <c r="AA42" i="2"/>
  <c r="W42" i="2"/>
  <c r="L42" i="2"/>
  <c r="K42" i="2"/>
  <c r="AH41" i="2"/>
  <c r="AC41" i="2"/>
  <c r="AB41" i="2"/>
  <c r="AA41" i="2"/>
  <c r="W41" i="2"/>
  <c r="L41" i="2"/>
  <c r="K41" i="2"/>
  <c r="AH40" i="2"/>
  <c r="AD40" i="2"/>
  <c r="AI40" i="2" s="1"/>
  <c r="AC40" i="2"/>
  <c r="AB40" i="2"/>
  <c r="AA40" i="2"/>
  <c r="W40" i="2"/>
  <c r="L40" i="2"/>
  <c r="K40" i="2"/>
  <c r="AH39" i="2"/>
  <c r="AE39" i="2"/>
  <c r="AJ39" i="2" s="1"/>
  <c r="AC39" i="2"/>
  <c r="AB39" i="2"/>
  <c r="AA39" i="2"/>
  <c r="W39" i="2"/>
  <c r="L39" i="2"/>
  <c r="K39" i="2"/>
  <c r="AJ38" i="2"/>
  <c r="AH38" i="2"/>
  <c r="AC38" i="2"/>
  <c r="AB38" i="2"/>
  <c r="AA38" i="2"/>
  <c r="AE38" i="2" s="1"/>
  <c r="W38" i="2"/>
  <c r="L38" i="2"/>
  <c r="K38" i="2"/>
  <c r="AI37" i="2"/>
  <c r="AH37" i="2"/>
  <c r="AD37" i="2"/>
  <c r="AC37" i="2"/>
  <c r="AB37" i="2"/>
  <c r="AA37" i="2"/>
  <c r="W37" i="2"/>
  <c r="L37" i="2"/>
  <c r="AE37" i="2" s="1"/>
  <c r="AJ37" i="2" s="1"/>
  <c r="K37" i="2"/>
  <c r="AH36" i="2"/>
  <c r="AC36" i="2"/>
  <c r="AB36" i="2"/>
  <c r="AA36" i="2"/>
  <c r="AD36" i="2" s="1"/>
  <c r="AI36" i="2" s="1"/>
  <c r="W36" i="2"/>
  <c r="L36" i="2"/>
  <c r="AE36" i="2" s="1"/>
  <c r="AJ36" i="2" s="1"/>
  <c r="K36" i="2"/>
  <c r="AH35" i="2"/>
  <c r="AC35" i="2"/>
  <c r="AB35" i="2"/>
  <c r="AA35" i="2"/>
  <c r="AD35" i="2" s="1"/>
  <c r="AI35" i="2" s="1"/>
  <c r="W35" i="2"/>
  <c r="L35" i="2"/>
  <c r="K35" i="2"/>
  <c r="AH34" i="2"/>
  <c r="AE34" i="2"/>
  <c r="AJ34" i="2" s="1"/>
  <c r="AD34" i="2"/>
  <c r="AI34" i="2" s="1"/>
  <c r="AC34" i="2"/>
  <c r="AB34" i="2"/>
  <c r="AA34" i="2"/>
  <c r="W34" i="2"/>
  <c r="L34" i="2"/>
  <c r="K34" i="2"/>
  <c r="AH33" i="2"/>
  <c r="AC33" i="2"/>
  <c r="AB33" i="2"/>
  <c r="AA33" i="2"/>
  <c r="W33" i="2"/>
  <c r="L33" i="2"/>
  <c r="K33" i="2"/>
  <c r="AH32" i="2"/>
  <c r="AD32" i="2"/>
  <c r="AI32" i="2" s="1"/>
  <c r="AC32" i="2"/>
  <c r="AB32" i="2"/>
  <c r="AA32" i="2"/>
  <c r="W32" i="2"/>
  <c r="L32" i="2"/>
  <c r="K32" i="2"/>
  <c r="AH31" i="2"/>
  <c r="AE31" i="2"/>
  <c r="AJ31" i="2" s="1"/>
  <c r="AC31" i="2"/>
  <c r="AB31" i="2"/>
  <c r="AA31" i="2"/>
  <c r="W31" i="2"/>
  <c r="L31" i="2"/>
  <c r="K31" i="2"/>
  <c r="AJ30" i="2"/>
  <c r="AH30" i="2"/>
  <c r="AC30" i="2"/>
  <c r="AB30" i="2"/>
  <c r="AA30" i="2"/>
  <c r="AE30" i="2" s="1"/>
  <c r="W30" i="2"/>
  <c r="L30" i="2"/>
  <c r="K30" i="2"/>
  <c r="AI29" i="2"/>
  <c r="AH29" i="2"/>
  <c r="AD29" i="2"/>
  <c r="AC29" i="2"/>
  <c r="AB29" i="2"/>
  <c r="AA29" i="2"/>
  <c r="W29" i="2"/>
  <c r="L29" i="2"/>
  <c r="AE29" i="2" s="1"/>
  <c r="AJ29" i="2" s="1"/>
  <c r="K29" i="2"/>
  <c r="AH28" i="2"/>
  <c r="AC28" i="2"/>
  <c r="AB28" i="2"/>
  <c r="AA28" i="2"/>
  <c r="AD28" i="2" s="1"/>
  <c r="AI28" i="2" s="1"/>
  <c r="W28" i="2"/>
  <c r="L28" i="2"/>
  <c r="AE28" i="2" s="1"/>
  <c r="AJ28" i="2" s="1"/>
  <c r="K28" i="2"/>
  <c r="AH27" i="2"/>
  <c r="AC27" i="2"/>
  <c r="AB27" i="2"/>
  <c r="AA27" i="2"/>
  <c r="AD27" i="2" s="1"/>
  <c r="AI27" i="2" s="1"/>
  <c r="W27" i="2"/>
  <c r="L27" i="2"/>
  <c r="K27" i="2"/>
  <c r="AH26" i="2"/>
  <c r="AE26" i="2"/>
  <c r="AJ26" i="2" s="1"/>
  <c r="AD26" i="2"/>
  <c r="AI26" i="2" s="1"/>
  <c r="AC26" i="2"/>
  <c r="AB26" i="2"/>
  <c r="AA26" i="2"/>
  <c r="W26" i="2"/>
  <c r="L26" i="2"/>
  <c r="K26" i="2"/>
  <c r="AH25" i="2"/>
  <c r="AC25" i="2"/>
  <c r="AB25" i="2"/>
  <c r="AA25" i="2"/>
  <c r="W25" i="2"/>
  <c r="L25" i="2"/>
  <c r="K25" i="2"/>
  <c r="AH24" i="2"/>
  <c r="AD24" i="2"/>
  <c r="AI24" i="2" s="1"/>
  <c r="AC24" i="2"/>
  <c r="AB24" i="2"/>
  <c r="AA24" i="2"/>
  <c r="W24" i="2"/>
  <c r="L24" i="2"/>
  <c r="K24" i="2"/>
  <c r="AH23" i="2"/>
  <c r="AE23" i="2"/>
  <c r="AJ23" i="2" s="1"/>
  <c r="AC23" i="2"/>
  <c r="AB23" i="2"/>
  <c r="AA23" i="2"/>
  <c r="W23" i="2"/>
  <c r="L23" i="2"/>
  <c r="K23" i="2"/>
  <c r="AJ22" i="2"/>
  <c r="AH22" i="2"/>
  <c r="AC22" i="2"/>
  <c r="AB22" i="2"/>
  <c r="AA22" i="2"/>
  <c r="AE22" i="2" s="1"/>
  <c r="W22" i="2"/>
  <c r="L22" i="2"/>
  <c r="K22" i="2"/>
  <c r="AI21" i="2"/>
  <c r="AH21" i="2"/>
  <c r="AD21" i="2"/>
  <c r="AC21" i="2"/>
  <c r="AB21" i="2"/>
  <c r="AA21" i="2"/>
  <c r="W21" i="2"/>
  <c r="L21" i="2"/>
  <c r="AE21" i="2" s="1"/>
  <c r="AJ21" i="2" s="1"/>
  <c r="K21" i="2"/>
  <c r="AH20" i="2"/>
  <c r="AC20" i="2"/>
  <c r="AB20" i="2"/>
  <c r="AA20" i="2"/>
  <c r="AD20" i="2" s="1"/>
  <c r="AI20" i="2" s="1"/>
  <c r="W20" i="2"/>
  <c r="L20" i="2"/>
  <c r="AE20" i="2" s="1"/>
  <c r="AJ20" i="2" s="1"/>
  <c r="K20" i="2"/>
  <c r="AH19" i="2"/>
  <c r="AC19" i="2"/>
  <c r="AB19" i="2"/>
  <c r="AA19" i="2"/>
  <c r="AD19" i="2" s="1"/>
  <c r="AI19" i="2" s="1"/>
  <c r="W19" i="2"/>
  <c r="L19" i="2"/>
  <c r="K19" i="2"/>
  <c r="AH18" i="2"/>
  <c r="AE18" i="2"/>
  <c r="AJ18" i="2" s="1"/>
  <c r="AD18" i="2"/>
  <c r="AI18" i="2" s="1"/>
  <c r="AC18" i="2"/>
  <c r="AB18" i="2"/>
  <c r="AA18" i="2"/>
  <c r="W18" i="2"/>
  <c r="L18" i="2"/>
  <c r="K18" i="2"/>
  <c r="AH17" i="2"/>
  <c r="AC17" i="2"/>
  <c r="AB17" i="2"/>
  <c r="AA17" i="2"/>
  <c r="W17" i="2"/>
  <c r="L17" i="2"/>
  <c r="K17" i="2"/>
  <c r="AH16" i="2"/>
  <c r="AD16" i="2"/>
  <c r="AI16" i="2" s="1"/>
  <c r="AC16" i="2"/>
  <c r="AB16" i="2"/>
  <c r="AA16" i="2"/>
  <c r="W16" i="2"/>
  <c r="L16" i="2"/>
  <c r="K16" i="2"/>
  <c r="AH15" i="2"/>
  <c r="AE15" i="2"/>
  <c r="AJ15" i="2" s="1"/>
  <c r="AC15" i="2"/>
  <c r="AB15" i="2"/>
  <c r="AA15" i="2"/>
  <c r="W15" i="2"/>
  <c r="L15" i="2"/>
  <c r="K15" i="2"/>
  <c r="AJ14" i="2"/>
  <c r="AH14" i="2"/>
  <c r="AC14" i="2"/>
  <c r="AB14" i="2"/>
  <c r="AA14" i="2"/>
  <c r="AE14" i="2" s="1"/>
  <c r="W14" i="2"/>
  <c r="L14" i="2"/>
  <c r="K14" i="2"/>
  <c r="AI13" i="2"/>
  <c r="AH13" i="2"/>
  <c r="AD13" i="2"/>
  <c r="AC13" i="2"/>
  <c r="AB13" i="2"/>
  <c r="AA13" i="2"/>
  <c r="W13" i="2"/>
  <c r="L13" i="2"/>
  <c r="AE13" i="2" s="1"/>
  <c r="AJ13" i="2" s="1"/>
  <c r="K13" i="2"/>
  <c r="AH12" i="2"/>
  <c r="AC12" i="2"/>
  <c r="AB12" i="2"/>
  <c r="AA12" i="2"/>
  <c r="AD12" i="2" s="1"/>
  <c r="AI12" i="2" s="1"/>
  <c r="W12" i="2"/>
  <c r="L12" i="2"/>
  <c r="AE12" i="2" s="1"/>
  <c r="AJ12" i="2" s="1"/>
  <c r="K12" i="2"/>
  <c r="AH11" i="2"/>
  <c r="AC11" i="2"/>
  <c r="AB11" i="2"/>
  <c r="AA11" i="2"/>
  <c r="AD11" i="2" s="1"/>
  <c r="AI11" i="2" s="1"/>
  <c r="W11" i="2"/>
  <c r="L11" i="2"/>
  <c r="K11" i="2"/>
  <c r="AH10" i="2"/>
  <c r="AE10" i="2"/>
  <c r="AJ10" i="2" s="1"/>
  <c r="AD10" i="2"/>
  <c r="AI10" i="2" s="1"/>
  <c r="AC10" i="2"/>
  <c r="AB10" i="2"/>
  <c r="AA10" i="2"/>
  <c r="W10" i="2"/>
  <c r="L10" i="2"/>
  <c r="K10" i="2"/>
  <c r="AH9" i="2"/>
  <c r="AC9" i="2"/>
  <c r="AB9" i="2"/>
  <c r="AA9" i="2"/>
  <c r="W9" i="2"/>
  <c r="L9" i="2"/>
  <c r="K9" i="2"/>
  <c r="AH8" i="2"/>
  <c r="AD8" i="2"/>
  <c r="AI8" i="2" s="1"/>
  <c r="AC8" i="2"/>
  <c r="AB8" i="2"/>
  <c r="AA8" i="2"/>
  <c r="W8" i="2"/>
  <c r="L8" i="2"/>
  <c r="K8" i="2"/>
  <c r="AH7" i="2"/>
  <c r="AE7" i="2"/>
  <c r="AJ7" i="2" s="1"/>
  <c r="AC7" i="2"/>
  <c r="AB7" i="2"/>
  <c r="AA7" i="2"/>
  <c r="W7" i="2"/>
  <c r="L7" i="2"/>
  <c r="K7" i="2"/>
  <c r="AJ6" i="2"/>
  <c r="AH6" i="2"/>
  <c r="AC6" i="2"/>
  <c r="AB6" i="2"/>
  <c r="AA6" i="2"/>
  <c r="AE6" i="2" s="1"/>
  <c r="W6" i="2"/>
  <c r="L6" i="2"/>
  <c r="K6" i="2"/>
  <c r="AI5" i="2"/>
  <c r="AH5" i="2"/>
  <c r="AD5" i="2"/>
  <c r="AC5" i="2"/>
  <c r="AB5" i="2"/>
  <c r="AA5" i="2"/>
  <c r="W5" i="2"/>
  <c r="L5" i="2"/>
  <c r="AE5" i="2" s="1"/>
  <c r="AJ5" i="2" s="1"/>
  <c r="K5" i="2"/>
  <c r="AH4" i="2"/>
  <c r="AC4" i="2"/>
  <c r="AB4" i="2"/>
  <c r="AA4" i="2"/>
  <c r="AD4" i="2" s="1"/>
  <c r="AI4" i="2" s="1"/>
  <c r="W4" i="2"/>
  <c r="L4" i="2"/>
  <c r="AE4" i="2" s="1"/>
  <c r="AJ4" i="2" s="1"/>
  <c r="K4" i="2"/>
  <c r="AH3" i="2"/>
  <c r="AC3" i="2"/>
  <c r="AB3" i="2"/>
  <c r="AA3" i="2"/>
  <c r="AD3" i="2" s="1"/>
  <c r="AI3" i="2" s="1"/>
  <c r="W3" i="2"/>
  <c r="L3" i="2"/>
  <c r="K3" i="2"/>
  <c r="AH2" i="2"/>
  <c r="AE2" i="2"/>
  <c r="AJ2" i="2" s="1"/>
  <c r="AD2" i="2"/>
  <c r="AI2" i="2" s="1"/>
  <c r="AC2" i="2"/>
  <c r="AB2" i="2"/>
  <c r="AA2" i="2"/>
  <c r="W2" i="2"/>
  <c r="L2" i="2"/>
  <c r="K2" i="2"/>
  <c r="G7" i="1"/>
  <c r="F7" i="1"/>
  <c r="E7" i="1"/>
  <c r="G6" i="1"/>
  <c r="F6" i="1"/>
  <c r="E6" i="1"/>
  <c r="G5" i="1"/>
  <c r="F5" i="1"/>
  <c r="E5" i="1"/>
  <c r="G4" i="1"/>
  <c r="F4" i="1"/>
  <c r="E4" i="1"/>
  <c r="AE152" i="2" l="1"/>
  <c r="AJ152" i="2" s="1"/>
  <c r="AD152" i="2"/>
  <c r="AI152" i="2" s="1"/>
  <c r="AE157" i="2"/>
  <c r="AJ157" i="2" s="1"/>
  <c r="AD157" i="2"/>
  <c r="AI157" i="2" s="1"/>
  <c r="AE221" i="2"/>
  <c r="AJ221" i="2" s="1"/>
  <c r="AD221" i="2"/>
  <c r="AI221" i="2" s="1"/>
  <c r="AE253" i="2"/>
  <c r="AJ253" i="2" s="1"/>
  <c r="AD253" i="2"/>
  <c r="AI253" i="2" s="1"/>
  <c r="AI161" i="2"/>
  <c r="AE181" i="2"/>
  <c r="AJ181" i="2" s="1"/>
  <c r="AD181" i="2"/>
  <c r="AI181" i="2" s="1"/>
  <c r="AI193" i="2"/>
  <c r="AE213" i="2"/>
  <c r="AJ213" i="2" s="1"/>
  <c r="AD213" i="2"/>
  <c r="AI213" i="2" s="1"/>
  <c r="AI225" i="2"/>
  <c r="AE245" i="2"/>
  <c r="AJ245" i="2" s="1"/>
  <c r="AD245" i="2"/>
  <c r="AI245" i="2" s="1"/>
  <c r="AI257" i="2"/>
  <c r="AE277" i="2"/>
  <c r="AJ277" i="2" s="1"/>
  <c r="AD277" i="2"/>
  <c r="AI277" i="2" s="1"/>
  <c r="AD95" i="2"/>
  <c r="AI95" i="2" s="1"/>
  <c r="AE96" i="2"/>
  <c r="AJ96" i="2" s="1"/>
  <c r="AD96" i="2"/>
  <c r="AI96" i="2" s="1"/>
  <c r="AD97" i="2"/>
  <c r="AI97" i="2" s="1"/>
  <c r="AE103" i="2"/>
  <c r="AJ103" i="2" s="1"/>
  <c r="AE115" i="2"/>
  <c r="AJ115" i="2" s="1"/>
  <c r="AJ124" i="2"/>
  <c r="AJ134" i="2"/>
  <c r="AJ150" i="2"/>
  <c r="AD174" i="2"/>
  <c r="AI174" i="2" s="1"/>
  <c r="AE174" i="2"/>
  <c r="AJ174" i="2" s="1"/>
  <c r="AD206" i="2"/>
  <c r="AI206" i="2" s="1"/>
  <c r="AE206" i="2"/>
  <c r="AJ206" i="2" s="1"/>
  <c r="AD238" i="2"/>
  <c r="AI238" i="2" s="1"/>
  <c r="AE238" i="2"/>
  <c r="AJ238" i="2" s="1"/>
  <c r="AD270" i="2"/>
  <c r="AI270" i="2" s="1"/>
  <c r="AE270" i="2"/>
  <c r="AJ270" i="2" s="1"/>
  <c r="AJ292" i="2"/>
  <c r="AE93" i="2"/>
  <c r="AJ93" i="2" s="1"/>
  <c r="AD93" i="2"/>
  <c r="AI93" i="2" s="1"/>
  <c r="AD130" i="2"/>
  <c r="AI130" i="2" s="1"/>
  <c r="AE130" i="2"/>
  <c r="AJ130" i="2" s="1"/>
  <c r="AE136" i="2"/>
  <c r="AJ136" i="2" s="1"/>
  <c r="AD136" i="2"/>
  <c r="AI136" i="2" s="1"/>
  <c r="AD182" i="2"/>
  <c r="AI182" i="2" s="1"/>
  <c r="AE182" i="2"/>
  <c r="AJ182" i="2" s="1"/>
  <c r="AD214" i="2"/>
  <c r="AI214" i="2" s="1"/>
  <c r="AE214" i="2"/>
  <c r="AJ214" i="2" s="1"/>
  <c r="AE125" i="2"/>
  <c r="AJ125" i="2" s="1"/>
  <c r="AD125" i="2"/>
  <c r="AI125" i="2" s="1"/>
  <c r="AE141" i="2"/>
  <c r="AJ141" i="2" s="1"/>
  <c r="AD141" i="2"/>
  <c r="AI141" i="2" s="1"/>
  <c r="AE189" i="2"/>
  <c r="AJ189" i="2" s="1"/>
  <c r="AD189" i="2"/>
  <c r="AI189" i="2" s="1"/>
  <c r="AD278" i="2"/>
  <c r="AI278" i="2" s="1"/>
  <c r="AE278" i="2"/>
  <c r="AJ278" i="2" s="1"/>
  <c r="AE19" i="2"/>
  <c r="AJ19" i="2" s="1"/>
  <c r="AE27" i="2"/>
  <c r="AJ27" i="2" s="1"/>
  <c r="AE35" i="2"/>
  <c r="AJ35" i="2" s="1"/>
  <c r="AE67" i="2"/>
  <c r="AJ67" i="2" s="1"/>
  <c r="AE109" i="2"/>
  <c r="AJ109" i="2" s="1"/>
  <c r="AD109" i="2"/>
  <c r="AI109" i="2" s="1"/>
  <c r="AE173" i="2"/>
  <c r="AJ173" i="2" s="1"/>
  <c r="AD173" i="2"/>
  <c r="AI173" i="2" s="1"/>
  <c r="AE228" i="2"/>
  <c r="AJ228" i="2" s="1"/>
  <c r="AD336" i="2"/>
  <c r="AI336" i="2" s="1"/>
  <c r="AE336" i="2"/>
  <c r="AJ336" i="2" s="1"/>
  <c r="AD7" i="2"/>
  <c r="AI7" i="2" s="1"/>
  <c r="AD15" i="2"/>
  <c r="AI15" i="2" s="1"/>
  <c r="AD23" i="2"/>
  <c r="AI23" i="2" s="1"/>
  <c r="AD31" i="2"/>
  <c r="AI31" i="2" s="1"/>
  <c r="AD39" i="2"/>
  <c r="AI39" i="2" s="1"/>
  <c r="AD47" i="2"/>
  <c r="AI47" i="2" s="1"/>
  <c r="AD55" i="2"/>
  <c r="AI55" i="2" s="1"/>
  <c r="AD63" i="2"/>
  <c r="AI63" i="2" s="1"/>
  <c r="AD71" i="2"/>
  <c r="AI71" i="2" s="1"/>
  <c r="AD79" i="2"/>
  <c r="AI79" i="2" s="1"/>
  <c r="AD87" i="2"/>
  <c r="AI87" i="2" s="1"/>
  <c r="AE105" i="2"/>
  <c r="AJ105" i="2" s="1"/>
  <c r="AD116" i="2"/>
  <c r="AI116" i="2" s="1"/>
  <c r="AD166" i="2"/>
  <c r="AI166" i="2" s="1"/>
  <c r="AE166" i="2"/>
  <c r="AJ166" i="2" s="1"/>
  <c r="AD198" i="2"/>
  <c r="AI198" i="2" s="1"/>
  <c r="AE198" i="2"/>
  <c r="AJ198" i="2" s="1"/>
  <c r="AD230" i="2"/>
  <c r="AI230" i="2" s="1"/>
  <c r="AE230" i="2"/>
  <c r="AJ230" i="2" s="1"/>
  <c r="AD262" i="2"/>
  <c r="AI262" i="2" s="1"/>
  <c r="AE262" i="2"/>
  <c r="AJ262" i="2" s="1"/>
  <c r="AD328" i="2"/>
  <c r="AI328" i="2" s="1"/>
  <c r="AE328" i="2"/>
  <c r="AJ328" i="2" s="1"/>
  <c r="AE75" i="2"/>
  <c r="AJ75" i="2" s="1"/>
  <c r="AE205" i="2"/>
  <c r="AJ205" i="2" s="1"/>
  <c r="AD205" i="2"/>
  <c r="AI205" i="2" s="1"/>
  <c r="AE237" i="2"/>
  <c r="AJ237" i="2" s="1"/>
  <c r="AD237" i="2"/>
  <c r="AI237" i="2" s="1"/>
  <c r="AE269" i="2"/>
  <c r="AJ269" i="2" s="1"/>
  <c r="AD269" i="2"/>
  <c r="AI269" i="2" s="1"/>
  <c r="AE8" i="2"/>
  <c r="AJ8" i="2" s="1"/>
  <c r="AE9" i="2"/>
  <c r="AJ9" i="2" s="1"/>
  <c r="AD9" i="2"/>
  <c r="AI9" i="2" s="1"/>
  <c r="AE16" i="2"/>
  <c r="AJ16" i="2" s="1"/>
  <c r="AE17" i="2"/>
  <c r="AJ17" i="2" s="1"/>
  <c r="AD17" i="2"/>
  <c r="AI17" i="2" s="1"/>
  <c r="AE24" i="2"/>
  <c r="AJ24" i="2" s="1"/>
  <c r="AE25" i="2"/>
  <c r="AJ25" i="2" s="1"/>
  <c r="AD25" i="2"/>
  <c r="AI25" i="2" s="1"/>
  <c r="AE32" i="2"/>
  <c r="AJ32" i="2" s="1"/>
  <c r="AE33" i="2"/>
  <c r="AJ33" i="2" s="1"/>
  <c r="AD33" i="2"/>
  <c r="AI33" i="2" s="1"/>
  <c r="AE40" i="2"/>
  <c r="AJ40" i="2" s="1"/>
  <c r="AE41" i="2"/>
  <c r="AJ41" i="2" s="1"/>
  <c r="AD41" i="2"/>
  <c r="AI41" i="2" s="1"/>
  <c r="AE48" i="2"/>
  <c r="AJ48" i="2" s="1"/>
  <c r="AE49" i="2"/>
  <c r="AJ49" i="2" s="1"/>
  <c r="AD49" i="2"/>
  <c r="AI49" i="2" s="1"/>
  <c r="AE56" i="2"/>
  <c r="AJ56" i="2" s="1"/>
  <c r="AE57" i="2"/>
  <c r="AJ57" i="2" s="1"/>
  <c r="AD57" i="2"/>
  <c r="AI57" i="2" s="1"/>
  <c r="AE64" i="2"/>
  <c r="AJ64" i="2" s="1"/>
  <c r="AE65" i="2"/>
  <c r="AJ65" i="2" s="1"/>
  <c r="AD65" i="2"/>
  <c r="AI65" i="2" s="1"/>
  <c r="AE72" i="2"/>
  <c r="AJ72" i="2" s="1"/>
  <c r="AE73" i="2"/>
  <c r="AJ73" i="2" s="1"/>
  <c r="AD73" i="2"/>
  <c r="AI73" i="2" s="1"/>
  <c r="AE80" i="2"/>
  <c r="AJ80" i="2" s="1"/>
  <c r="AE81" i="2"/>
  <c r="AJ81" i="2" s="1"/>
  <c r="AD81" i="2"/>
  <c r="AI81" i="2" s="1"/>
  <c r="AE92" i="2"/>
  <c r="AJ92" i="2" s="1"/>
  <c r="AE95" i="2"/>
  <c r="AJ95" i="2" s="1"/>
  <c r="AE97" i="2"/>
  <c r="AJ97" i="2" s="1"/>
  <c r="AJ107" i="2"/>
  <c r="AD118" i="2"/>
  <c r="AI118" i="2" s="1"/>
  <c r="AD122" i="2"/>
  <c r="AI122" i="2" s="1"/>
  <c r="AE123" i="2"/>
  <c r="AJ123" i="2" s="1"/>
  <c r="AD123" i="2"/>
  <c r="AI123" i="2" s="1"/>
  <c r="AE165" i="2"/>
  <c r="AJ165" i="2" s="1"/>
  <c r="AD165" i="2"/>
  <c r="AI165" i="2" s="1"/>
  <c r="AI177" i="2"/>
  <c r="AE188" i="2"/>
  <c r="AJ188" i="2" s="1"/>
  <c r="AE197" i="2"/>
  <c r="AJ197" i="2" s="1"/>
  <c r="AD197" i="2"/>
  <c r="AI197" i="2" s="1"/>
  <c r="AI209" i="2"/>
  <c r="AE220" i="2"/>
  <c r="AJ220" i="2" s="1"/>
  <c r="AE229" i="2"/>
  <c r="AJ229" i="2" s="1"/>
  <c r="AD229" i="2"/>
  <c r="AI229" i="2" s="1"/>
  <c r="AI241" i="2"/>
  <c r="AE252" i="2"/>
  <c r="AJ252" i="2" s="1"/>
  <c r="AE261" i="2"/>
  <c r="AJ261" i="2" s="1"/>
  <c r="AD261" i="2"/>
  <c r="AI261" i="2" s="1"/>
  <c r="AI273" i="2"/>
  <c r="AE281" i="2"/>
  <c r="AJ281" i="2" s="1"/>
  <c r="AD320" i="2"/>
  <c r="AI320" i="2" s="1"/>
  <c r="AE320" i="2"/>
  <c r="AJ320" i="2" s="1"/>
  <c r="AJ356" i="2"/>
  <c r="AE383" i="2"/>
  <c r="AJ383" i="2" s="1"/>
  <c r="AD383" i="2"/>
  <c r="AI383" i="2" s="1"/>
  <c r="AD146" i="2"/>
  <c r="AI146" i="2" s="1"/>
  <c r="AE146" i="2"/>
  <c r="AJ146" i="2" s="1"/>
  <c r="AD246" i="2"/>
  <c r="AI246" i="2" s="1"/>
  <c r="AE246" i="2"/>
  <c r="AJ246" i="2" s="1"/>
  <c r="AD395" i="2"/>
  <c r="AI395" i="2" s="1"/>
  <c r="AE395" i="2"/>
  <c r="AJ395" i="2" s="1"/>
  <c r="AD559" i="2"/>
  <c r="AI559" i="2" s="1"/>
  <c r="AE559" i="2"/>
  <c r="AJ559" i="2" s="1"/>
  <c r="AJ108" i="2"/>
  <c r="AE3" i="2"/>
  <c r="AJ3" i="2" s="1"/>
  <c r="AE11" i="2"/>
  <c r="AJ11" i="2" s="1"/>
  <c r="AE43" i="2"/>
  <c r="AJ43" i="2" s="1"/>
  <c r="AE51" i="2"/>
  <c r="AJ51" i="2" s="1"/>
  <c r="AE59" i="2"/>
  <c r="AJ59" i="2" s="1"/>
  <c r="AE83" i="2"/>
  <c r="AJ83" i="2" s="1"/>
  <c r="AJ98" i="2"/>
  <c r="AD119" i="2"/>
  <c r="AI119" i="2" s="1"/>
  <c r="AE164" i="2"/>
  <c r="AJ164" i="2" s="1"/>
  <c r="AE196" i="2"/>
  <c r="AJ196" i="2" s="1"/>
  <c r="AD6" i="2"/>
  <c r="AI6" i="2" s="1"/>
  <c r="AD14" i="2"/>
  <c r="AI14" i="2" s="1"/>
  <c r="AD22" i="2"/>
  <c r="AI22" i="2" s="1"/>
  <c r="AD30" i="2"/>
  <c r="AI30" i="2" s="1"/>
  <c r="AD38" i="2"/>
  <c r="AI38" i="2" s="1"/>
  <c r="AD46" i="2"/>
  <c r="AI46" i="2" s="1"/>
  <c r="AD54" i="2"/>
  <c r="AI54" i="2" s="1"/>
  <c r="AD62" i="2"/>
  <c r="AI62" i="2" s="1"/>
  <c r="AD70" i="2"/>
  <c r="AI70" i="2" s="1"/>
  <c r="AD78" i="2"/>
  <c r="AI78" i="2" s="1"/>
  <c r="AD86" i="2"/>
  <c r="AI86" i="2" s="1"/>
  <c r="AD90" i="2"/>
  <c r="AI90" i="2" s="1"/>
  <c r="AE99" i="2"/>
  <c r="AJ99" i="2" s="1"/>
  <c r="AD111" i="2"/>
  <c r="AI111" i="2" s="1"/>
  <c r="AE112" i="2"/>
  <c r="AJ112" i="2" s="1"/>
  <c r="AD112" i="2"/>
  <c r="AI112" i="2" s="1"/>
  <c r="AD113" i="2"/>
  <c r="AI113" i="2" s="1"/>
  <c r="AE119" i="2"/>
  <c r="AJ119" i="2" s="1"/>
  <c r="AD126" i="2"/>
  <c r="AI126" i="2" s="1"/>
  <c r="AE126" i="2"/>
  <c r="AJ126" i="2" s="1"/>
  <c r="AE131" i="2"/>
  <c r="AJ131" i="2" s="1"/>
  <c r="AE137" i="2"/>
  <c r="AJ137" i="2" s="1"/>
  <c r="AD137" i="2"/>
  <c r="AI137" i="2" s="1"/>
  <c r="AD142" i="2"/>
  <c r="AI142" i="2" s="1"/>
  <c r="AE142" i="2"/>
  <c r="AJ142" i="2" s="1"/>
  <c r="AE147" i="2"/>
  <c r="AJ147" i="2" s="1"/>
  <c r="AE153" i="2"/>
  <c r="AJ153" i="2" s="1"/>
  <c r="AD153" i="2"/>
  <c r="AI153" i="2" s="1"/>
  <c r="AD158" i="2"/>
  <c r="AI158" i="2" s="1"/>
  <c r="AE158" i="2"/>
  <c r="AJ158" i="2" s="1"/>
  <c r="AD190" i="2"/>
  <c r="AI190" i="2" s="1"/>
  <c r="AE190" i="2"/>
  <c r="AJ190" i="2" s="1"/>
  <c r="AD222" i="2"/>
  <c r="AI222" i="2" s="1"/>
  <c r="AE222" i="2"/>
  <c r="AJ222" i="2" s="1"/>
  <c r="AD254" i="2"/>
  <c r="AI254" i="2" s="1"/>
  <c r="AE254" i="2"/>
  <c r="AJ254" i="2" s="1"/>
  <c r="AJ300" i="2"/>
  <c r="AE469" i="2"/>
  <c r="AJ469" i="2" s="1"/>
  <c r="AD469" i="2"/>
  <c r="AI469" i="2" s="1"/>
  <c r="AI524" i="2"/>
  <c r="AE558" i="2"/>
  <c r="AJ558" i="2" s="1"/>
  <c r="AD558" i="2"/>
  <c r="AI558" i="2" s="1"/>
  <c r="AE160" i="2"/>
  <c r="AJ160" i="2" s="1"/>
  <c r="AD160" i="2"/>
  <c r="AI160" i="2" s="1"/>
  <c r="AE168" i="2"/>
  <c r="AJ168" i="2" s="1"/>
  <c r="AD168" i="2"/>
  <c r="AI168" i="2" s="1"/>
  <c r="AE176" i="2"/>
  <c r="AJ176" i="2" s="1"/>
  <c r="AD176" i="2"/>
  <c r="AI176" i="2" s="1"/>
  <c r="AE184" i="2"/>
  <c r="AJ184" i="2" s="1"/>
  <c r="AD184" i="2"/>
  <c r="AI184" i="2" s="1"/>
  <c r="AE192" i="2"/>
  <c r="AJ192" i="2" s="1"/>
  <c r="AD192" i="2"/>
  <c r="AI192" i="2" s="1"/>
  <c r="AE200" i="2"/>
  <c r="AJ200" i="2" s="1"/>
  <c r="AD200" i="2"/>
  <c r="AI200" i="2" s="1"/>
  <c r="AE208" i="2"/>
  <c r="AJ208" i="2" s="1"/>
  <c r="AD208" i="2"/>
  <c r="AI208" i="2" s="1"/>
  <c r="AE216" i="2"/>
  <c r="AJ216" i="2" s="1"/>
  <c r="AD216" i="2"/>
  <c r="AI216" i="2" s="1"/>
  <c r="AE224" i="2"/>
  <c r="AJ224" i="2" s="1"/>
  <c r="AD224" i="2"/>
  <c r="AI224" i="2" s="1"/>
  <c r="AE232" i="2"/>
  <c r="AJ232" i="2" s="1"/>
  <c r="AD232" i="2"/>
  <c r="AI232" i="2" s="1"/>
  <c r="AE240" i="2"/>
  <c r="AJ240" i="2" s="1"/>
  <c r="AD240" i="2"/>
  <c r="AI240" i="2" s="1"/>
  <c r="AE248" i="2"/>
  <c r="AJ248" i="2" s="1"/>
  <c r="AD248" i="2"/>
  <c r="AI248" i="2" s="1"/>
  <c r="AE256" i="2"/>
  <c r="AJ256" i="2" s="1"/>
  <c r="AD256" i="2"/>
  <c r="AI256" i="2" s="1"/>
  <c r="AE264" i="2"/>
  <c r="AJ264" i="2" s="1"/>
  <c r="AD264" i="2"/>
  <c r="AI264" i="2" s="1"/>
  <c r="AE272" i="2"/>
  <c r="AJ272" i="2" s="1"/>
  <c r="AD272" i="2"/>
  <c r="AI272" i="2" s="1"/>
  <c r="AD280" i="2"/>
  <c r="AI280" i="2" s="1"/>
  <c r="AE280" i="2"/>
  <c r="AJ280" i="2" s="1"/>
  <c r="AE289" i="2"/>
  <c r="AJ289" i="2" s="1"/>
  <c r="AJ324" i="2"/>
  <c r="AD344" i="2"/>
  <c r="AI344" i="2" s="1"/>
  <c r="AE344" i="2"/>
  <c r="AJ344" i="2" s="1"/>
  <c r="AE353" i="2"/>
  <c r="AJ353" i="2" s="1"/>
  <c r="AD435" i="2"/>
  <c r="AI435" i="2" s="1"/>
  <c r="AE435" i="2"/>
  <c r="AJ435" i="2" s="1"/>
  <c r="AD531" i="2"/>
  <c r="AI531" i="2" s="1"/>
  <c r="AE531" i="2"/>
  <c r="AJ531" i="2" s="1"/>
  <c r="AD154" i="2"/>
  <c r="AI154" i="2" s="1"/>
  <c r="AE155" i="2"/>
  <c r="AJ155" i="2" s="1"/>
  <c r="AD91" i="2"/>
  <c r="AI91" i="2" s="1"/>
  <c r="AD107" i="2"/>
  <c r="AI107" i="2" s="1"/>
  <c r="AE135" i="2"/>
  <c r="AJ135" i="2" s="1"/>
  <c r="AE151" i="2"/>
  <c r="AJ151" i="2" s="1"/>
  <c r="AJ279" i="2"/>
  <c r="AD296" i="2"/>
  <c r="AI296" i="2" s="1"/>
  <c r="AE296" i="2"/>
  <c r="AJ296" i="2" s="1"/>
  <c r="AE305" i="2"/>
  <c r="AJ305" i="2" s="1"/>
  <c r="AD360" i="2"/>
  <c r="AI360" i="2" s="1"/>
  <c r="AE360" i="2"/>
  <c r="AJ360" i="2" s="1"/>
  <c r="AE369" i="2"/>
  <c r="AJ369" i="2" s="1"/>
  <c r="AE431" i="2"/>
  <c r="AJ431" i="2" s="1"/>
  <c r="AD431" i="2"/>
  <c r="AI431" i="2" s="1"/>
  <c r="AE434" i="2"/>
  <c r="AJ434" i="2" s="1"/>
  <c r="AD434" i="2"/>
  <c r="AI434" i="2" s="1"/>
  <c r="AE455" i="2"/>
  <c r="AJ455" i="2" s="1"/>
  <c r="AD455" i="2"/>
  <c r="AI455" i="2" s="1"/>
  <c r="AE128" i="2"/>
  <c r="AJ128" i="2" s="1"/>
  <c r="AD138" i="2"/>
  <c r="AI138" i="2" s="1"/>
  <c r="AE139" i="2"/>
  <c r="AJ139" i="2" s="1"/>
  <c r="AE144" i="2"/>
  <c r="AJ144" i="2" s="1"/>
  <c r="AD288" i="2"/>
  <c r="AI288" i="2" s="1"/>
  <c r="AE288" i="2"/>
  <c r="AJ288" i="2" s="1"/>
  <c r="AE297" i="2"/>
  <c r="AJ297" i="2" s="1"/>
  <c r="AD352" i="2"/>
  <c r="AI352" i="2" s="1"/>
  <c r="AE352" i="2"/>
  <c r="AJ352" i="2" s="1"/>
  <c r="AE361" i="2"/>
  <c r="AJ361" i="2" s="1"/>
  <c r="AE88" i="2"/>
  <c r="AJ88" i="2" s="1"/>
  <c r="AE104" i="2"/>
  <c r="AJ104" i="2" s="1"/>
  <c r="AE120" i="2"/>
  <c r="AJ120" i="2" s="1"/>
  <c r="AD134" i="2"/>
  <c r="AI134" i="2" s="1"/>
  <c r="AD150" i="2"/>
  <c r="AI150" i="2" s="1"/>
  <c r="AD162" i="2"/>
  <c r="AI162" i="2" s="1"/>
  <c r="AE163" i="2"/>
  <c r="AJ163" i="2" s="1"/>
  <c r="AD170" i="2"/>
  <c r="AI170" i="2" s="1"/>
  <c r="AE171" i="2"/>
  <c r="AJ171" i="2" s="1"/>
  <c r="AD178" i="2"/>
  <c r="AI178" i="2" s="1"/>
  <c r="AE179" i="2"/>
  <c r="AJ179" i="2" s="1"/>
  <c r="AD186" i="2"/>
  <c r="AI186" i="2" s="1"/>
  <c r="AE187" i="2"/>
  <c r="AJ187" i="2" s="1"/>
  <c r="AD194" i="2"/>
  <c r="AI194" i="2" s="1"/>
  <c r="AE195" i="2"/>
  <c r="AJ195" i="2" s="1"/>
  <c r="AD202" i="2"/>
  <c r="AI202" i="2" s="1"/>
  <c r="AE203" i="2"/>
  <c r="AJ203" i="2" s="1"/>
  <c r="AD210" i="2"/>
  <c r="AI210" i="2" s="1"/>
  <c r="AE211" i="2"/>
  <c r="AJ211" i="2" s="1"/>
  <c r="AD218" i="2"/>
  <c r="AI218" i="2" s="1"/>
  <c r="AE219" i="2"/>
  <c r="AJ219" i="2" s="1"/>
  <c r="AD226" i="2"/>
  <c r="AI226" i="2" s="1"/>
  <c r="AE227" i="2"/>
  <c r="AJ227" i="2" s="1"/>
  <c r="AD234" i="2"/>
  <c r="AI234" i="2" s="1"/>
  <c r="AE235" i="2"/>
  <c r="AJ235" i="2" s="1"/>
  <c r="AD242" i="2"/>
  <c r="AI242" i="2" s="1"/>
  <c r="AE243" i="2"/>
  <c r="AJ243" i="2" s="1"/>
  <c r="AD250" i="2"/>
  <c r="AI250" i="2" s="1"/>
  <c r="AE251" i="2"/>
  <c r="AJ251" i="2" s="1"/>
  <c r="AD258" i="2"/>
  <c r="AI258" i="2" s="1"/>
  <c r="AE259" i="2"/>
  <c r="AJ259" i="2" s="1"/>
  <c r="AD266" i="2"/>
  <c r="AI266" i="2" s="1"/>
  <c r="AE267" i="2"/>
  <c r="AJ267" i="2" s="1"/>
  <c r="AD274" i="2"/>
  <c r="AI274" i="2" s="1"/>
  <c r="AE275" i="2"/>
  <c r="AJ275" i="2" s="1"/>
  <c r="AD304" i="2"/>
  <c r="AI304" i="2" s="1"/>
  <c r="AE304" i="2"/>
  <c r="AJ304" i="2" s="1"/>
  <c r="AE313" i="2"/>
  <c r="AJ313" i="2" s="1"/>
  <c r="AD368" i="2"/>
  <c r="AI368" i="2" s="1"/>
  <c r="AE368" i="2"/>
  <c r="AJ368" i="2" s="1"/>
  <c r="AE377" i="2"/>
  <c r="AJ377" i="2" s="1"/>
  <c r="AD377" i="2"/>
  <c r="AI377" i="2" s="1"/>
  <c r="AD389" i="2"/>
  <c r="AI389" i="2" s="1"/>
  <c r="AE389" i="2"/>
  <c r="AJ389" i="2" s="1"/>
  <c r="AE430" i="2"/>
  <c r="AJ430" i="2" s="1"/>
  <c r="AD430" i="2"/>
  <c r="AI430" i="2" s="1"/>
  <c r="AJ122" i="2"/>
  <c r="AD128" i="2"/>
  <c r="AI128" i="2" s="1"/>
  <c r="AE138" i="2"/>
  <c r="AJ138" i="2" s="1"/>
  <c r="AD144" i="2"/>
  <c r="AI144" i="2" s="1"/>
  <c r="AE154" i="2"/>
  <c r="AJ154" i="2" s="1"/>
  <c r="AD312" i="2"/>
  <c r="AI312" i="2" s="1"/>
  <c r="AE312" i="2"/>
  <c r="AJ312" i="2" s="1"/>
  <c r="AE321" i="2"/>
  <c r="AJ321" i="2" s="1"/>
  <c r="AE376" i="2"/>
  <c r="AJ376" i="2" s="1"/>
  <c r="AD376" i="2"/>
  <c r="AI376" i="2" s="1"/>
  <c r="AE454" i="2"/>
  <c r="AJ454" i="2" s="1"/>
  <c r="AD454" i="2"/>
  <c r="AI454" i="2" s="1"/>
  <c r="AD387" i="2"/>
  <c r="AI387" i="2" s="1"/>
  <c r="AE387" i="2"/>
  <c r="AJ387" i="2" s="1"/>
  <c r="AE418" i="2"/>
  <c r="AJ418" i="2" s="1"/>
  <c r="AD418" i="2"/>
  <c r="AI418" i="2" s="1"/>
  <c r="AE426" i="2"/>
  <c r="AJ426" i="2" s="1"/>
  <c r="AD426" i="2"/>
  <c r="AI426" i="2" s="1"/>
  <c r="AI444" i="2"/>
  <c r="AE463" i="2"/>
  <c r="AJ463" i="2" s="1"/>
  <c r="AD463" i="2"/>
  <c r="AI463" i="2" s="1"/>
  <c r="AD467" i="2"/>
  <c r="AI467" i="2" s="1"/>
  <c r="AE467" i="2"/>
  <c r="AJ467" i="2" s="1"/>
  <c r="AE557" i="2"/>
  <c r="AJ557" i="2" s="1"/>
  <c r="AD557" i="2"/>
  <c r="AI557" i="2" s="1"/>
  <c r="AD381" i="2"/>
  <c r="AI381" i="2" s="1"/>
  <c r="AE381" i="2"/>
  <c r="AJ381" i="2" s="1"/>
  <c r="AD451" i="2"/>
  <c r="AI451" i="2" s="1"/>
  <c r="AE451" i="2"/>
  <c r="AJ451" i="2" s="1"/>
  <c r="AD478" i="2"/>
  <c r="AI478" i="2" s="1"/>
  <c r="AD551" i="2"/>
  <c r="AI551" i="2" s="1"/>
  <c r="AE551" i="2"/>
  <c r="AJ551" i="2" s="1"/>
  <c r="AD131" i="2"/>
  <c r="AI131" i="2" s="1"/>
  <c r="AD139" i="2"/>
  <c r="AI139" i="2" s="1"/>
  <c r="AD147" i="2"/>
  <c r="AI147" i="2" s="1"/>
  <c r="AD155" i="2"/>
  <c r="AI155" i="2" s="1"/>
  <c r="AD163" i="2"/>
  <c r="AI163" i="2" s="1"/>
  <c r="AD171" i="2"/>
  <c r="AI171" i="2" s="1"/>
  <c r="AD179" i="2"/>
  <c r="AI179" i="2" s="1"/>
  <c r="AD187" i="2"/>
  <c r="AI187" i="2" s="1"/>
  <c r="AD195" i="2"/>
  <c r="AI195" i="2" s="1"/>
  <c r="AD203" i="2"/>
  <c r="AI203" i="2" s="1"/>
  <c r="AD211" i="2"/>
  <c r="AI211" i="2" s="1"/>
  <c r="AD219" i="2"/>
  <c r="AI219" i="2" s="1"/>
  <c r="AD227" i="2"/>
  <c r="AI227" i="2" s="1"/>
  <c r="AD235" i="2"/>
  <c r="AI235" i="2" s="1"/>
  <c r="AD243" i="2"/>
  <c r="AI243" i="2" s="1"/>
  <c r="AD251" i="2"/>
  <c r="AI251" i="2" s="1"/>
  <c r="AD259" i="2"/>
  <c r="AI259" i="2" s="1"/>
  <c r="AD267" i="2"/>
  <c r="AI267" i="2" s="1"/>
  <c r="AD275" i="2"/>
  <c r="AI275" i="2" s="1"/>
  <c r="AD284" i="2"/>
  <c r="AI284" i="2" s="1"/>
  <c r="AD292" i="2"/>
  <c r="AI292" i="2" s="1"/>
  <c r="AD300" i="2"/>
  <c r="AI300" i="2" s="1"/>
  <c r="AD308" i="2"/>
  <c r="AI308" i="2" s="1"/>
  <c r="AD316" i="2"/>
  <c r="AI316" i="2" s="1"/>
  <c r="AD324" i="2"/>
  <c r="AI324" i="2" s="1"/>
  <c r="AD332" i="2"/>
  <c r="AI332" i="2" s="1"/>
  <c r="AD340" i="2"/>
  <c r="AI340" i="2" s="1"/>
  <c r="AD348" i="2"/>
  <c r="AI348" i="2" s="1"/>
  <c r="AD356" i="2"/>
  <c r="AI356" i="2" s="1"/>
  <c r="AD364" i="2"/>
  <c r="AI364" i="2" s="1"/>
  <c r="AD372" i="2"/>
  <c r="AI372" i="2" s="1"/>
  <c r="AE414" i="2"/>
  <c r="AJ414" i="2" s="1"/>
  <c r="AD414" i="2"/>
  <c r="AI414" i="2" s="1"/>
  <c r="AI428" i="2"/>
  <c r="AE439" i="2"/>
  <c r="AJ439" i="2" s="1"/>
  <c r="AD439" i="2"/>
  <c r="AI439" i="2" s="1"/>
  <c r="AE447" i="2"/>
  <c r="AJ447" i="2" s="1"/>
  <c r="AD447" i="2"/>
  <c r="AI447" i="2" s="1"/>
  <c r="AE450" i="2"/>
  <c r="AJ450" i="2" s="1"/>
  <c r="AD450" i="2"/>
  <c r="AI450" i="2" s="1"/>
  <c r="AE477" i="2"/>
  <c r="AJ477" i="2" s="1"/>
  <c r="AD477" i="2"/>
  <c r="AI477" i="2" s="1"/>
  <c r="AE550" i="2"/>
  <c r="AJ550" i="2" s="1"/>
  <c r="AD550" i="2"/>
  <c r="AI550" i="2" s="1"/>
  <c r="AE285" i="2"/>
  <c r="AJ285" i="2" s="1"/>
  <c r="AE286" i="2"/>
  <c r="AJ286" i="2" s="1"/>
  <c r="AD286" i="2"/>
  <c r="AI286" i="2" s="1"/>
  <c r="AE293" i="2"/>
  <c r="AJ293" i="2" s="1"/>
  <c r="AE294" i="2"/>
  <c r="AJ294" i="2" s="1"/>
  <c r="AD294" i="2"/>
  <c r="AI294" i="2" s="1"/>
  <c r="AE302" i="2"/>
  <c r="AJ302" i="2" s="1"/>
  <c r="AD302" i="2"/>
  <c r="AI302" i="2" s="1"/>
  <c r="AE310" i="2"/>
  <c r="AJ310" i="2" s="1"/>
  <c r="AD310" i="2"/>
  <c r="AI310" i="2" s="1"/>
  <c r="AE318" i="2"/>
  <c r="AJ318" i="2" s="1"/>
  <c r="AD318" i="2"/>
  <c r="AI318" i="2" s="1"/>
  <c r="AE326" i="2"/>
  <c r="AJ326" i="2" s="1"/>
  <c r="AD326" i="2"/>
  <c r="AI326" i="2" s="1"/>
  <c r="AE334" i="2"/>
  <c r="AJ334" i="2" s="1"/>
  <c r="AD334" i="2"/>
  <c r="AI334" i="2" s="1"/>
  <c r="AE342" i="2"/>
  <c r="AJ342" i="2" s="1"/>
  <c r="AD342" i="2"/>
  <c r="AI342" i="2" s="1"/>
  <c r="AE350" i="2"/>
  <c r="AJ350" i="2" s="1"/>
  <c r="AD350" i="2"/>
  <c r="AI350" i="2" s="1"/>
  <c r="AE358" i="2"/>
  <c r="AJ358" i="2" s="1"/>
  <c r="AD358" i="2"/>
  <c r="AI358" i="2" s="1"/>
  <c r="AE366" i="2"/>
  <c r="AJ366" i="2" s="1"/>
  <c r="AD366" i="2"/>
  <c r="AI366" i="2" s="1"/>
  <c r="AE374" i="2"/>
  <c r="AJ374" i="2" s="1"/>
  <c r="AD374" i="2"/>
  <c r="AI374" i="2" s="1"/>
  <c r="AE402" i="2"/>
  <c r="AJ402" i="2" s="1"/>
  <c r="AD402" i="2"/>
  <c r="AI402" i="2" s="1"/>
  <c r="AI403" i="2"/>
  <c r="AE410" i="2"/>
  <c r="AJ410" i="2" s="1"/>
  <c r="AD410" i="2"/>
  <c r="AI410" i="2" s="1"/>
  <c r="AE438" i="2"/>
  <c r="AJ438" i="2" s="1"/>
  <c r="AD438" i="2"/>
  <c r="AI438" i="2" s="1"/>
  <c r="AE446" i="2"/>
  <c r="AJ446" i="2" s="1"/>
  <c r="AD446" i="2"/>
  <c r="AI446" i="2" s="1"/>
  <c r="AE384" i="2"/>
  <c r="AJ384" i="2" s="1"/>
  <c r="AE392" i="2"/>
  <c r="AJ392" i="2" s="1"/>
  <c r="AE397" i="2"/>
  <c r="AJ397" i="2" s="1"/>
  <c r="AD397" i="2"/>
  <c r="AI397" i="2" s="1"/>
  <c r="AE405" i="2"/>
  <c r="AJ405" i="2" s="1"/>
  <c r="AD405" i="2"/>
  <c r="AI405" i="2" s="1"/>
  <c r="AD419" i="2"/>
  <c r="AI419" i="2" s="1"/>
  <c r="AE419" i="2"/>
  <c r="AJ419" i="2" s="1"/>
  <c r="AE456" i="2"/>
  <c r="AJ456" i="2" s="1"/>
  <c r="AD456" i="2"/>
  <c r="AI456" i="2" s="1"/>
  <c r="AJ460" i="2"/>
  <c r="AJ471" i="2"/>
  <c r="AD475" i="2"/>
  <c r="AI475" i="2" s="1"/>
  <c r="AJ516" i="2"/>
  <c r="AI526" i="2"/>
  <c r="AD539" i="2"/>
  <c r="AI539" i="2" s="1"/>
  <c r="AE539" i="2"/>
  <c r="AJ539" i="2" s="1"/>
  <c r="AE549" i="2"/>
  <c r="AJ549" i="2" s="1"/>
  <c r="AD549" i="2"/>
  <c r="AI549" i="2" s="1"/>
  <c r="AJ415" i="2"/>
  <c r="AD515" i="2"/>
  <c r="AI515" i="2" s="1"/>
  <c r="AE515" i="2"/>
  <c r="AJ515" i="2" s="1"/>
  <c r="AJ524" i="2"/>
  <c r="AD281" i="2"/>
  <c r="AI281" i="2" s="1"/>
  <c r="AD289" i="2"/>
  <c r="AI289" i="2" s="1"/>
  <c r="AD297" i="2"/>
  <c r="AI297" i="2" s="1"/>
  <c r="AD305" i="2"/>
  <c r="AI305" i="2" s="1"/>
  <c r="AD313" i="2"/>
  <c r="AI313" i="2" s="1"/>
  <c r="AD321" i="2"/>
  <c r="AI321" i="2" s="1"/>
  <c r="AD329" i="2"/>
  <c r="AI329" i="2" s="1"/>
  <c r="AD337" i="2"/>
  <c r="AI337" i="2" s="1"/>
  <c r="AD345" i="2"/>
  <c r="AI345" i="2" s="1"/>
  <c r="AD353" i="2"/>
  <c r="AI353" i="2" s="1"/>
  <c r="AD361" i="2"/>
  <c r="AI361" i="2" s="1"/>
  <c r="AD369" i="2"/>
  <c r="AI369" i="2" s="1"/>
  <c r="AD384" i="2"/>
  <c r="AI384" i="2" s="1"/>
  <c r="AD392" i="2"/>
  <c r="AI392" i="2" s="1"/>
  <c r="AE399" i="2"/>
  <c r="AJ399" i="2" s="1"/>
  <c r="AE400" i="2"/>
  <c r="AJ400" i="2" s="1"/>
  <c r="AD400" i="2"/>
  <c r="AI400" i="2" s="1"/>
  <c r="AE407" i="2"/>
  <c r="AJ407" i="2" s="1"/>
  <c r="AE408" i="2"/>
  <c r="AJ408" i="2" s="1"/>
  <c r="AD408" i="2"/>
  <c r="AI408" i="2" s="1"/>
  <c r="AE422" i="2"/>
  <c r="AJ422" i="2" s="1"/>
  <c r="AD422" i="2"/>
  <c r="AI422" i="2" s="1"/>
  <c r="AD423" i="2"/>
  <c r="AI423" i="2" s="1"/>
  <c r="AE442" i="2"/>
  <c r="AJ442" i="2" s="1"/>
  <c r="AD443" i="2"/>
  <c r="AI443" i="2" s="1"/>
  <c r="AE443" i="2"/>
  <c r="AJ443" i="2" s="1"/>
  <c r="AD459" i="2"/>
  <c r="AI459" i="2" s="1"/>
  <c r="AE459" i="2"/>
  <c r="AJ459" i="2" s="1"/>
  <c r="AD479" i="2"/>
  <c r="AI479" i="2" s="1"/>
  <c r="AE479" i="2"/>
  <c r="AJ479" i="2" s="1"/>
  <c r="AD487" i="2"/>
  <c r="AI487" i="2" s="1"/>
  <c r="AE487" i="2"/>
  <c r="AJ487" i="2" s="1"/>
  <c r="AD495" i="2"/>
  <c r="AI495" i="2" s="1"/>
  <c r="AE495" i="2"/>
  <c r="AJ495" i="2" s="1"/>
  <c r="AD503" i="2"/>
  <c r="AI503" i="2" s="1"/>
  <c r="AE503" i="2"/>
  <c r="AJ503" i="2" s="1"/>
  <c r="AE566" i="2"/>
  <c r="AJ566" i="2" s="1"/>
  <c r="AD566" i="2"/>
  <c r="AI566" i="2" s="1"/>
  <c r="AD379" i="2"/>
  <c r="AI379" i="2" s="1"/>
  <c r="AE386" i="2"/>
  <c r="AJ386" i="2" s="1"/>
  <c r="AE394" i="2"/>
  <c r="AJ394" i="2" s="1"/>
  <c r="AD411" i="2"/>
  <c r="AI411" i="2" s="1"/>
  <c r="AE411" i="2"/>
  <c r="AJ411" i="2" s="1"/>
  <c r="AD427" i="2"/>
  <c r="AI427" i="2" s="1"/>
  <c r="AE464" i="2"/>
  <c r="AJ464" i="2" s="1"/>
  <c r="AD464" i="2"/>
  <c r="AI464" i="2" s="1"/>
  <c r="AI510" i="2"/>
  <c r="AD523" i="2"/>
  <c r="AI523" i="2" s="1"/>
  <c r="AE523" i="2"/>
  <c r="AJ523" i="2" s="1"/>
  <c r="AJ532" i="2"/>
  <c r="AE565" i="2"/>
  <c r="AJ565" i="2" s="1"/>
  <c r="AD565" i="2"/>
  <c r="AI565" i="2" s="1"/>
  <c r="AD567" i="2"/>
  <c r="AI567" i="2" s="1"/>
  <c r="AE568" i="2"/>
  <c r="AJ568" i="2" s="1"/>
  <c r="AE432" i="2"/>
  <c r="AJ432" i="2" s="1"/>
  <c r="AD432" i="2"/>
  <c r="AI432" i="2" s="1"/>
  <c r="AE440" i="2"/>
  <c r="AJ440" i="2" s="1"/>
  <c r="AD440" i="2"/>
  <c r="AI440" i="2" s="1"/>
  <c r="AE448" i="2"/>
  <c r="AJ448" i="2" s="1"/>
  <c r="AD448" i="2"/>
  <c r="AI448" i="2" s="1"/>
  <c r="AJ484" i="2"/>
  <c r="AJ492" i="2"/>
  <c r="AJ500" i="2"/>
  <c r="AE416" i="2"/>
  <c r="AJ416" i="2" s="1"/>
  <c r="AD416" i="2"/>
  <c r="AI416" i="2" s="1"/>
  <c r="AE424" i="2"/>
  <c r="AJ424" i="2" s="1"/>
  <c r="AD424" i="2"/>
  <c r="AI424" i="2" s="1"/>
  <c r="AE461" i="2"/>
  <c r="AJ461" i="2" s="1"/>
  <c r="AD471" i="2"/>
  <c r="AI471" i="2" s="1"/>
  <c r="AD483" i="2"/>
  <c r="AI483" i="2" s="1"/>
  <c r="AD491" i="2"/>
  <c r="AI491" i="2" s="1"/>
  <c r="AD499" i="2"/>
  <c r="AI499" i="2" s="1"/>
  <c r="AE517" i="2"/>
  <c r="AJ517" i="2" s="1"/>
  <c r="AE525" i="2"/>
  <c r="AJ525" i="2" s="1"/>
  <c r="AE533" i="2"/>
  <c r="AJ533" i="2" s="1"/>
  <c r="AE541" i="2"/>
  <c r="AJ541" i="2" s="1"/>
  <c r="AD543" i="2"/>
  <c r="AI543" i="2" s="1"/>
  <c r="AE429" i="2"/>
  <c r="AJ429" i="2" s="1"/>
  <c r="AE437" i="2"/>
  <c r="AJ437" i="2" s="1"/>
  <c r="AE445" i="2"/>
  <c r="AJ445" i="2" s="1"/>
  <c r="AE453" i="2"/>
  <c r="AJ453" i="2" s="1"/>
  <c r="AE509" i="2"/>
  <c r="AJ509" i="2" s="1"/>
  <c r="AJ548" i="2"/>
  <c r="AJ556" i="2"/>
  <c r="AJ564" i="2"/>
  <c r="AE567" i="2"/>
  <c r="AJ567" i="2" s="1"/>
  <c r="AE413" i="2"/>
  <c r="AJ413" i="2" s="1"/>
  <c r="AE421" i="2"/>
  <c r="AJ421" i="2" s="1"/>
  <c r="AD470" i="2"/>
  <c r="AI470" i="2" s="1"/>
  <c r="AE485" i="2"/>
  <c r="AJ485" i="2" s="1"/>
  <c r="AE493" i="2"/>
  <c r="AJ493" i="2" s="1"/>
  <c r="AE501" i="2"/>
  <c r="AJ501" i="2" s="1"/>
  <c r="AE507" i="2"/>
  <c r="AJ507" i="2" s="1"/>
  <c r="AE510" i="2"/>
  <c r="AJ510" i="2" s="1"/>
  <c r="AD511" i="2"/>
  <c r="AI511" i="2" s="1"/>
  <c r="AE512" i="2"/>
  <c r="AJ512" i="2" s="1"/>
  <c r="AD519" i="2"/>
  <c r="AI519" i="2" s="1"/>
  <c r="AE520" i="2"/>
  <c r="AJ520" i="2" s="1"/>
  <c r="AD527" i="2"/>
  <c r="AI527" i="2" s="1"/>
  <c r="AE528" i="2"/>
  <c r="AJ528" i="2" s="1"/>
  <c r="AD535" i="2"/>
  <c r="AI535" i="2" s="1"/>
  <c r="AE536" i="2"/>
  <c r="AJ536" i="2" s="1"/>
  <c r="AD542" i="2"/>
  <c r="AI542" i="2" s="1"/>
  <c r="AD547" i="2"/>
  <c r="AI547" i="2" s="1"/>
  <c r="AD555" i="2"/>
  <c r="AI555" i="2" s="1"/>
  <c r="AD563" i="2"/>
  <c r="AI563" i="2" s="1"/>
  <c r="AC568" i="2"/>
  <c r="AC427" i="2"/>
  <c r="AE427" i="2" s="1"/>
  <c r="AJ427" i="2" s="1"/>
  <c r="AD472" i="2"/>
  <c r="AI472" i="2" s="1"/>
  <c r="AC475" i="2"/>
  <c r="AE475" i="2" s="1"/>
  <c r="AJ475" i="2" s="1"/>
  <c r="AD480" i="2"/>
  <c r="AI480" i="2" s="1"/>
  <c r="AD488" i="2"/>
  <c r="AI488" i="2" s="1"/>
  <c r="AD496" i="2"/>
  <c r="AI496" i="2" s="1"/>
  <c r="AD504" i="2"/>
  <c r="AI504" i="2" s="1"/>
  <c r="AD512" i="2"/>
  <c r="AI512" i="2" s="1"/>
  <c r="AD520" i="2"/>
  <c r="AI520" i="2" s="1"/>
  <c r="AD528" i="2"/>
  <c r="AI528" i="2" s="1"/>
  <c r="AD536" i="2"/>
  <c r="AI536" i="2" s="1"/>
  <c r="AD544" i="2"/>
  <c r="AI544" i="2" s="1"/>
  <c r="AD552" i="2"/>
  <c r="AI552" i="2" s="1"/>
  <c r="AD560" i="2"/>
  <c r="AI560" i="2" s="1"/>
  <c r="AD568" i="2"/>
  <c r="AI568" i="2" s="1"/>
  <c r="AC454" i="2"/>
  <c r="AC478" i="2"/>
  <c r="AE478" i="2" s="1"/>
  <c r="AJ478" i="2" s="1"/>
  <c r="AC510" i="2"/>
  <c r="AC542" i="2"/>
  <c r="AE542" i="2" s="1"/>
  <c r="AJ542" i="2" s="1"/>
  <c r="AC476" i="2"/>
  <c r="AE476" i="2" s="1"/>
  <c r="AJ476" i="2" s="1"/>
  <c r="AC482" i="2"/>
  <c r="AE482" i="2" s="1"/>
  <c r="AJ482" i="2" s="1"/>
</calcChain>
</file>

<file path=xl/sharedStrings.xml><?xml version="1.0" encoding="utf-8"?>
<sst xmlns="http://schemas.openxmlformats.org/spreadsheetml/2006/main" count="7891" uniqueCount="1646">
  <si>
    <t>FPL 2026/27 Model — v0.2 Full Player Universe</t>
  </si>
  <si>
    <t>Snapshot</t>
  </si>
  <si>
    <t>18 Aug 2026</t>
  </si>
  <si>
    <t>Position</t>
  </si>
  <si>
    <t>Players</t>
  </si>
  <si>
    <t>Avg Price (£m)</t>
  </si>
  <si>
    <t>Avg Hist Mins</t>
  </si>
  <si>
    <t>GK</t>
  </si>
  <si>
    <t>Teams</t>
  </si>
  <si>
    <t>DEF</t>
  </si>
  <si>
    <t>Fixtures</t>
  </si>
  <si>
    <t>MID</t>
  </si>
  <si>
    <t>Player source</t>
  </si>
  <si>
    <t>FPL API snapshot via vaastav</t>
  </si>
  <si>
    <t>FWD</t>
  </si>
  <si>
    <t>Stage</t>
  </si>
  <si>
    <t>Universe + historical priors</t>
  </si>
  <si>
    <t>Next modelling step: current expected minutes + bookmaker-implied fixture xG/clean-sheet probabilities.</t>
  </si>
  <si>
    <t>Player ID</t>
  </si>
  <si>
    <t>Player</t>
  </si>
  <si>
    <t>Full Name</t>
  </si>
  <si>
    <t>Team</t>
  </si>
  <si>
    <t>Start Price (£m)</t>
  </si>
  <si>
    <t>Current Price (£m)</t>
  </si>
  <si>
    <t>Mins 25/26</t>
  </si>
  <si>
    <t>xG 25/26</t>
  </si>
  <si>
    <t>xA 25/26</t>
  </si>
  <si>
    <t>xG90 Hist</t>
  </si>
  <si>
    <t>xA90 Hist</t>
  </si>
  <si>
    <t>Goals 25/26</t>
  </si>
  <si>
    <t>Assists 25/26</t>
  </si>
  <si>
    <t>FPL Pts 25/26</t>
  </si>
  <si>
    <t>Pts/Game</t>
  </si>
  <si>
    <t>Starts 25/26</t>
  </si>
  <si>
    <t>DC90</t>
  </si>
  <si>
    <t>Pens Order</t>
  </si>
  <si>
    <t>Direct FK Order</t>
  </si>
  <si>
    <t>Corners/IFK Order</t>
  </si>
  <si>
    <t>New Club?</t>
  </si>
  <si>
    <t>New Manager?</t>
  </si>
  <si>
    <t>Role Change</t>
  </si>
  <si>
    <t>Start Prob</t>
  </si>
  <si>
    <t>Exp Mins</t>
  </si>
  <si>
    <t>Sample Weight</t>
  </si>
  <si>
    <t>Pos xG90 Prior</t>
  </si>
  <si>
    <t>Pos xA90 Prior</t>
  </si>
  <si>
    <t>xG90 Prior</t>
  </si>
  <si>
    <t>xA90 Prior</t>
  </si>
  <si>
    <t>League Adj</t>
  </si>
  <si>
    <t>Role Adj</t>
  </si>
  <si>
    <t>Team Adj</t>
  </si>
  <si>
    <t>Adj xG90</t>
  </si>
  <si>
    <t>Adj xA90</t>
  </si>
  <si>
    <t>Status</t>
  </si>
  <si>
    <t>Chance Play GW1</t>
  </si>
  <si>
    <t>News</t>
  </si>
  <si>
    <t>Ownership %</t>
  </si>
  <si>
    <t>Selectable?</t>
  </si>
  <si>
    <t>Team Join Date</t>
  </si>
  <si>
    <t>Test Sample?</t>
  </si>
  <si>
    <t>Notes</t>
  </si>
  <si>
    <t>Source URL</t>
  </si>
  <si>
    <t>Raya</t>
  </si>
  <si>
    <t>David Raya Martín</t>
  </si>
  <si>
    <t>Arsenal</t>
  </si>
  <si>
    <t>None</t>
  </si>
  <si>
    <t>Available</t>
  </si>
  <si>
    <t>2024-07-04</t>
  </si>
  <si>
    <t>https://raw.githubusercontent.com/vaastav/Fantasy-Premier-League/master/data/2026-27/players_raw.csv</t>
  </si>
  <si>
    <t>Arrizabalaga</t>
  </si>
  <si>
    <t>Kepa Arrizabalaga Revuelta</t>
  </si>
  <si>
    <t>2025-07-01</t>
  </si>
  <si>
    <t>Meslier</t>
  </si>
  <si>
    <t>Illan Meslier</t>
  </si>
  <si>
    <t>2026-07-09</t>
  </si>
  <si>
    <t>Gabriel</t>
  </si>
  <si>
    <t>Gabriel Magalhães</t>
  </si>
  <si>
    <t>2020-09-01</t>
  </si>
  <si>
    <t>J.Timber</t>
  </si>
  <si>
    <t>Jurriën Timber</t>
  </si>
  <si>
    <t>Injured</t>
  </si>
  <si>
    <t>Groin injury - Expected back 21 Aug</t>
  </si>
  <si>
    <t>2023-07-14</t>
  </si>
  <si>
    <t>Saliba</t>
  </si>
  <si>
    <t>William Saliba</t>
  </si>
  <si>
    <t>Back injury - Unknown return date</t>
  </si>
  <si>
    <t>2019-07-25</t>
  </si>
  <si>
    <t>Lewis-Skelly</t>
  </si>
  <si>
    <t>Myles Lewis-Skelly</t>
  </si>
  <si>
    <t>2022-12-04</t>
  </si>
  <si>
    <t>Calafiori</t>
  </si>
  <si>
    <t>Riccardo Calafiori</t>
  </si>
  <si>
    <t>2024-07-29</t>
  </si>
  <si>
    <t>Hincapie</t>
  </si>
  <si>
    <t>Piero Hincapié</t>
  </si>
  <si>
    <t>2026-07-01</t>
  </si>
  <si>
    <t>White</t>
  </si>
  <si>
    <t>Benjamin White</t>
  </si>
  <si>
    <t>2021-07-30</t>
  </si>
  <si>
    <t>Mosquera</t>
  </si>
  <si>
    <t>Cristhian Mosquera</t>
  </si>
  <si>
    <t>2025-07-24</t>
  </si>
  <si>
    <t>Saka</t>
  </si>
  <si>
    <t>Bukayo Saka</t>
  </si>
  <si>
    <t>2018-11-28</t>
  </si>
  <si>
    <t>Rice</t>
  </si>
  <si>
    <t>Declan Rice</t>
  </si>
  <si>
    <t>2023-07-15</t>
  </si>
  <si>
    <t>Eze</t>
  </si>
  <si>
    <t>Eberechi Eze</t>
  </si>
  <si>
    <t>2025-08-23</t>
  </si>
  <si>
    <t>Ødegaard</t>
  </si>
  <si>
    <t>Martin Ødegaard</t>
  </si>
  <si>
    <t>2021-08-20</t>
  </si>
  <si>
    <t>Madueke</t>
  </si>
  <si>
    <t>Noni Madueke</t>
  </si>
  <si>
    <t>2025-07-18</t>
  </si>
  <si>
    <t>Merino</t>
  </si>
  <si>
    <t>Mikel Merino Zazón</t>
  </si>
  <si>
    <t>2024-08-27</t>
  </si>
  <si>
    <t>Martinelli</t>
  </si>
  <si>
    <t>Gabriel Martinelli</t>
  </si>
  <si>
    <t>2019-07-15</t>
  </si>
  <si>
    <t>Zubimendi</t>
  </si>
  <si>
    <t>Martín Zubimendi Ibáñez</t>
  </si>
  <si>
    <t>2025-07-06</t>
  </si>
  <si>
    <t>Dowman</t>
  </si>
  <si>
    <t>Max Dowman</t>
  </si>
  <si>
    <t>Nørgaard</t>
  </si>
  <si>
    <t>Christian Nørgaard</t>
  </si>
  <si>
    <t>2025-07-10</t>
  </si>
  <si>
    <t>Nwaneri</t>
  </si>
  <si>
    <t>Ethan Nwaneri</t>
  </si>
  <si>
    <t>2022-09-17</t>
  </si>
  <si>
    <t>Fábio Vieira</t>
  </si>
  <si>
    <t>2022-06-21</t>
  </si>
  <si>
    <t>Nelson</t>
  </si>
  <si>
    <t>Reiss Nelson</t>
  </si>
  <si>
    <t>2017-07-12</t>
  </si>
  <si>
    <t>Gyökeres</t>
  </si>
  <si>
    <t>Viktor Gyökeres</t>
  </si>
  <si>
    <t>2025-07-26</t>
  </si>
  <si>
    <t>Havertz</t>
  </si>
  <si>
    <t>Kai Havertz</t>
  </si>
  <si>
    <t>2023-06-28</t>
  </si>
  <si>
    <t>G.Jesus</t>
  </si>
  <si>
    <t>Gabriel Jesus</t>
  </si>
  <si>
    <t>2022-07-04</t>
  </si>
  <si>
    <t>Tzolis</t>
  </si>
  <si>
    <t>Christos Tzolis</t>
  </si>
  <si>
    <t>2026-07-23</t>
  </si>
  <si>
    <t>Martinez</t>
  </si>
  <si>
    <t>Emiliano Martínez</t>
  </si>
  <si>
    <t>Aston Villa</t>
  </si>
  <si>
    <t>2020-09-16</t>
  </si>
  <si>
    <t>M.Bizot</t>
  </si>
  <si>
    <t>Marco Bizot</t>
  </si>
  <si>
    <t>2025-07-15</t>
  </si>
  <si>
    <t>Digne</t>
  </si>
  <si>
    <t>Lucas Digne</t>
  </si>
  <si>
    <t>2022-01-13</t>
  </si>
  <si>
    <t>Konsa</t>
  </si>
  <si>
    <t>Ezri Konsa Ngoyo</t>
  </si>
  <si>
    <t>2019-07-11</t>
  </si>
  <si>
    <t>Cash</t>
  </si>
  <si>
    <t>Matty Cash</t>
  </si>
  <si>
    <t>2020-09-03</t>
  </si>
  <si>
    <t>Mings</t>
  </si>
  <si>
    <t>Tyrone Mings</t>
  </si>
  <si>
    <t>2019-07-08</t>
  </si>
  <si>
    <t>Pau</t>
  </si>
  <si>
    <t>Pau Torres</t>
  </si>
  <si>
    <t>2023-07-12</t>
  </si>
  <si>
    <t>Bogarde</t>
  </si>
  <si>
    <t>Lamare Bogarde</t>
  </si>
  <si>
    <t>2021-01-07</t>
  </si>
  <si>
    <t>Maatsen</t>
  </si>
  <si>
    <t>Ian Maatsen</t>
  </si>
  <si>
    <t>2024-06-28</t>
  </si>
  <si>
    <t>Lindelöf</t>
  </si>
  <si>
    <t>Victor Lindelöf</t>
  </si>
  <si>
    <t>2025-09-01</t>
  </si>
  <si>
    <t>A.García</t>
  </si>
  <si>
    <t>Andrés García</t>
  </si>
  <si>
    <t>Nedeljkovic</t>
  </si>
  <si>
    <t>Kosta Nedeljkovic</t>
  </si>
  <si>
    <t>2024-01-22</t>
  </si>
  <si>
    <t>Buendía</t>
  </si>
  <si>
    <t>Emiliano Buendía Stati</t>
  </si>
  <si>
    <t>2021-06-10</t>
  </si>
  <si>
    <t>Guessand</t>
  </si>
  <si>
    <t>Evann Guessand</t>
  </si>
  <si>
    <t>2025-08-08</t>
  </si>
  <si>
    <t>Bailey</t>
  </si>
  <si>
    <t>Leon Bailey</t>
  </si>
  <si>
    <t>2021-08-04</t>
  </si>
  <si>
    <t>McGinn</t>
  </si>
  <si>
    <t>John McGinn</t>
  </si>
  <si>
    <t>2018-08-08</t>
  </si>
  <si>
    <t>Barkley</t>
  </si>
  <si>
    <t>Ross Barkley</t>
  </si>
  <si>
    <t>2024-07-01</t>
  </si>
  <si>
    <t>Kamara</t>
  </si>
  <si>
    <t>Boubacar Kamara</t>
  </si>
  <si>
    <t>Doubtful</t>
  </si>
  <si>
    <t>Knee injury - 75% chance of playing</t>
  </si>
  <si>
    <t>2022-06-11</t>
  </si>
  <si>
    <t>Onana</t>
  </si>
  <si>
    <t>Amadou Onana</t>
  </si>
  <si>
    <t>Knee injury - Unknown return date</t>
  </si>
  <si>
    <t>2024-07-22</t>
  </si>
  <si>
    <t>Iling Jr</t>
  </si>
  <si>
    <t>Samuel Iling-Junior</t>
  </si>
  <si>
    <t>Burrowes</t>
  </si>
  <si>
    <t>Bradley Burrowes</t>
  </si>
  <si>
    <t>George Hemmings</t>
  </si>
  <si>
    <t>Alysson</t>
  </si>
  <si>
    <t>Alysson Edward</t>
  </si>
  <si>
    <t>2026-01-01</t>
  </si>
  <si>
    <t>Manzambi</t>
  </si>
  <si>
    <t>Johan Manzambi</t>
  </si>
  <si>
    <t>2026-07-17</t>
  </si>
  <si>
    <t>Gomes</t>
  </si>
  <si>
    <t>João Gomes</t>
  </si>
  <si>
    <t>2026-07-20</t>
  </si>
  <si>
    <t>Watkins</t>
  </si>
  <si>
    <t>Ollie Watkins</t>
  </si>
  <si>
    <t>2020-09-09</t>
  </si>
  <si>
    <t>Abraham</t>
  </si>
  <si>
    <t>Tammy Abraham</t>
  </si>
  <si>
    <t>Shoulder injury - Expected back 23 Aug</t>
  </si>
  <si>
    <t>2026-01-27</t>
  </si>
  <si>
    <t>Garnacho</t>
  </si>
  <si>
    <t>Alejandro Garnacho Ferreyra</t>
  </si>
  <si>
    <t>Petrović</t>
  </si>
  <si>
    <t>Đorđe Petrović</t>
  </si>
  <si>
    <t>Bournemouth</t>
  </si>
  <si>
    <t>2025-07-16</t>
  </si>
  <si>
    <t>Forster</t>
  </si>
  <si>
    <t>Fraser Forster</t>
  </si>
  <si>
    <t>2026-01-02</t>
  </si>
  <si>
    <t>Dennis</t>
  </si>
  <si>
    <t>Will Dennis</t>
  </si>
  <si>
    <t>2019-08-01</t>
  </si>
  <si>
    <t>Hill</t>
  </si>
  <si>
    <t>James Hill</t>
  </si>
  <si>
    <t>2022-01-05</t>
  </si>
  <si>
    <t>Truffert</t>
  </si>
  <si>
    <t>Adrien Truffert</t>
  </si>
  <si>
    <t>2025-06-16</t>
  </si>
  <si>
    <t>Diakité</t>
  </si>
  <si>
    <t>Bafodé Diakité</t>
  </si>
  <si>
    <t>2025-08-13</t>
  </si>
  <si>
    <t>Milosavljević</t>
  </si>
  <si>
    <t>Veljko Milosavljevic</t>
  </si>
  <si>
    <t>Smith</t>
  </si>
  <si>
    <t>Adam Smith</t>
  </si>
  <si>
    <t>2014-01-28</t>
  </si>
  <si>
    <t>J.Araujo</t>
  </si>
  <si>
    <t>Julián Araujo Zúñiga</t>
  </si>
  <si>
    <t>2024-08-13</t>
  </si>
  <si>
    <t>Soler</t>
  </si>
  <si>
    <t>Julio Soler Barreto</t>
  </si>
  <si>
    <t>2025-01-07</t>
  </si>
  <si>
    <t>Rayan</t>
  </si>
  <si>
    <t>Tavernier</t>
  </si>
  <si>
    <t>Marcus Tavernier</t>
  </si>
  <si>
    <t>2022-08-01</t>
  </si>
  <si>
    <t>Scott</t>
  </si>
  <si>
    <t>Alex Scott</t>
  </si>
  <si>
    <t>2023-08-10</t>
  </si>
  <si>
    <t>Kluivert</t>
  </si>
  <si>
    <t>Justin Kluivert</t>
  </si>
  <si>
    <t>2023-07-01</t>
  </si>
  <si>
    <t>Cook</t>
  </si>
  <si>
    <t>Lewis Cook</t>
  </si>
  <si>
    <t>2016-07-08</t>
  </si>
  <si>
    <t>Gannon-Doak</t>
  </si>
  <si>
    <t>Ben Gannon-Doak</t>
  </si>
  <si>
    <t>2025-08-18</t>
  </si>
  <si>
    <t>Adams</t>
  </si>
  <si>
    <t>Tyler Adams</t>
  </si>
  <si>
    <t>2023-08-20</t>
  </si>
  <si>
    <t>Brooks</t>
  </si>
  <si>
    <t>David Brooks</t>
  </si>
  <si>
    <t>2018-07-01</t>
  </si>
  <si>
    <t>Christie</t>
  </si>
  <si>
    <t>Ryan Christie</t>
  </si>
  <si>
    <t>Suspended</t>
  </si>
  <si>
    <t>Suspended until 29 Aug</t>
  </si>
  <si>
    <t>2021-08-31</t>
  </si>
  <si>
    <t>Tóth.A</t>
  </si>
  <si>
    <t>Alex Tóth</t>
  </si>
  <si>
    <t>2026-01-20</t>
  </si>
  <si>
    <t>Adli</t>
  </si>
  <si>
    <t>Amine Adli</t>
  </si>
  <si>
    <t>2025-08-21</t>
  </si>
  <si>
    <t>Kroupi.Jr</t>
  </si>
  <si>
    <t>Junior Kroupi</t>
  </si>
  <si>
    <t>Foot injury - Unknown return date</t>
  </si>
  <si>
    <t>2025-02-02</t>
  </si>
  <si>
    <t>Evanilson</t>
  </si>
  <si>
    <t>2024-08-16</t>
  </si>
  <si>
    <t>Enes Ünal</t>
  </si>
  <si>
    <t>Rodríguez</t>
  </si>
  <si>
    <t>Álvaro Rodríguez</t>
  </si>
  <si>
    <t>2026-07-14</t>
  </si>
  <si>
    <t>Silva</t>
  </si>
  <si>
    <t>António Silva</t>
  </si>
  <si>
    <t>2026-08-01</t>
  </si>
  <si>
    <t>Kelleher</t>
  </si>
  <si>
    <t>Caoimhín Kelleher</t>
  </si>
  <si>
    <t>Brentford</t>
  </si>
  <si>
    <t>2025-06-03</t>
  </si>
  <si>
    <t>Valdimarsson</t>
  </si>
  <si>
    <t>Hákon Rafn Valdimarsson</t>
  </si>
  <si>
    <t>2024-01-26</t>
  </si>
  <si>
    <t>Collins</t>
  </si>
  <si>
    <t>Nathan Collins</t>
  </si>
  <si>
    <t>2023-07-04</t>
  </si>
  <si>
    <t>Van den Berg</t>
  </si>
  <si>
    <t>Sepp van den Berg</t>
  </si>
  <si>
    <t>2024-08-22</t>
  </si>
  <si>
    <t>Lewis-Potter</t>
  </si>
  <si>
    <t>Keane Lewis-Potter</t>
  </si>
  <si>
    <t>2022-07-12</t>
  </si>
  <si>
    <t>Ajer</t>
  </si>
  <si>
    <t>Kristoffer Ajer</t>
  </si>
  <si>
    <t>2021-07-21</t>
  </si>
  <si>
    <t>Kayode</t>
  </si>
  <si>
    <t>Michael Kayode</t>
  </si>
  <si>
    <t>Henry</t>
  </si>
  <si>
    <t>Rico Henry</t>
  </si>
  <si>
    <t>2016-08-31</t>
  </si>
  <si>
    <t>Hickey</t>
  </si>
  <si>
    <t>Aaron Hickey</t>
  </si>
  <si>
    <t>2022-07-09</t>
  </si>
  <si>
    <t>Pinnock</t>
  </si>
  <si>
    <t>Ethan Pinnock</t>
  </si>
  <si>
    <t>2019-07-02</t>
  </si>
  <si>
    <t>Ji-soo</t>
  </si>
  <si>
    <t>Kim Ji-Soo</t>
  </si>
  <si>
    <t>2023-07-20</t>
  </si>
  <si>
    <t>Schuster</t>
  </si>
  <si>
    <t>Jannik Schuster</t>
  </si>
  <si>
    <t>2026-06-15</t>
  </si>
  <si>
    <t>Schade</t>
  </si>
  <si>
    <t>Kevin Schade</t>
  </si>
  <si>
    <t>O.Dango</t>
  </si>
  <si>
    <t>Dango Ouattara</t>
  </si>
  <si>
    <t>2025-08-16</t>
  </si>
  <si>
    <t>Damsgaard</t>
  </si>
  <si>
    <t>Mikkel Damsgaard</t>
  </si>
  <si>
    <t>2022-08-10</t>
  </si>
  <si>
    <t>Jensen</t>
  </si>
  <si>
    <t>Mathias Jensen</t>
  </si>
  <si>
    <t>2019-07-10</t>
  </si>
  <si>
    <t>Janelt</t>
  </si>
  <si>
    <t>Vitaly Janelt</t>
  </si>
  <si>
    <t>2020-10-03</t>
  </si>
  <si>
    <t>Milambo</t>
  </si>
  <si>
    <t>Antoni Milambo</t>
  </si>
  <si>
    <t>2025-07-03</t>
  </si>
  <si>
    <t>Carvalho</t>
  </si>
  <si>
    <t>Fábio Carvalho</t>
  </si>
  <si>
    <t>2024-08-12</t>
  </si>
  <si>
    <t>Henderson</t>
  </si>
  <si>
    <t>Jordan Henderson</t>
  </si>
  <si>
    <t>Unavailable</t>
  </si>
  <si>
    <t>has departed the club as a free agent.</t>
  </si>
  <si>
    <t>Yarmoliuk</t>
  </si>
  <si>
    <t>Yehor Yarmoliuk</t>
  </si>
  <si>
    <t>2022-10-28</t>
  </si>
  <si>
    <t>Dasilva</t>
  </si>
  <si>
    <t>Josh Dasilva</t>
  </si>
  <si>
    <t>2025-10-23</t>
  </si>
  <si>
    <t>Anthony</t>
  </si>
  <si>
    <t>Jaidon Anthony</t>
  </si>
  <si>
    <t>2026-07-07</t>
  </si>
  <si>
    <t>Thiago</t>
  </si>
  <si>
    <t>Igor Thiago</t>
  </si>
  <si>
    <t>Furo</t>
  </si>
  <si>
    <t>Kaye Furo</t>
  </si>
  <si>
    <t>2026-01-11</t>
  </si>
  <si>
    <t>Wilson</t>
  </si>
  <si>
    <t>Callum Wilson</t>
  </si>
  <si>
    <t>Sangaré</t>
  </si>
  <si>
    <t>Mamadou Sangaré</t>
  </si>
  <si>
    <t>Verbruggen</t>
  </si>
  <si>
    <t>Bart Verbruggen</t>
  </si>
  <si>
    <t>Brighton</t>
  </si>
  <si>
    <t>2023-07-03</t>
  </si>
  <si>
    <t>Rushworth</t>
  </si>
  <si>
    <t>Carl Rushworth</t>
  </si>
  <si>
    <t>Steele</t>
  </si>
  <si>
    <t>Jason Steele</t>
  </si>
  <si>
    <t>F.Kadıoğlu</t>
  </si>
  <si>
    <t>Ferdi Kadıoğlu</t>
  </si>
  <si>
    <t>Boscagli</t>
  </si>
  <si>
    <t>Olivier Boscagli</t>
  </si>
  <si>
    <t>2025-07-02</t>
  </si>
  <si>
    <t>De Cuyper</t>
  </si>
  <si>
    <t>Maxim De Cuyper</t>
  </si>
  <si>
    <t>2025-07-05</t>
  </si>
  <si>
    <t>Dunk</t>
  </si>
  <si>
    <t>Lewis Dunk</t>
  </si>
  <si>
    <t>2009-07-01</t>
  </si>
  <si>
    <t>Coppola</t>
  </si>
  <si>
    <t>Diego Coppola</t>
  </si>
  <si>
    <t>Igor</t>
  </si>
  <si>
    <t>Igor Julio</t>
  </si>
  <si>
    <t>2023-07-26</t>
  </si>
  <si>
    <t>Costinha</t>
  </si>
  <si>
    <t>Svoboda</t>
  </si>
  <si>
    <t>Michael Svoboda</t>
  </si>
  <si>
    <t>2026-07-02</t>
  </si>
  <si>
    <t>Mitoma</t>
  </si>
  <si>
    <t>Mitoma Kaoru</t>
  </si>
  <si>
    <t>Hamstring injury - Unknown return date</t>
  </si>
  <si>
    <t>2021-08-09</t>
  </si>
  <si>
    <t>Minteh</t>
  </si>
  <si>
    <t>Yankuba Minteh</t>
  </si>
  <si>
    <t>Hinshelwood</t>
  </si>
  <si>
    <t>Jack Hinshelwood</t>
  </si>
  <si>
    <t>2022-12-30</t>
  </si>
  <si>
    <t>Groß</t>
  </si>
  <si>
    <t>Pascal Groß</t>
  </si>
  <si>
    <t>Georginio</t>
  </si>
  <si>
    <t>Georginio Rutter</t>
  </si>
  <si>
    <t>2024-08-19</t>
  </si>
  <si>
    <t>O'Riley</t>
  </si>
  <si>
    <t>Matt O'Riley</t>
  </si>
  <si>
    <t>2024-08-26</t>
  </si>
  <si>
    <t>Gomez</t>
  </si>
  <si>
    <t>Diego Gómez</t>
  </si>
  <si>
    <t>2025-01-01</t>
  </si>
  <si>
    <t>Buonanotte</t>
  </si>
  <si>
    <t>Facundo Buonanotte</t>
  </si>
  <si>
    <t>2023-01-01</t>
  </si>
  <si>
    <t>Ayari</t>
  </si>
  <si>
    <t>Yasin Ayari</t>
  </si>
  <si>
    <t>2023-01-30</t>
  </si>
  <si>
    <t>Wieffer</t>
  </si>
  <si>
    <t>Mats Wieffer</t>
  </si>
  <si>
    <t>2024-07-06</t>
  </si>
  <si>
    <t>Baleba</t>
  </si>
  <si>
    <t>Carlos Baleba</t>
  </si>
  <si>
    <t>2023-08-29</t>
  </si>
  <si>
    <t>Howell</t>
  </si>
  <si>
    <t>Harry Howell</t>
  </si>
  <si>
    <t>Watson</t>
  </si>
  <si>
    <t>Tom Watson</t>
  </si>
  <si>
    <t>Has joined Leicester City on loan for the rest of the season</t>
  </si>
  <si>
    <t>2025-06-01</t>
  </si>
  <si>
    <t>Oriola</t>
  </si>
  <si>
    <t>Nehemiah Oriola</t>
  </si>
  <si>
    <t>Yohanna</t>
  </si>
  <si>
    <t>Zadok Yohanna</t>
  </si>
  <si>
    <t>Tzimas</t>
  </si>
  <si>
    <t>Stefanos Tzimas</t>
  </si>
  <si>
    <t>2025-02-03</t>
  </si>
  <si>
    <t>Kostoulas</t>
  </si>
  <si>
    <t>Charalampos Kostoulas</t>
  </si>
  <si>
    <t>Ferguson</t>
  </si>
  <si>
    <t>Evan Ferguson</t>
  </si>
  <si>
    <t>Ankle injury - Expected back 10 Oct</t>
  </si>
  <si>
    <t>2021-08-23</t>
  </si>
  <si>
    <t>Struijk</t>
  </si>
  <si>
    <t>Pascal Struijk</t>
  </si>
  <si>
    <t>2026-06-30</t>
  </si>
  <si>
    <t>Vuskovic</t>
  </si>
  <si>
    <t>Luka Vušković</t>
  </si>
  <si>
    <t>Rogers</t>
  </si>
  <si>
    <t>Morgan Rogers</t>
  </si>
  <si>
    <t>Chelsea</t>
  </si>
  <si>
    <t>2026-07-21</t>
  </si>
  <si>
    <t>Welbeck</t>
  </si>
  <si>
    <t>Danny Welbeck</t>
  </si>
  <si>
    <t>Sánchez</t>
  </si>
  <si>
    <t>Robert Lynch Sánchez</t>
  </si>
  <si>
    <t>2023-08-05</t>
  </si>
  <si>
    <t>Jörgensen</t>
  </si>
  <si>
    <t>Filip Jörgensen</t>
  </si>
  <si>
    <t>2024-07-30</t>
  </si>
  <si>
    <t>James</t>
  </si>
  <si>
    <t>Reece James</t>
  </si>
  <si>
    <t>2019-05-15</t>
  </si>
  <si>
    <t>Chalobah</t>
  </si>
  <si>
    <t>Trevoh Chalobah</t>
  </si>
  <si>
    <t>2018-02-16</t>
  </si>
  <si>
    <t>Gusto</t>
  </si>
  <si>
    <t>Malo Gusto</t>
  </si>
  <si>
    <t>2023-01-28</t>
  </si>
  <si>
    <t>Fofana</t>
  </si>
  <si>
    <t>Wesley Fofana</t>
  </si>
  <si>
    <t>Suspended until 6 Sep</t>
  </si>
  <si>
    <t>2022-08-31</t>
  </si>
  <si>
    <t>B.Badiashile</t>
  </si>
  <si>
    <t>Benoît Badiashile Mukinayi</t>
  </si>
  <si>
    <t>2023-01-05</t>
  </si>
  <si>
    <t>Tosin</t>
  </si>
  <si>
    <t>Tosin Adarabioyo</t>
  </si>
  <si>
    <t>Hato</t>
  </si>
  <si>
    <t>Jorrel Hato</t>
  </si>
  <si>
    <t>2025-08-03</t>
  </si>
  <si>
    <t>Colwill</t>
  </si>
  <si>
    <t>Levi Samuels Colwill</t>
  </si>
  <si>
    <t>2022-07-01</t>
  </si>
  <si>
    <t>M.Sarr</t>
  </si>
  <si>
    <t>Mamadou Sarr</t>
  </si>
  <si>
    <t>2025-06-09</t>
  </si>
  <si>
    <t>Acheampong</t>
  </si>
  <si>
    <t>Josh Acheampong</t>
  </si>
  <si>
    <t>2024-03-10</t>
  </si>
  <si>
    <t>Palestra</t>
  </si>
  <si>
    <t>Marco Palestra</t>
  </si>
  <si>
    <t>Disasi</t>
  </si>
  <si>
    <t>Axel Disasi</t>
  </si>
  <si>
    <t>2023-08-04</t>
  </si>
  <si>
    <t>Palmer</t>
  </si>
  <si>
    <t>Cole Palmer</t>
  </si>
  <si>
    <t>2023-09-01</t>
  </si>
  <si>
    <t>Enzo</t>
  </si>
  <si>
    <t>Enzo Fernández</t>
  </si>
  <si>
    <t>2023-01-31</t>
  </si>
  <si>
    <t>Neto</t>
  </si>
  <si>
    <t>Pedro Neto</t>
  </si>
  <si>
    <t>2024-08-11</t>
  </si>
  <si>
    <t>Estêvão</t>
  </si>
  <si>
    <t>2025-07-14</t>
  </si>
  <si>
    <t>Gittens</t>
  </si>
  <si>
    <t>Jamie Bynoe-Gittens</t>
  </si>
  <si>
    <t>Caicedo</t>
  </si>
  <si>
    <t>Moisés Caicedo</t>
  </si>
  <si>
    <t>2023-08-14</t>
  </si>
  <si>
    <t>Lavia</t>
  </si>
  <si>
    <t>Roméo Lavia</t>
  </si>
  <si>
    <t>2023-08-18</t>
  </si>
  <si>
    <t>D.Essugo</t>
  </si>
  <si>
    <t>Dário Essugo</t>
  </si>
  <si>
    <t>2025-06-02</t>
  </si>
  <si>
    <t>Quenda</t>
  </si>
  <si>
    <t>Geovany Quenda</t>
  </si>
  <si>
    <t>Unspecified injury - 75% chance of playing</t>
  </si>
  <si>
    <t>João Pedro</t>
  </si>
  <si>
    <t>N.Jackson</t>
  </si>
  <si>
    <t>Nicolas Jackson</t>
  </si>
  <si>
    <t>Delap</t>
  </si>
  <si>
    <t>Liam Delap</t>
  </si>
  <si>
    <t>2025-06-04</t>
  </si>
  <si>
    <t>Marc Guiu</t>
  </si>
  <si>
    <t>Marc Guiu Paz</t>
  </si>
  <si>
    <t>Mheuka</t>
  </si>
  <si>
    <t>Shumaira Mheuka</t>
  </si>
  <si>
    <t>Emegha</t>
  </si>
  <si>
    <t>Emmanuel Emegha</t>
  </si>
  <si>
    <t>Hamstring injury - 75% chance of playing</t>
  </si>
  <si>
    <t>Lacroix</t>
  </si>
  <si>
    <t>Maxence Lacroix</t>
  </si>
  <si>
    <t>2026-07-30</t>
  </si>
  <si>
    <t>Penders</t>
  </si>
  <si>
    <t>Mike Penders</t>
  </si>
  <si>
    <t>Anselmino</t>
  </si>
  <si>
    <t>Aaron Anselmino</t>
  </si>
  <si>
    <t>2024-08-08</t>
  </si>
  <si>
    <t>Onyeka</t>
  </si>
  <si>
    <t>Frank Onyeka</t>
  </si>
  <si>
    <t>Coventry City</t>
  </si>
  <si>
    <t>Dovin</t>
  </si>
  <si>
    <t>Oliver Dovin</t>
  </si>
  <si>
    <t>2024-07-19</t>
  </si>
  <si>
    <t>Ben Wilson</t>
  </si>
  <si>
    <t>2019-07-01</t>
  </si>
  <si>
    <t>Thomas</t>
  </si>
  <si>
    <t>Bobby Thomas</t>
  </si>
  <si>
    <t>2023-07-22</t>
  </si>
  <si>
    <t>Kitching</t>
  </si>
  <si>
    <t>Liam Kitching</t>
  </si>
  <si>
    <t>van Ewijk</t>
  </si>
  <si>
    <t>Milan van Ewijk</t>
  </si>
  <si>
    <t>2023-07-27</t>
  </si>
  <si>
    <t>Jay Dasilva</t>
  </si>
  <si>
    <t>Kesler-Hayden</t>
  </si>
  <si>
    <t>Kaine Kesler-Hayden</t>
  </si>
  <si>
    <t>Bidwell</t>
  </si>
  <si>
    <t>Jake Bidwell</t>
  </si>
  <si>
    <t>2022-01-17</t>
  </si>
  <si>
    <t>Latibeaudiere</t>
  </si>
  <si>
    <t>Joel Latibeaudiere</t>
  </si>
  <si>
    <t>2023-07-18</t>
  </si>
  <si>
    <t>Woolfenden</t>
  </si>
  <si>
    <t>Luke Woolfenden</t>
  </si>
  <si>
    <t>Brau</t>
  </si>
  <si>
    <t>Miguel Brau</t>
  </si>
  <si>
    <t>Amenda</t>
  </si>
  <si>
    <t>Aurèle Amenda</t>
  </si>
  <si>
    <t>2026-07-16</t>
  </si>
  <si>
    <t>Rudoni</t>
  </si>
  <si>
    <t>Jack Rudoni</t>
  </si>
  <si>
    <t>Shoulder injury - 75% chance of playing</t>
  </si>
  <si>
    <t>2024-06-20</t>
  </si>
  <si>
    <t>Grimes</t>
  </si>
  <si>
    <t>Matt Grimes</t>
  </si>
  <si>
    <t>2025-01-31</t>
  </si>
  <si>
    <t>Sakamoto</t>
  </si>
  <si>
    <t>Tatsuhiro Sakamoto</t>
  </si>
  <si>
    <t>2023-07-10</t>
  </si>
  <si>
    <t>Mason-Clark</t>
  </si>
  <si>
    <t>Ephron Mason-Clark</t>
  </si>
  <si>
    <t>2024-02-01</t>
  </si>
  <si>
    <t>Eccles</t>
  </si>
  <si>
    <t>Josh Eccles</t>
  </si>
  <si>
    <t>Torp</t>
  </si>
  <si>
    <t>Victor Torp</t>
  </si>
  <si>
    <t>2024-01-11</t>
  </si>
  <si>
    <t>Shepherd</t>
  </si>
  <si>
    <t>George Shepherd</t>
  </si>
  <si>
    <t>Tchaouna</t>
  </si>
  <si>
    <t>Loum Tchaouna</t>
  </si>
  <si>
    <t>2026-07-11</t>
  </si>
  <si>
    <t>Borges Rodrigues</t>
  </si>
  <si>
    <t>Raphael Borges Rodrigues</t>
  </si>
  <si>
    <t>Andrews</t>
  </si>
  <si>
    <t>Kaine Andrews</t>
  </si>
  <si>
    <t>2023-08-11</t>
  </si>
  <si>
    <t>Wright</t>
  </si>
  <si>
    <t>Haji Wright</t>
  </si>
  <si>
    <t>Thomas-Asante</t>
  </si>
  <si>
    <t>Brandon Thomas-Asante</t>
  </si>
  <si>
    <t>2024-08-01</t>
  </si>
  <si>
    <t>Simms</t>
  </si>
  <si>
    <t>Ellis Simms</t>
  </si>
  <si>
    <t>2023-07-07</t>
  </si>
  <si>
    <t>Markelo</t>
  </si>
  <si>
    <t>Jahnoah Markelo</t>
  </si>
  <si>
    <t>Bassette</t>
  </si>
  <si>
    <t>Norman Bassette</t>
  </si>
  <si>
    <t>Has joined KVC Westerlo on loan for the rest of the season</t>
  </si>
  <si>
    <t>Dean Henderson</t>
  </si>
  <si>
    <t>Crystal Palace</t>
  </si>
  <si>
    <t>2023-08-31</t>
  </si>
  <si>
    <t>Benitez</t>
  </si>
  <si>
    <t>Walter Benítez</t>
  </si>
  <si>
    <t>Muñoz</t>
  </si>
  <si>
    <t>Daniel Muñoz Mejía</t>
  </si>
  <si>
    <t>2024-01-30</t>
  </si>
  <si>
    <t>Richards</t>
  </si>
  <si>
    <t>Chris Richards</t>
  </si>
  <si>
    <t>2022-07-27</t>
  </si>
  <si>
    <t>Canvot</t>
  </si>
  <si>
    <t>Jaydee Canvot</t>
  </si>
  <si>
    <t>Mitchell</t>
  </si>
  <si>
    <t>Tyrick Mitchell</t>
  </si>
  <si>
    <t>2019-12-15</t>
  </si>
  <si>
    <t>Sosa</t>
  </si>
  <si>
    <t>Borna Sosa</t>
  </si>
  <si>
    <t>2025-07-11</t>
  </si>
  <si>
    <t>Chadi Riad</t>
  </si>
  <si>
    <t>Chadi Riad Dnanou</t>
  </si>
  <si>
    <t>Mingueza</t>
  </si>
  <si>
    <t>Oscar Mingueza</t>
  </si>
  <si>
    <t>Sarr</t>
  </si>
  <si>
    <t>Ismaïla Sarr</t>
  </si>
  <si>
    <t>Johnson</t>
  </si>
  <si>
    <t>Brennan Johnson</t>
  </si>
  <si>
    <t>Wharton</t>
  </si>
  <si>
    <t>Adam Wharton</t>
  </si>
  <si>
    <t>Ankle injury - 75% chance of playing</t>
  </si>
  <si>
    <t>Yeremy</t>
  </si>
  <si>
    <t>Yéremy Pino Santos</t>
  </si>
  <si>
    <t>2025-08-29</t>
  </si>
  <si>
    <t>Hughes</t>
  </si>
  <si>
    <t>Will Hughes</t>
  </si>
  <si>
    <t>2021-08-28</t>
  </si>
  <si>
    <t>Lerma</t>
  </si>
  <si>
    <t>Jefferson Lerma Solís</t>
  </si>
  <si>
    <t>Kamada</t>
  </si>
  <si>
    <t>Daichi Kamada</t>
  </si>
  <si>
    <t>Devenny</t>
  </si>
  <si>
    <t>Justin Devenny</t>
  </si>
  <si>
    <t>2024-03-13</t>
  </si>
  <si>
    <t>Esse</t>
  </si>
  <si>
    <t>Romain Esse</t>
  </si>
  <si>
    <t>2025-01-18</t>
  </si>
  <si>
    <t>M.França</t>
  </si>
  <si>
    <t>Matheus França</t>
  </si>
  <si>
    <t>Doucouré</t>
  </si>
  <si>
    <t>Cheick Doucouré</t>
  </si>
  <si>
    <t>2022-07-11</t>
  </si>
  <si>
    <t>J.Rak-Sakyi</t>
  </si>
  <si>
    <t>Jesurun Rak-Sakyi</t>
  </si>
  <si>
    <t>2021-04-09</t>
  </si>
  <si>
    <t>Cardines</t>
  </si>
  <si>
    <t>Rio Cardines</t>
  </si>
  <si>
    <t>Drakes-Thomas</t>
  </si>
  <si>
    <t>Joél Drakes-Thomas</t>
  </si>
  <si>
    <t>2025-12-10</t>
  </si>
  <si>
    <t>Strand Larsen</t>
  </si>
  <si>
    <t>Jørgen Strand Larsen</t>
  </si>
  <si>
    <t>2026-02-02</t>
  </si>
  <si>
    <t>Mateta</t>
  </si>
  <si>
    <t>Jean-Philippe Mateta</t>
  </si>
  <si>
    <t>2022-01-31</t>
  </si>
  <si>
    <t>Nketiah</t>
  </si>
  <si>
    <t>Eddie Nketiah</t>
  </si>
  <si>
    <t>2024-08-30</t>
  </si>
  <si>
    <t>Uche</t>
  </si>
  <si>
    <t>Christantus Uche</t>
  </si>
  <si>
    <t>has returned to Getafe CF</t>
  </si>
  <si>
    <t>Matthews</t>
  </si>
  <si>
    <t>Remi Matthews</t>
  </si>
  <si>
    <t>2021-07-13</t>
  </si>
  <si>
    <t>Pickford</t>
  </si>
  <si>
    <t>Jordan Pickford</t>
  </si>
  <si>
    <t>Everton</t>
  </si>
  <si>
    <t>2017-07-01</t>
  </si>
  <si>
    <t>Travers</t>
  </si>
  <si>
    <t>Mark Travers</t>
  </si>
  <si>
    <t>King</t>
  </si>
  <si>
    <t>Tom King</t>
  </si>
  <si>
    <t>2025-08-15</t>
  </si>
  <si>
    <t>Tarkowski</t>
  </si>
  <si>
    <t>James Tarkowski</t>
  </si>
  <si>
    <t>Branthwaite</t>
  </si>
  <si>
    <t>Jarrad Branthwaite</t>
  </si>
  <si>
    <t>2020-06-20</t>
  </si>
  <si>
    <t>Keane</t>
  </si>
  <si>
    <t>Michael Keane</t>
  </si>
  <si>
    <t>2017-07-03</t>
  </si>
  <si>
    <t>O'Brien</t>
  </si>
  <si>
    <t>Jake O'Brien</t>
  </si>
  <si>
    <t>Mykolenko</t>
  </si>
  <si>
    <t>Vitalii Mykolenko</t>
  </si>
  <si>
    <t>2022-01-01</t>
  </si>
  <si>
    <t>Patterson</t>
  </si>
  <si>
    <t>Nathan Patterson</t>
  </si>
  <si>
    <t>2022-01-04</t>
  </si>
  <si>
    <t>Aznou</t>
  </si>
  <si>
    <t>Adam Aznou</t>
  </si>
  <si>
    <t>2025-07-29</t>
  </si>
  <si>
    <t>Dewsbury-Hall</t>
  </si>
  <si>
    <t>Kiernan Dewsbury-Hall</t>
  </si>
  <si>
    <t>2025-08-06</t>
  </si>
  <si>
    <t>Ndiaye</t>
  </si>
  <si>
    <t>Iliman Ndiaye</t>
  </si>
  <si>
    <t>2024-07-03</t>
  </si>
  <si>
    <t>Garner</t>
  </si>
  <si>
    <t>James Garner</t>
  </si>
  <si>
    <t>Groin injury - Expected back 22 Aug</t>
  </si>
  <si>
    <t>2022-09-01</t>
  </si>
  <si>
    <t>Iroegbunam</t>
  </si>
  <si>
    <t>Tim Iroegbunam</t>
  </si>
  <si>
    <t>2024-06-22</t>
  </si>
  <si>
    <t>McNeil</t>
  </si>
  <si>
    <t>Dwight McNeil</t>
  </si>
  <si>
    <t>2022-07-28</t>
  </si>
  <si>
    <t>George</t>
  </si>
  <si>
    <t>Tyrique George</t>
  </si>
  <si>
    <t>2026-07-06</t>
  </si>
  <si>
    <t>Alcaraz</t>
  </si>
  <si>
    <t>Carlos Alcaraz Durán</t>
  </si>
  <si>
    <t>Armstrong</t>
  </si>
  <si>
    <t>Harrison Armstrong</t>
  </si>
  <si>
    <t>2024-08-09</t>
  </si>
  <si>
    <t>Dibling</t>
  </si>
  <si>
    <t>Tyler Dibling</t>
  </si>
  <si>
    <t>2025-08-25</t>
  </si>
  <si>
    <t>Röhl</t>
  </si>
  <si>
    <t>Merlin Röhl</t>
  </si>
  <si>
    <t>Hackney</t>
  </si>
  <si>
    <t>Hayden Hackney</t>
  </si>
  <si>
    <t>Beto</t>
  </si>
  <si>
    <t>Barry</t>
  </si>
  <si>
    <t>Thierno Barry</t>
  </si>
  <si>
    <t>2025-07-09</t>
  </si>
  <si>
    <t>Leno</t>
  </si>
  <si>
    <t>Bernd Leno</t>
  </si>
  <si>
    <t>Fulham</t>
  </si>
  <si>
    <t>2022-08-02</t>
  </si>
  <si>
    <t>Lecomte</t>
  </si>
  <si>
    <t>Benjamin Lecomte</t>
  </si>
  <si>
    <t>McNally</t>
  </si>
  <si>
    <t>Alfie McNally</t>
  </si>
  <si>
    <t>Andersen</t>
  </si>
  <si>
    <t>Joachim Andersen</t>
  </si>
  <si>
    <t>2024-08-23</t>
  </si>
  <si>
    <t>Robinson</t>
  </si>
  <si>
    <t>Antonee Robinson</t>
  </si>
  <si>
    <t>2020-08-20</t>
  </si>
  <si>
    <t>J.Cuenca</t>
  </si>
  <si>
    <t>Jorge Cuenca Barreno</t>
  </si>
  <si>
    <t>2024-08-03</t>
  </si>
  <si>
    <t>Tete</t>
  </si>
  <si>
    <t>Kenny Tete</t>
  </si>
  <si>
    <t>2020-09-10</t>
  </si>
  <si>
    <t>Bassey</t>
  </si>
  <si>
    <t>Calvin Bassey</t>
  </si>
  <si>
    <t>2023-07-28</t>
  </si>
  <si>
    <t>Castagne</t>
  </si>
  <si>
    <t>Timothy Castagne</t>
  </si>
  <si>
    <t>Iwobi</t>
  </si>
  <si>
    <t>Alex Iwobi</t>
  </si>
  <si>
    <t>Smith Rowe</t>
  </si>
  <si>
    <t>Emile Smith Rowe</t>
  </si>
  <si>
    <t>2024-08-02</t>
  </si>
  <si>
    <t>Kevin</t>
  </si>
  <si>
    <t>Bobb</t>
  </si>
  <si>
    <t>Oscar Bobb</t>
  </si>
  <si>
    <t>2026-01-30</t>
  </si>
  <si>
    <t>Berge</t>
  </si>
  <si>
    <t>Sander Berge</t>
  </si>
  <si>
    <t>Cairney</t>
  </si>
  <si>
    <t>Tom Cairney</t>
  </si>
  <si>
    <t>2015-07-07</t>
  </si>
  <si>
    <t>Lukić</t>
  </si>
  <si>
    <t>Saša Lukić</t>
  </si>
  <si>
    <t>Josh King</t>
  </si>
  <si>
    <t>2024-02-02</t>
  </si>
  <si>
    <t>Sessegnon</t>
  </si>
  <si>
    <t>Ryan Sessegnon</t>
  </si>
  <si>
    <t>2024-07-26</t>
  </si>
  <si>
    <t>Reed</t>
  </si>
  <si>
    <t>Harrison Reed</t>
  </si>
  <si>
    <t>2020-08-30</t>
  </si>
  <si>
    <t>Muniz</t>
  </si>
  <si>
    <t>Rodrigo Muniz</t>
  </si>
  <si>
    <t>Kusi-Asare</t>
  </si>
  <si>
    <t>Jonah Kusi-Asare</t>
  </si>
  <si>
    <t>2026-06-27</t>
  </si>
  <si>
    <t>Phillips</t>
  </si>
  <si>
    <t>Dillon Phillips</t>
  </si>
  <si>
    <t>Hull City</t>
  </si>
  <si>
    <t>Butland</t>
  </si>
  <si>
    <t>Jack Butland</t>
  </si>
  <si>
    <t>Cartwright</t>
  </si>
  <si>
    <t>Harvey Cartwright</t>
  </si>
  <si>
    <t>Has joined Grimsby Town on loan for the rest of the season</t>
  </si>
  <si>
    <t>2020-07-01</t>
  </si>
  <si>
    <t>Lo-Tutala</t>
  </si>
  <si>
    <t>Thimothée Lo-Tutala</t>
  </si>
  <si>
    <t>Egan</t>
  </si>
  <si>
    <t>John Egan</t>
  </si>
  <si>
    <t>Charlie Hughes</t>
  </si>
  <si>
    <t>Groin injury - Unknown return date</t>
  </si>
  <si>
    <t>Ajayi</t>
  </si>
  <si>
    <t>Semi Ajayi</t>
  </si>
  <si>
    <t>Coyle</t>
  </si>
  <si>
    <t>Lewie Coyle</t>
  </si>
  <si>
    <t>2020-08-07</t>
  </si>
  <si>
    <t>Drameh</t>
  </si>
  <si>
    <t>Cody Drameh</t>
  </si>
  <si>
    <t>2024-07-23</t>
  </si>
  <si>
    <t>Giles</t>
  </si>
  <si>
    <t>Ryan Giles</t>
  </si>
  <si>
    <t>2024-06-27</t>
  </si>
  <si>
    <t>Jacob</t>
  </si>
  <si>
    <t>Matty Jacob</t>
  </si>
  <si>
    <t>Hip injury - 75% chance of playing</t>
  </si>
  <si>
    <t>McCarthy</t>
  </si>
  <si>
    <t>Cathal McCarthy</t>
  </si>
  <si>
    <t>McNair</t>
  </si>
  <si>
    <t>Paddy McNair</t>
  </si>
  <si>
    <t>2026-01-28</t>
  </si>
  <si>
    <t>Belloumi</t>
  </si>
  <si>
    <t>Mohamed Belloumi</t>
  </si>
  <si>
    <t>Millar</t>
  </si>
  <si>
    <t>Liam Millar</t>
  </si>
  <si>
    <t>Dowell</t>
  </si>
  <si>
    <t>Kieran Dowell</t>
  </si>
  <si>
    <t>2026-01-23</t>
  </si>
  <si>
    <t>Crooks</t>
  </si>
  <si>
    <t>Matt Crooks</t>
  </si>
  <si>
    <t>2025-01-10</t>
  </si>
  <si>
    <t>Slater</t>
  </si>
  <si>
    <t>Regan Slater</t>
  </si>
  <si>
    <t>2022-01-27</t>
  </si>
  <si>
    <t>Matazo</t>
  </si>
  <si>
    <t>Eliot Matazo</t>
  </si>
  <si>
    <t>2025-01-23</t>
  </si>
  <si>
    <t>Ömür</t>
  </si>
  <si>
    <t>Abdülkadir Ömür</t>
  </si>
  <si>
    <t>Abu Kamara</t>
  </si>
  <si>
    <t>Zambrano</t>
  </si>
  <si>
    <t>Óscar Zambrano</t>
  </si>
  <si>
    <t>McBurnie</t>
  </si>
  <si>
    <t>Oli McBurnie</t>
  </si>
  <si>
    <t>Akintola</t>
  </si>
  <si>
    <t>David Akintola</t>
  </si>
  <si>
    <t>Gyabi</t>
  </si>
  <si>
    <t>Darko Gyabi</t>
  </si>
  <si>
    <t>Destan</t>
  </si>
  <si>
    <t>Enis Destan</t>
  </si>
  <si>
    <t>2025-08-01</t>
  </si>
  <si>
    <t>Burstow</t>
  </si>
  <si>
    <t>Mason Burstow</t>
  </si>
  <si>
    <t>Has joined Sheffield Wednesday on loan for the rest of the season</t>
  </si>
  <si>
    <t>Targett</t>
  </si>
  <si>
    <t>Matt Targett</t>
  </si>
  <si>
    <t>Morita</t>
  </si>
  <si>
    <t>Hidemasa Morita</t>
  </si>
  <si>
    <t>2026-07-24</t>
  </si>
  <si>
    <t>Diop</t>
  </si>
  <si>
    <t>Issa Diop</t>
  </si>
  <si>
    <t>Ipswich Town</t>
  </si>
  <si>
    <t>2026-07-22</t>
  </si>
  <si>
    <t>Walton</t>
  </si>
  <si>
    <t>Christian Walton</t>
  </si>
  <si>
    <t>2022-01-19</t>
  </si>
  <si>
    <t>Alex Palmer</t>
  </si>
  <si>
    <t>Button</t>
  </si>
  <si>
    <t>David Button</t>
  </si>
  <si>
    <t>2025-07-04</t>
  </si>
  <si>
    <t>Kipré</t>
  </si>
  <si>
    <t>Cédric Kipré</t>
  </si>
  <si>
    <t>O'Shea</t>
  </si>
  <si>
    <t>Dara O'Shea</t>
  </si>
  <si>
    <t>2024-08-25</t>
  </si>
  <si>
    <t>Davis</t>
  </si>
  <si>
    <t>Leif Davis</t>
  </si>
  <si>
    <t>2022-07-25</t>
  </si>
  <si>
    <t>Greaves</t>
  </si>
  <si>
    <t>Jacob Greaves</t>
  </si>
  <si>
    <t>2024-07-12</t>
  </si>
  <si>
    <t>Ben Johnson</t>
  </si>
  <si>
    <t>Furlong</t>
  </si>
  <si>
    <t>Darnell Furlong</t>
  </si>
  <si>
    <t>2025-08-28</t>
  </si>
  <si>
    <t>Núñez</t>
  </si>
  <si>
    <t>Marcelino Núñez</t>
  </si>
  <si>
    <t>Matusiwa</t>
  </si>
  <si>
    <t>Azor Matusiwa</t>
  </si>
  <si>
    <t>Muscular injury - Unknown return date</t>
  </si>
  <si>
    <t>2025-07-13</t>
  </si>
  <si>
    <t>Burns</t>
  </si>
  <si>
    <t>Wes Burns</t>
  </si>
  <si>
    <t>2021-06-09</t>
  </si>
  <si>
    <t>Taylor</t>
  </si>
  <si>
    <t>Jack Taylor</t>
  </si>
  <si>
    <t>2023-06-26</t>
  </si>
  <si>
    <t>Clarke</t>
  </si>
  <si>
    <t>Jack Clarke</t>
  </si>
  <si>
    <t>2024-08-24</t>
  </si>
  <si>
    <t>Ogbene</t>
  </si>
  <si>
    <t>Chiedozie Ogbene</t>
  </si>
  <si>
    <t>2024-08-28</t>
  </si>
  <si>
    <t>Fatawu</t>
  </si>
  <si>
    <t>Abdul Fatawu</t>
  </si>
  <si>
    <t>Emersonn</t>
  </si>
  <si>
    <t>2026-07-08</t>
  </si>
  <si>
    <t>Hirst</t>
  </si>
  <si>
    <t>George Hirst</t>
  </si>
  <si>
    <t>2023-07-13</t>
  </si>
  <si>
    <t>Philogene</t>
  </si>
  <si>
    <t>Jaden Philogene</t>
  </si>
  <si>
    <t>2025-01-15</t>
  </si>
  <si>
    <t>Szmodics</t>
  </si>
  <si>
    <t>Sam Szmodics</t>
  </si>
  <si>
    <t>Akpom</t>
  </si>
  <si>
    <t>Chuba Akpom</t>
  </si>
  <si>
    <t>Walle Egeli</t>
  </si>
  <si>
    <t>Sindre Walle Egeli</t>
  </si>
  <si>
    <t>Al-Hamadi</t>
  </si>
  <si>
    <t>Ali Al Hamadi</t>
  </si>
  <si>
    <t>2024-01-29</t>
  </si>
  <si>
    <t>McAteer</t>
  </si>
  <si>
    <t>Kasey McAteer</t>
  </si>
  <si>
    <t>2025-08-22</t>
  </si>
  <si>
    <t>Mehmeti</t>
  </si>
  <si>
    <t>Anis Mehmeti</t>
  </si>
  <si>
    <t>Van Oevelen</t>
  </si>
  <si>
    <t>Kayne van Oevelen</t>
  </si>
  <si>
    <t>Maeda</t>
  </si>
  <si>
    <t>Daizen Maeda</t>
  </si>
  <si>
    <t>2026-07-25</t>
  </si>
  <si>
    <t>Scherpen</t>
  </si>
  <si>
    <t>Kjell Scherpen</t>
  </si>
  <si>
    <t>2026-07-28</t>
  </si>
  <si>
    <t>Harry Wilson</t>
  </si>
  <si>
    <t>Leeds</t>
  </si>
  <si>
    <t>Perri</t>
  </si>
  <si>
    <t>Lucas Perri</t>
  </si>
  <si>
    <t>Bijol</t>
  </si>
  <si>
    <t>Jaka Bijol</t>
  </si>
  <si>
    <t>2025-06-23</t>
  </si>
  <si>
    <t>Rodon</t>
  </si>
  <si>
    <t>Joe Rodon</t>
  </si>
  <si>
    <t>2024-07-02</t>
  </si>
  <si>
    <t>Bogle</t>
  </si>
  <si>
    <t>Jayden Bogle</t>
  </si>
  <si>
    <t>2024-07-20</t>
  </si>
  <si>
    <t>Gudmundsson</t>
  </si>
  <si>
    <t>Gabriel Gudmundsson</t>
  </si>
  <si>
    <t>2025-07-08</t>
  </si>
  <si>
    <t>Justin</t>
  </si>
  <si>
    <t>James Justin</t>
  </si>
  <si>
    <t>Bornauw</t>
  </si>
  <si>
    <t>Sebastiaan Bornauw</t>
  </si>
  <si>
    <t>Muharemović</t>
  </si>
  <si>
    <t>Tarik Muharemović</t>
  </si>
  <si>
    <t>Stach</t>
  </si>
  <si>
    <t>Anton Stach</t>
  </si>
  <si>
    <t>2025-07-22</t>
  </si>
  <si>
    <t>Okafor</t>
  </si>
  <si>
    <t>Noah Okafor</t>
  </si>
  <si>
    <t>Aaronson</t>
  </si>
  <si>
    <t>Brenden Aaronson</t>
  </si>
  <si>
    <t>Ampadu</t>
  </si>
  <si>
    <t>Ethan Ampadu</t>
  </si>
  <si>
    <t>2023-07-19</t>
  </si>
  <si>
    <t>Longstaff</t>
  </si>
  <si>
    <t>Sean Longstaff</t>
  </si>
  <si>
    <t>Gelhardt</t>
  </si>
  <si>
    <t>Joe Gelhardt</t>
  </si>
  <si>
    <t>2021-02-07</t>
  </si>
  <si>
    <t>Gnonto</t>
  </si>
  <si>
    <t>Wilfried Gnonto</t>
  </si>
  <si>
    <t>Harrison</t>
  </si>
  <si>
    <t>Jack Harrison</t>
  </si>
  <si>
    <t>Has joined New England Revolution permanently</t>
  </si>
  <si>
    <t>2021-07-02</t>
  </si>
  <si>
    <t>Daniel James</t>
  </si>
  <si>
    <t>Gruev</t>
  </si>
  <si>
    <t>Ilia Gruev</t>
  </si>
  <si>
    <t>Tanaka</t>
  </si>
  <si>
    <t>Tanaka Ao</t>
  </si>
  <si>
    <t>Calvert-Lewin</t>
  </si>
  <si>
    <t>Dominic Calvert-Lewin</t>
  </si>
  <si>
    <t>Nmecha</t>
  </si>
  <si>
    <t>Lukas Nmecha</t>
  </si>
  <si>
    <t>Piroe</t>
  </si>
  <si>
    <t>Joël Piroe</t>
  </si>
  <si>
    <t>2023-08-24</t>
  </si>
  <si>
    <t>Mateo Joseph</t>
  </si>
  <si>
    <t>Mateo Joseph Fernández-Regatillo</t>
  </si>
  <si>
    <t>2022-11-04</t>
  </si>
  <si>
    <t>A.Becker</t>
  </si>
  <si>
    <t>Alisson Becker</t>
  </si>
  <si>
    <t>Liverpool</t>
  </si>
  <si>
    <t>2018-07-19</t>
  </si>
  <si>
    <t>Mamardashvili</t>
  </si>
  <si>
    <t>Giorgi Mamardashvili</t>
  </si>
  <si>
    <t>Woodman</t>
  </si>
  <si>
    <t>Freddie Woodman</t>
  </si>
  <si>
    <t>Pecsi</t>
  </si>
  <si>
    <t>Armin Pecsi</t>
  </si>
  <si>
    <t>Jaros</t>
  </si>
  <si>
    <t>Vitezslav Jaros</t>
  </si>
  <si>
    <t>Davies</t>
  </si>
  <si>
    <t>Harvey Davies</t>
  </si>
  <si>
    <t>2021-03-09</t>
  </si>
  <si>
    <t>Virgil</t>
  </si>
  <si>
    <t>Virgil van Dijk</t>
  </si>
  <si>
    <t>2018-01-01</t>
  </si>
  <si>
    <t>Frimpong</t>
  </si>
  <si>
    <t>Jeremie Frimpong</t>
  </si>
  <si>
    <t>Kerkez</t>
  </si>
  <si>
    <t>Milos Kerkez</t>
  </si>
  <si>
    <t>2025-06-26</t>
  </si>
  <si>
    <t>Joe Gomez</t>
  </si>
  <si>
    <t>2015-06-20</t>
  </si>
  <si>
    <t>Bradley</t>
  </si>
  <si>
    <t>Conor Bradley</t>
  </si>
  <si>
    <t>2023-09-25</t>
  </si>
  <si>
    <t>Lucky</t>
  </si>
  <si>
    <t>Wellity Lucky</t>
  </si>
  <si>
    <t>Jacquet</t>
  </si>
  <si>
    <t>Jeremy Jacquet</t>
  </si>
  <si>
    <t>Leoni</t>
  </si>
  <si>
    <t>Giovanni Leoni</t>
  </si>
  <si>
    <t>Tsimikas</t>
  </si>
  <si>
    <t>Kostas Tsimikas</t>
  </si>
  <si>
    <t>2020-08-10</t>
  </si>
  <si>
    <t>Ramsay</t>
  </si>
  <si>
    <t>Calvin Ramsay</t>
  </si>
  <si>
    <t>2022-06-19</t>
  </si>
  <si>
    <t>Wirtz</t>
  </si>
  <si>
    <t>Florian Wirtz</t>
  </si>
  <si>
    <t>2025-06-20</t>
  </si>
  <si>
    <t>Gakpo</t>
  </si>
  <si>
    <t>Cody Gakpo</t>
  </si>
  <si>
    <t>Szoboszlai</t>
  </si>
  <si>
    <t>Dominik Szoboszlai</t>
  </si>
  <si>
    <t>2023-07-02</t>
  </si>
  <si>
    <t>Ngumoha</t>
  </si>
  <si>
    <t>Rio Ngumoha</t>
  </si>
  <si>
    <t>2024-12-17</t>
  </si>
  <si>
    <t>Chiesa</t>
  </si>
  <si>
    <t>Federico Chiesa</t>
  </si>
  <si>
    <t>2024-08-29</t>
  </si>
  <si>
    <t>Gravenberch</t>
  </si>
  <si>
    <t>Ryan Gravenberch</t>
  </si>
  <si>
    <t>Mac Allister</t>
  </si>
  <si>
    <t>Alexis Mac Allister</t>
  </si>
  <si>
    <t>2023-06-14</t>
  </si>
  <si>
    <t>C.Jones</t>
  </si>
  <si>
    <t>Curtis Jones</t>
  </si>
  <si>
    <t>2018-04-06</t>
  </si>
  <si>
    <t>Endo</t>
  </si>
  <si>
    <t>Endo Wataru</t>
  </si>
  <si>
    <t>Nyoni</t>
  </si>
  <si>
    <t>Trey Nyoni</t>
  </si>
  <si>
    <t>2023-11-11</t>
  </si>
  <si>
    <t>Bajcetic</t>
  </si>
  <si>
    <t>Stefan Bajčetić Maquieira</t>
  </si>
  <si>
    <t>Hamstring injury - Expected back 23 Aug</t>
  </si>
  <si>
    <t>Munoz</t>
  </si>
  <si>
    <t>Victor Munoz</t>
  </si>
  <si>
    <t>2026-06-18</t>
  </si>
  <si>
    <t>McConnell</t>
  </si>
  <si>
    <t>James McConnell</t>
  </si>
  <si>
    <t>Isak</t>
  </si>
  <si>
    <t>Alexander Isak</t>
  </si>
  <si>
    <t>Ekitiké</t>
  </si>
  <si>
    <t>Hugo Ekitiké</t>
  </si>
  <si>
    <t>Achilles injury - Unknown return date</t>
  </si>
  <si>
    <t>2025-07-23</t>
  </si>
  <si>
    <t>Koumas</t>
  </si>
  <si>
    <t>Lewis Koumas</t>
  </si>
  <si>
    <t>Danns</t>
  </si>
  <si>
    <t>Jayden Danns</t>
  </si>
  <si>
    <t>Unspecified injury - Unknown return date</t>
  </si>
  <si>
    <t>Elliott</t>
  </si>
  <si>
    <t>Harvey Elliott</t>
  </si>
  <si>
    <t>2019-07-28</t>
  </si>
  <si>
    <t>Grealish</t>
  </si>
  <si>
    <t>Jack Grealish</t>
  </si>
  <si>
    <t>Man City</t>
  </si>
  <si>
    <t>Foot injury - 75% chance of playing</t>
  </si>
  <si>
    <t>2021-08-05</t>
  </si>
  <si>
    <t>Donnarumma</t>
  </si>
  <si>
    <t>Gianluigi Donnarumma</t>
  </si>
  <si>
    <t>Trafford</t>
  </si>
  <si>
    <t>James Trafford</t>
  </si>
  <si>
    <t>Bettinelli</t>
  </si>
  <si>
    <t>Marcus Bettinelli</t>
  </si>
  <si>
    <t>2025-06-10</t>
  </si>
  <si>
    <t>O'Reilly</t>
  </si>
  <si>
    <t>Nico O'Reilly</t>
  </si>
  <si>
    <t>2022-12-16</t>
  </si>
  <si>
    <t>Guéhi</t>
  </si>
  <si>
    <t>Marc Guéhi</t>
  </si>
  <si>
    <t>2026-01-19</t>
  </si>
  <si>
    <t>Matheus N.</t>
  </si>
  <si>
    <t>Matheus Nunes</t>
  </si>
  <si>
    <t>Rúben</t>
  </si>
  <si>
    <t>Rúben Dias</t>
  </si>
  <si>
    <t>2020-09-29</t>
  </si>
  <si>
    <t>Gvardiol</t>
  </si>
  <si>
    <t>Joško Gvardiol</t>
  </si>
  <si>
    <t>Aït-Nouri</t>
  </si>
  <si>
    <t>Rayan Aït-Nouri</t>
  </si>
  <si>
    <t>Khusanov</t>
  </si>
  <si>
    <t>Abdukodir Khusanov</t>
  </si>
  <si>
    <t>2025-01-20</t>
  </si>
  <si>
    <t>Alleyne</t>
  </si>
  <si>
    <t>Max Alleyne</t>
  </si>
  <si>
    <t>Lewis</t>
  </si>
  <si>
    <t>Rico Lewis</t>
  </si>
  <si>
    <t>2022-07-16</t>
  </si>
  <si>
    <t>Vitor Reis</t>
  </si>
  <si>
    <t>2025-01-21</t>
  </si>
  <si>
    <t>Semenyo</t>
  </si>
  <si>
    <t>Antoine Semenyo</t>
  </si>
  <si>
    <t>2026-01-09</t>
  </si>
  <si>
    <t>Foden</t>
  </si>
  <si>
    <t>Phil Foden</t>
  </si>
  <si>
    <t>2016-12-05</t>
  </si>
  <si>
    <t>Cherki</t>
  </si>
  <si>
    <t>Rayan Cherki</t>
  </si>
  <si>
    <t>Doku</t>
  </si>
  <si>
    <t>Jérémy Doku</t>
  </si>
  <si>
    <t>Marmoush</t>
  </si>
  <si>
    <t>Omar Marmoush</t>
  </si>
  <si>
    <t>Rodrigo</t>
  </si>
  <si>
    <t>Rodri</t>
  </si>
  <si>
    <t>2019-07-04</t>
  </si>
  <si>
    <t>Savinho</t>
  </si>
  <si>
    <t>2024-07-18</t>
  </si>
  <si>
    <t>Reijnders</t>
  </si>
  <si>
    <t>Tijjani Reijnders</t>
  </si>
  <si>
    <t>N.Gonzalez</t>
  </si>
  <si>
    <t>Nico González Iglesias</t>
  </si>
  <si>
    <t>Kovačić</t>
  </si>
  <si>
    <t>Mateo Kovačić</t>
  </si>
  <si>
    <t>2023-06-27</t>
  </si>
  <si>
    <t>Echeverri</t>
  </si>
  <si>
    <t>Claudio Echeverri</t>
  </si>
  <si>
    <t>2024-01-25</t>
  </si>
  <si>
    <t>Kalvin Phillips</t>
  </si>
  <si>
    <t>Mukasa</t>
  </si>
  <si>
    <t>Divine Mukasa</t>
  </si>
  <si>
    <t>Monga</t>
  </si>
  <si>
    <t>Jeremy Monga</t>
  </si>
  <si>
    <t>Haaland</t>
  </si>
  <si>
    <t>Erling Haaland</t>
  </si>
  <si>
    <t>Anderson</t>
  </si>
  <si>
    <t>Elliot Anderson</t>
  </si>
  <si>
    <t>Tielemans</t>
  </si>
  <si>
    <t>Youri Tielemans</t>
  </si>
  <si>
    <t>Man Utd</t>
  </si>
  <si>
    <t>Andrey Santos</t>
  </si>
  <si>
    <t>2026-07-13</t>
  </si>
  <si>
    <t>Darlow</t>
  </si>
  <si>
    <t>Karl Darlow</t>
  </si>
  <si>
    <t>2026-06-14</t>
  </si>
  <si>
    <t>Lammens</t>
  </si>
  <si>
    <t>Senne Lammens</t>
  </si>
  <si>
    <t>Bayindir</t>
  </si>
  <si>
    <t>Altay Bayındır</t>
  </si>
  <si>
    <t>Heaton</t>
  </si>
  <si>
    <t>Tom Heaton</t>
  </si>
  <si>
    <t>Dorgu</t>
  </si>
  <si>
    <t>Patrick Dorgu</t>
  </si>
  <si>
    <t>De Ligt</t>
  </si>
  <si>
    <t>Matthijs de Ligt</t>
  </si>
  <si>
    <t>Dalot</t>
  </si>
  <si>
    <t>Diogo Dalot</t>
  </si>
  <si>
    <t>2018-06-08</t>
  </si>
  <si>
    <t>Maguire</t>
  </si>
  <si>
    <t>Harry Maguire</t>
  </si>
  <si>
    <t>2019-08-05</t>
  </si>
  <si>
    <t>Lisandro Martínez</t>
  </si>
  <si>
    <t>Thigh injury - 75% chance of playing</t>
  </si>
  <si>
    <t>2022-07-17</t>
  </si>
  <si>
    <t>Yoro</t>
  </si>
  <si>
    <t>Leny Yoro</t>
  </si>
  <si>
    <t>Heaven</t>
  </si>
  <si>
    <t>Ayden Heaven</t>
  </si>
  <si>
    <t>2025-02-01</t>
  </si>
  <si>
    <t>Mazraoui</t>
  </si>
  <si>
    <t>Noussair Mazraoui</t>
  </si>
  <si>
    <t>Shaw</t>
  </si>
  <si>
    <t>Luke Shaw</t>
  </si>
  <si>
    <t>2014-07-01</t>
  </si>
  <si>
    <t>Amass</t>
  </si>
  <si>
    <t>Harry Amass</t>
  </si>
  <si>
    <t>2024-04-06</t>
  </si>
  <si>
    <t>Fredricson</t>
  </si>
  <si>
    <t>Tyler Fredricson</t>
  </si>
  <si>
    <t>2022-09-07</t>
  </si>
  <si>
    <t>B.Fernandes</t>
  </si>
  <si>
    <t>Bruno Fernandes</t>
  </si>
  <si>
    <t>2020-01-30</t>
  </si>
  <si>
    <t>Mbeumo</t>
  </si>
  <si>
    <t>Bryan Mbeumo</t>
  </si>
  <si>
    <t>2025-07-21</t>
  </si>
  <si>
    <t>Cunha</t>
  </si>
  <si>
    <t>Matheus Cunha</t>
  </si>
  <si>
    <t>Rashford</t>
  </si>
  <si>
    <t>Marcus Rashford</t>
  </si>
  <si>
    <t>2015-07-01</t>
  </si>
  <si>
    <t>Mount</t>
  </si>
  <si>
    <t>Mason Mount</t>
  </si>
  <si>
    <t>2023-07-05</t>
  </si>
  <si>
    <t>Amad</t>
  </si>
  <si>
    <t>Amad Diallo</t>
  </si>
  <si>
    <t>Mainoo</t>
  </si>
  <si>
    <t>Kobbie Mainoo</t>
  </si>
  <si>
    <t>2022-10-15</t>
  </si>
  <si>
    <t>Ugarte</t>
  </si>
  <si>
    <t>Manuel Ugarte Ribeiro</t>
  </si>
  <si>
    <t>J.Fletcher</t>
  </si>
  <si>
    <t>Jack Fletcher</t>
  </si>
  <si>
    <t>Lacey</t>
  </si>
  <si>
    <t>Shea Lacey</t>
  </si>
  <si>
    <t>2025-05-26</t>
  </si>
  <si>
    <t>Collyer</t>
  </si>
  <si>
    <t>Toby Collyer</t>
  </si>
  <si>
    <t>Bendito Mantato</t>
  </si>
  <si>
    <t>Fletcher</t>
  </si>
  <si>
    <t>Tyler Fletcher</t>
  </si>
  <si>
    <t>Šeško</t>
  </si>
  <si>
    <t>Benjamin Sesko</t>
  </si>
  <si>
    <t>Shin injury - 75% chance of playing</t>
  </si>
  <si>
    <t>2025-08-09</t>
  </si>
  <si>
    <t>Zirkzee</t>
  </si>
  <si>
    <t>Joshua Zirkzee</t>
  </si>
  <si>
    <t>2024-07-17</t>
  </si>
  <si>
    <t>Obi</t>
  </si>
  <si>
    <t>Chido Obi</t>
  </si>
  <si>
    <t>2025-02-15</t>
  </si>
  <si>
    <t>Pope</t>
  </si>
  <si>
    <t>Nick Pope</t>
  </si>
  <si>
    <t>Newcastle</t>
  </si>
  <si>
    <t>2022-06-23</t>
  </si>
  <si>
    <t>Gillespie</t>
  </si>
  <si>
    <t>Mark Gillespie</t>
  </si>
  <si>
    <t>2020-07-27</t>
  </si>
  <si>
    <t>Jaouen</t>
  </si>
  <si>
    <t>Ewen Jaouen</t>
  </si>
  <si>
    <t>Thiaw</t>
  </si>
  <si>
    <t>Malick Thiaw</t>
  </si>
  <si>
    <t>2025-08-12</t>
  </si>
  <si>
    <t>Schär</t>
  </si>
  <si>
    <t>Fabian Schär</t>
  </si>
  <si>
    <t>2018-07-26</t>
  </si>
  <si>
    <t>Botman</t>
  </si>
  <si>
    <t>Sven Botman</t>
  </si>
  <si>
    <t>2022-06-28</t>
  </si>
  <si>
    <t>Burn</t>
  </si>
  <si>
    <t>Dan Burn</t>
  </si>
  <si>
    <t>Hall</t>
  </si>
  <si>
    <t>Lewis Hall</t>
  </si>
  <si>
    <t>Livramento</t>
  </si>
  <si>
    <t>Tino Livramento</t>
  </si>
  <si>
    <t>Calf injury - 75% chance of playing</t>
  </si>
  <si>
    <t>2023-08-08</t>
  </si>
  <si>
    <t>A.Murphy</t>
  </si>
  <si>
    <t>Alex Murphy</t>
  </si>
  <si>
    <t>Bruno G.</t>
  </si>
  <si>
    <t>Bruno Guimarães</t>
  </si>
  <si>
    <t>2022-01-30</t>
  </si>
  <si>
    <t>Barnes</t>
  </si>
  <si>
    <t>Harvey Barnes</t>
  </si>
  <si>
    <t>2023-07-23</t>
  </si>
  <si>
    <t>Elanga</t>
  </si>
  <si>
    <t>Anthony Elanga</t>
  </si>
  <si>
    <t>J.Ramsey</t>
  </si>
  <si>
    <t>Jacob Ramsey</t>
  </si>
  <si>
    <t>2025-08-17</t>
  </si>
  <si>
    <t>J.Murphy</t>
  </si>
  <si>
    <t>Jacob Murphy</t>
  </si>
  <si>
    <t>2017-07-19</t>
  </si>
  <si>
    <t>Joelinton</t>
  </si>
  <si>
    <t>2019-07-24</t>
  </si>
  <si>
    <t>L.Miley</t>
  </si>
  <si>
    <t>Lewis Miley</t>
  </si>
  <si>
    <t>Leg injury - Expected back 30 Aug</t>
  </si>
  <si>
    <t>2023-02-01</t>
  </si>
  <si>
    <t>Willock</t>
  </si>
  <si>
    <t>Joe Willock</t>
  </si>
  <si>
    <t>2021-08-13</t>
  </si>
  <si>
    <t>Touré</t>
  </si>
  <si>
    <t>Bazoumana Touré</t>
  </si>
  <si>
    <t>2026-07-05</t>
  </si>
  <si>
    <t>Steur</t>
  </si>
  <si>
    <t>Sean Steur</t>
  </si>
  <si>
    <t>Woltemade</t>
  </si>
  <si>
    <t>Nick Woltemade</t>
  </si>
  <si>
    <t>2025-08-30</t>
  </si>
  <si>
    <t>Wissa</t>
  </si>
  <si>
    <t>Yoane Wissa</t>
  </si>
  <si>
    <t>Osula</t>
  </si>
  <si>
    <t>William Osula</t>
  </si>
  <si>
    <t>Neave</t>
  </si>
  <si>
    <t>Sean Neave</t>
  </si>
  <si>
    <t>2025-02-07</t>
  </si>
  <si>
    <t>Bamba</t>
  </si>
  <si>
    <t>Aladji Bamba</t>
  </si>
  <si>
    <t>Horníček</t>
  </si>
  <si>
    <t>Lukás Hornícek</t>
  </si>
  <si>
    <t>2026-08-03</t>
  </si>
  <si>
    <t>Sels</t>
  </si>
  <si>
    <t>Matz Sels</t>
  </si>
  <si>
    <t>Nott'm Forest</t>
  </si>
  <si>
    <t>John</t>
  </si>
  <si>
    <t>John Victor</t>
  </si>
  <si>
    <t>2025-08-31</t>
  </si>
  <si>
    <t>N.Williams</t>
  </si>
  <si>
    <t>Neco Williams</t>
  </si>
  <si>
    <t>Morato</t>
  </si>
  <si>
    <t>Milenković</t>
  </si>
  <si>
    <t>Nikola Milenković</t>
  </si>
  <si>
    <t>Murillo</t>
  </si>
  <si>
    <t>Muscle injury - 75% chance of playing</t>
  </si>
  <si>
    <t>Aina</t>
  </si>
  <si>
    <t>Ola Aina</t>
  </si>
  <si>
    <t>Jair Cunha</t>
  </si>
  <si>
    <t>Savona</t>
  </si>
  <si>
    <t>Nicolò Savona</t>
  </si>
  <si>
    <t>O.Richards</t>
  </si>
  <si>
    <t>Omar Richards</t>
  </si>
  <si>
    <t>2022-07-10</t>
  </si>
  <si>
    <t>Abbott</t>
  </si>
  <si>
    <t>Zach Abbott</t>
  </si>
  <si>
    <t>2022-08-22</t>
  </si>
  <si>
    <t>Netz</t>
  </si>
  <si>
    <t>Luca Netz</t>
  </si>
  <si>
    <t>Bindon</t>
  </si>
  <si>
    <t>Tyler Bindon</t>
  </si>
  <si>
    <t>Gibbs-White</t>
  </si>
  <si>
    <t>Morgan Gibbs-White</t>
  </si>
  <si>
    <t>2022-08-19</t>
  </si>
  <si>
    <t>Hudson-Odoi</t>
  </si>
  <si>
    <t>Callum Hudson-Odoi</t>
  </si>
  <si>
    <t>Ndoye</t>
  </si>
  <si>
    <t>Dan Ndoye</t>
  </si>
  <si>
    <t>2025-07-31</t>
  </si>
  <si>
    <t>Hutchinson</t>
  </si>
  <si>
    <t>Omari Hutchinson</t>
  </si>
  <si>
    <t>Bakwa</t>
  </si>
  <si>
    <t>Dilane Bakwa</t>
  </si>
  <si>
    <t>McAtee</t>
  </si>
  <si>
    <t>James McAtee</t>
  </si>
  <si>
    <t>Dominguez</t>
  </si>
  <si>
    <t>Nicolás Domínguez</t>
  </si>
  <si>
    <t>Ibrahim Sangaré</t>
  </si>
  <si>
    <t>Yates</t>
  </si>
  <si>
    <t>Ryan Yates</t>
  </si>
  <si>
    <t>2018-08-01</t>
  </si>
  <si>
    <t>Wood</t>
  </si>
  <si>
    <t>Chris Wood</t>
  </si>
  <si>
    <t>Igor Jesus</t>
  </si>
  <si>
    <t>Awoniyi</t>
  </si>
  <si>
    <t>Taiwo Awoniyi</t>
  </si>
  <si>
    <t>2022-06-25</t>
  </si>
  <si>
    <t>Kalimuendo</t>
  </si>
  <si>
    <t>Arnaud Kalimuendo</t>
  </si>
  <si>
    <t>Schlager</t>
  </si>
  <si>
    <t>Xaver Schlager</t>
  </si>
  <si>
    <t>Van Hecke</t>
  </si>
  <si>
    <t>Jan Paul van Hecke</t>
  </si>
  <si>
    <t>Spurs</t>
  </si>
  <si>
    <t>Tonali</t>
  </si>
  <si>
    <t>Sandro Tonali</t>
  </si>
  <si>
    <t>Vicario</t>
  </si>
  <si>
    <t>Guglielmo Vicario</t>
  </si>
  <si>
    <t>Austin</t>
  </si>
  <si>
    <t>Brandon Austin</t>
  </si>
  <si>
    <t>2017-07-22</t>
  </si>
  <si>
    <t>Kinsky</t>
  </si>
  <si>
    <t>Antonín Kinský</t>
  </si>
  <si>
    <t>2025-01-05</t>
  </si>
  <si>
    <t>Dubravka</t>
  </si>
  <si>
    <t>Martin Dubravka</t>
  </si>
  <si>
    <t>Senesi</t>
  </si>
  <si>
    <t>Marcos Senesi Barón</t>
  </si>
  <si>
    <t>Pedro Porro</t>
  </si>
  <si>
    <t>Pedro Porro Sauceda</t>
  </si>
  <si>
    <t>Romero</t>
  </si>
  <si>
    <t>Cristian Romero</t>
  </si>
  <si>
    <t>2022-08-30</t>
  </si>
  <si>
    <t>Danso</t>
  </si>
  <si>
    <t>Kevin Danso</t>
  </si>
  <si>
    <t>Robertson</t>
  </si>
  <si>
    <t>Andrew Robertson</t>
  </si>
  <si>
    <t>Van de Ven</t>
  </si>
  <si>
    <t>Micky van de Ven</t>
  </si>
  <si>
    <t>Spence</t>
  </si>
  <si>
    <t>Djed Spence</t>
  </si>
  <si>
    <t>2022-07-19</t>
  </si>
  <si>
    <t>Udogie</t>
  </si>
  <si>
    <t>Destiny Udogie</t>
  </si>
  <si>
    <t>2022-08-16</t>
  </si>
  <si>
    <t>Ashley Phillips</t>
  </si>
  <si>
    <t>Ben Davies</t>
  </si>
  <si>
    <t>2014-07-23</t>
  </si>
  <si>
    <t>Byfield</t>
  </si>
  <si>
    <t>Jun'ai Byfield</t>
  </si>
  <si>
    <t>Rowswell</t>
  </si>
  <si>
    <t>James Rowswell</t>
  </si>
  <si>
    <t>Souza</t>
  </si>
  <si>
    <t>2026-01-22</t>
  </si>
  <si>
    <t>Kudus</t>
  </si>
  <si>
    <t>Mohammed Kudus</t>
  </si>
  <si>
    <t>Xavi</t>
  </si>
  <si>
    <t>Xavi Simons</t>
  </si>
  <si>
    <t>Tel</t>
  </si>
  <si>
    <t>Mathys Tel</t>
  </si>
  <si>
    <t>Maddison</t>
  </si>
  <si>
    <t>James Maddison</t>
  </si>
  <si>
    <t>Bentancur</t>
  </si>
  <si>
    <t>Rodrigo Bentancur</t>
  </si>
  <si>
    <t>Odobert</t>
  </si>
  <si>
    <t>Wilson Odobert</t>
  </si>
  <si>
    <t>P.M.Sarr</t>
  </si>
  <si>
    <t>Pape Matar Sarr</t>
  </si>
  <si>
    <t>2021-08-27</t>
  </si>
  <si>
    <t>Gallagher</t>
  </si>
  <si>
    <t>Conor Gallagher</t>
  </si>
  <si>
    <t>2026-01-14</t>
  </si>
  <si>
    <t>Bergvall</t>
  </si>
  <si>
    <t>Lucas Bergvall</t>
  </si>
  <si>
    <t>Kulusevski</t>
  </si>
  <si>
    <t>Dejan Kulusevski</t>
  </si>
  <si>
    <t>Gray</t>
  </si>
  <si>
    <t>Archie Gray</t>
  </si>
  <si>
    <t>Moore</t>
  </si>
  <si>
    <t>Mikey Moore</t>
  </si>
  <si>
    <t>2024-05-01</t>
  </si>
  <si>
    <t>Olusesi</t>
  </si>
  <si>
    <t>Callum Olusesi</t>
  </si>
  <si>
    <t>Fernandes</t>
  </si>
  <si>
    <t>Mateus Fernandes</t>
  </si>
  <si>
    <t>Solanke</t>
  </si>
  <si>
    <t>Dominic Solanke-Mitchell</t>
  </si>
  <si>
    <t>2024-08-10</t>
  </si>
  <si>
    <t>Richarlison</t>
  </si>
  <si>
    <t>Scarlett</t>
  </si>
  <si>
    <t>Dane Scarlett</t>
  </si>
  <si>
    <t>2020-08-21</t>
  </si>
  <si>
    <t>Roefs</t>
  </si>
  <si>
    <t>Robin Roefs</t>
  </si>
  <si>
    <t>Sunderland</t>
  </si>
  <si>
    <t>Anthony Patterson</t>
  </si>
  <si>
    <t>2018-10-09</t>
  </si>
  <si>
    <t>Ellborg</t>
  </si>
  <si>
    <t>Melker Ellborg</t>
  </si>
  <si>
    <t>2026-02-01</t>
  </si>
  <si>
    <t>Ballard</t>
  </si>
  <si>
    <t>Daniel Ballard</t>
  </si>
  <si>
    <t>Mukiele</t>
  </si>
  <si>
    <t>Nordi Mukiele</t>
  </si>
  <si>
    <t>Hume</t>
  </si>
  <si>
    <t>Trai Hume</t>
  </si>
  <si>
    <t>Alderete</t>
  </si>
  <si>
    <t>Omar Alderete</t>
  </si>
  <si>
    <t>Reinildo</t>
  </si>
  <si>
    <t>Reinildo Mandava</t>
  </si>
  <si>
    <t>Seelt</t>
  </si>
  <si>
    <t>Jenson Seelt</t>
  </si>
  <si>
    <t>Hjelde</t>
  </si>
  <si>
    <t>Leo Fuhr Hjelde</t>
  </si>
  <si>
    <t>O'Nien</t>
  </si>
  <si>
    <t>Luke O'Nien</t>
  </si>
  <si>
    <t>2018-07-30</t>
  </si>
  <si>
    <t>Masuaku</t>
  </si>
  <si>
    <t>Arthur Masuaku</t>
  </si>
  <si>
    <t>2025-08-10</t>
  </si>
  <si>
    <t>Meunier</t>
  </si>
  <si>
    <t>Thomas Meunier</t>
  </si>
  <si>
    <t>2026-07-15</t>
  </si>
  <si>
    <t>E.Le Fée</t>
  </si>
  <si>
    <t>Enzo Le Fée</t>
  </si>
  <si>
    <t>Diarra</t>
  </si>
  <si>
    <t>Habib Diarra</t>
  </si>
  <si>
    <t>Xhaka</t>
  </si>
  <si>
    <t>Granit Xhaka</t>
  </si>
  <si>
    <t>2025-07-30</t>
  </si>
  <si>
    <t>Sadiki</t>
  </si>
  <si>
    <t>Noah Sadiki</t>
  </si>
  <si>
    <t>Adingra</t>
  </si>
  <si>
    <t>Simon Adingra</t>
  </si>
  <si>
    <t>Mundle</t>
  </si>
  <si>
    <t>Romaine Mundle</t>
  </si>
  <si>
    <t>Rigg</t>
  </si>
  <si>
    <t>Chris Rigg</t>
  </si>
  <si>
    <t>2022-12-31</t>
  </si>
  <si>
    <t>Talbi</t>
  </si>
  <si>
    <t>Chemsdine Talbi</t>
  </si>
  <si>
    <t>Jocelin.T</t>
  </si>
  <si>
    <t>Djiamgone Jocelin Ta Bi</t>
  </si>
  <si>
    <t>2026-01-16</t>
  </si>
  <si>
    <t>Angulo</t>
  </si>
  <si>
    <t>Nilson Angulo</t>
  </si>
  <si>
    <t>Brobbey</t>
  </si>
  <si>
    <t>Brian Brobbey</t>
  </si>
  <si>
    <t>Isidor</t>
  </si>
  <si>
    <t>Wilson Isidor</t>
  </si>
  <si>
    <t>Team ID</t>
  </si>
  <si>
    <t>Short</t>
  </si>
  <si>
    <t>FPL Strength Home</t>
  </si>
  <si>
    <t>FPL Strength Away</t>
  </si>
  <si>
    <t>Promoted 26/27?</t>
  </si>
  <si>
    <t>Team Attack Adj</t>
  </si>
  <si>
    <t>Team Defence Adj</t>
  </si>
  <si>
    <t>ARS</t>
  </si>
  <si>
    <t>https://raw.githubusercontent.com/vaastav/Fantasy-Premier-League/master/data/2026-27/teams.csv</t>
  </si>
  <si>
    <t>AVL</t>
  </si>
  <si>
    <t>BOU</t>
  </si>
  <si>
    <t>BRE</t>
  </si>
  <si>
    <t>BHA</t>
  </si>
  <si>
    <t>CHE</t>
  </si>
  <si>
    <t>COV</t>
  </si>
  <si>
    <t>CRY</t>
  </si>
  <si>
    <t>EVE</t>
  </si>
  <si>
    <t>FUL</t>
  </si>
  <si>
    <t>HUL</t>
  </si>
  <si>
    <t>IPS</t>
  </si>
  <si>
    <t>LEE</t>
  </si>
  <si>
    <t>LIV</t>
  </si>
  <si>
    <t>MCI</t>
  </si>
  <si>
    <t>MUN</t>
  </si>
  <si>
    <t>NEW</t>
  </si>
  <si>
    <t>NFO</t>
  </si>
  <si>
    <t>TOT</t>
  </si>
  <si>
    <t>SUN</t>
  </si>
  <si>
    <t>POSITIONAL PRIORS</t>
  </si>
  <si>
    <t>MODEL ASSUMPTIONS</t>
  </si>
  <si>
    <t>MODEL NOTES</t>
  </si>
  <si>
    <t>xG90 prior</t>
  </si>
  <si>
    <t>xA90 prior</t>
  </si>
  <si>
    <t>Method</t>
  </si>
  <si>
    <t>Assumption</t>
  </si>
  <si>
    <t>Value</t>
  </si>
  <si>
    <t>Raw current-season FPL universe: 567 players</t>
  </si>
  <si>
    <t>Minute-weighted 25/26 history</t>
  </si>
  <si>
    <t>Shrinkage minutes (k)</t>
  </si>
  <si>
    <t>Historical 25/26 fields are the preseason FPL snapshot values.</t>
  </si>
  <si>
    <t>Projection horizon (GWs)</t>
  </si>
  <si>
    <t>Players with no PL history shrink fully toward the positional prior.</t>
  </si>
  <si>
    <t>Default league adj</t>
  </si>
  <si>
    <t>Sample Weight = minutes / (minutes + k).</t>
  </si>
  <si>
    <t>Default role adj</t>
  </si>
  <si>
    <t>League/role adjustments are explicit judgement inputs, default 1.00.</t>
  </si>
  <si>
    <t>Snapshot date</t>
  </si>
  <si>
    <t>2026-08-18</t>
  </si>
  <si>
    <t>Team adjustment links to the Teams sheet, default 1.00.</t>
  </si>
  <si>
    <t>Yellow = assumption/input; blue text = hardcoded data.</t>
  </si>
  <si>
    <t>Green text = links to another worksheet; black = formulas.</t>
  </si>
  <si>
    <t>Fixture market xG fields are intentionally blank for later bookmaker work.</t>
  </si>
  <si>
    <t>GW</t>
  </si>
  <si>
    <t>Fixture ID</t>
  </si>
  <si>
    <t>Kickoff UTC</t>
  </si>
  <si>
    <t>Opponent</t>
  </si>
  <si>
    <t>H/A</t>
  </si>
  <si>
    <t>Official FDR</t>
  </si>
  <si>
    <t>Opponent ID</t>
  </si>
  <si>
    <t>Market Team xG</t>
  </si>
  <si>
    <t>Market Opp xG</t>
  </si>
  <si>
    <t>CS Prob</t>
  </si>
  <si>
    <t>Attack Fixture Adj</t>
  </si>
  <si>
    <t>Def Fixture Adj</t>
  </si>
  <si>
    <t>A</t>
  </si>
  <si>
    <t>https://raw.githubusercontent.com/vaastav/Fantasy-Premier-League/master/data/2026-27/fixtures.csv</t>
  </si>
  <si>
    <t>H</t>
  </si>
  <si>
    <t>Expected Mins</t>
  </si>
  <si>
    <t>Fixture Att Adj</t>
  </si>
  <si>
    <t>Fixture CS Prob</t>
  </si>
  <si>
    <t>Fixture xG</t>
  </si>
  <si>
    <t>Fixture xA</t>
  </si>
  <si>
    <t>Appearance Pts</t>
  </si>
  <si>
    <t>Goal Pts</t>
  </si>
  <si>
    <t>Assist Pts</t>
  </si>
  <si>
    <t>CS Pts</t>
  </si>
  <si>
    <t>DC Pts</t>
  </si>
  <si>
    <t>Bonus Pts</t>
  </si>
  <si>
    <t>Total xPts</t>
  </si>
  <si>
    <t>Intentionally left as the next modelling layer: populate once minutes + point-conversion logic are agreed.</t>
  </si>
  <si>
    <t>Starter?</t>
  </si>
  <si>
    <t>Captain?</t>
  </si>
  <si>
    <t>6GW xPts</t>
  </si>
  <si>
    <t>Positions</t>
  </si>
  <si>
    <t>Boolean</t>
  </si>
  <si>
    <t>Status Code</t>
  </si>
  <si>
    <t>FALSE</t>
  </si>
  <si>
    <t>a</t>
  </si>
  <si>
    <t>TRUE</t>
  </si>
  <si>
    <t>More advanced</t>
  </si>
  <si>
    <t>d</t>
  </si>
  <si>
    <t>Deeper</t>
  </si>
  <si>
    <t>i</t>
  </si>
  <si>
    <t>Rotation risk</t>
  </si>
  <si>
    <t>s</t>
  </si>
  <si>
    <t>Unknown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</si>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</sst>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[Red]\(0.0\);\-"/>
    <numFmt numFmtId="165" formatCode="#,##0;[Red]\(#,##0\);\-"/>
    <numFmt numFmtId="166" formatCode="0.00;[Red]\(0.00\);\-"/>
    <numFmt numFmtId="167" formatCode="0.0"/>
    <numFmt numFmtId="168" formatCode="0.0%"/>
    <numFmt numFmtId="169" formatCode="0&quot;%&quot;"/>
  </numFmts>
  <fonts count="8">
    <font>
      <sz val="11"/>
      <name val="Carlito"/>
    </font>
    <font>
      <sz val="11"/>
      <color rgb="FF0000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name val="Carlito"/>
    </font>
    <font>
      <sz val="11"/>
      <color rgb="FF000000"/>
      <name val="Carlito"/>
    </font>
    <font>
      <sz val="11"/>
      <color rgb="FF008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6" fontId="6" fillId="0" borderId="0" xfId="0" applyNumberFormat="1" applyFont="1"/>
    <xf numFmtId="9" fontId="1" fillId="2" borderId="0" xfId="0" applyNumberFormat="1" applyFont="1" applyFill="1"/>
    <xf numFmtId="167" fontId="1" fillId="2" borderId="0" xfId="0" applyNumberFormat="1" applyFont="1" applyFill="1"/>
    <xf numFmtId="168" fontId="6" fillId="0" borderId="0" xfId="0" applyNumberFormat="1" applyFont="1"/>
    <xf numFmtId="166" fontId="7" fillId="0" borderId="0" xfId="0" applyNumberFormat="1" applyFont="1"/>
    <xf numFmtId="166" fontId="1" fillId="2" borderId="0" xfId="0" applyNumberFormat="1" applyFont="1" applyFill="1"/>
    <xf numFmtId="169" fontId="1" fillId="0" borderId="0" xfId="0" applyNumberFormat="1" applyFont="1"/>
    <xf numFmtId="166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wrapText="1"/>
    </xf>
    <xf numFmtId="168" fontId="1" fillId="0" borderId="0" xfId="0" applyNumberFormat="1" applyFont="1" applyAlignment="1">
      <alignment wrapText="1"/>
    </xf>
    <xf numFmtId="0" fontId="1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0" xfId="0" applyFont="1" applyFill="1" applyAlignment="1">
      <alignment horizontal="left"/>
    </xf>
    <xf numFmtId="0" fontId="5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AU"/>
              <a:t>Player Count / Average Price by Position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Players</c:v>
          </c:tx>
          <c:invertIfNegative val="1"/>
          <c:cat>
            <c:strRef>
              <c:f>Dashboard!$D$4:$D$7</c:f>
              <c:strCache>
                <c:ptCount val="4"/>
                <c:pt idx="0">
                  <c:v>GK</c:v>
                </c:pt>
                <c:pt idx="1">
                  <c:v>DEF</c:v>
                </c:pt>
                <c:pt idx="2">
                  <c:v>MID</c:v>
                </c:pt>
                <c:pt idx="3">
                  <c:v>FWD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63</c:v>
                </c:pt>
                <c:pt idx="1">
                  <c:v>186</c:v>
                </c:pt>
                <c:pt idx="2">
                  <c:v>250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4-4E4D-80AA-2B62C7D9BE8C}"/>
            </c:ext>
          </c:extLst>
        </c:ser>
        <c:ser>
          <c:idx val="1"/>
          <c:order val="1"/>
          <c:tx>
            <c:v>Avg Price (£m)</c:v>
          </c:tx>
          <c:invertIfNegative val="1"/>
          <c:cat>
            <c:strRef>
              <c:f>Dashboard!$D$4:$D$7</c:f>
              <c:strCache>
                <c:ptCount val="4"/>
                <c:pt idx="0">
                  <c:v>GK</c:v>
                </c:pt>
                <c:pt idx="1">
                  <c:v>DEF</c:v>
                </c:pt>
                <c:pt idx="2">
                  <c:v>MID</c:v>
                </c:pt>
                <c:pt idx="3">
                  <c:v>FWD</c:v>
                </c:pt>
              </c:strCache>
            </c:strRef>
          </c:cat>
          <c:val>
            <c:numRef>
              <c:f>Dashboard!$F$4:$F$7</c:f>
              <c:numCache>
                <c:formatCode>0.0;[Red]\(0.0\);\-</c:formatCode>
                <c:ptCount val="4"/>
                <c:pt idx="0">
                  <c:v>4.5317460317460316</c:v>
                </c:pt>
                <c:pt idx="1">
                  <c:v>4.704301075268817</c:v>
                </c:pt>
                <c:pt idx="2">
                  <c:v>5.5460000000000003</c:v>
                </c:pt>
                <c:pt idx="3">
                  <c:v>5.8088235294117645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4-4E4D-80AA-2B62C7D9B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yersTable" displayName="PlayersTable" ref="A1:AS568" totalsRowShown="0">
  <tableColumns count="45">
    <tableColumn id="1" xr3:uid="{00000000-0010-0000-0000-000001000000}" name="Player ID"/>
    <tableColumn id="2" xr3:uid="{00000000-0010-0000-0000-000002000000}" name="Player"/>
    <tableColumn id="3" xr3:uid="{00000000-0010-0000-0000-000003000000}" name="Full Name"/>
    <tableColumn id="4" xr3:uid="{00000000-0010-0000-0000-000004000000}" name="Team"/>
    <tableColumn id="5" xr3:uid="{00000000-0010-0000-0000-000005000000}" name="Position"/>
    <tableColumn id="6" xr3:uid="{00000000-0010-0000-0000-000006000000}" name="Start Price (£m)"/>
    <tableColumn id="7" xr3:uid="{00000000-0010-0000-0000-000007000000}" name="Current Price (£m)"/>
    <tableColumn id="8" xr3:uid="{00000000-0010-0000-0000-000008000000}" name="Mins 25/26"/>
    <tableColumn id="9" xr3:uid="{00000000-0010-0000-0000-000009000000}" name="xG 25/26"/>
    <tableColumn id="10" xr3:uid="{00000000-0010-0000-0000-00000A000000}" name="xA 25/26"/>
    <tableColumn id="11" xr3:uid="{00000000-0010-0000-0000-00000B000000}" name="xG90 Hist"/>
    <tableColumn id="12" xr3:uid="{00000000-0010-0000-0000-00000C000000}" name="xA90 Hist"/>
    <tableColumn id="13" xr3:uid="{00000000-0010-0000-0000-00000D000000}" name="Goals 25/26"/>
    <tableColumn id="14" xr3:uid="{00000000-0010-0000-0000-00000E000000}" name="Assists 25/26"/>
    <tableColumn id="15" xr3:uid="{00000000-0010-0000-0000-00000F000000}" name="FPL Pts 25/26"/>
    <tableColumn id="16" xr3:uid="{00000000-0010-0000-0000-000010000000}" name="Pts/Game"/>
    <tableColumn id="17" xr3:uid="{00000000-0010-0000-0000-000011000000}" name="Starts 25/26"/>
    <tableColumn id="18" xr3:uid="{00000000-0010-0000-0000-000012000000}" name="DC90"/>
    <tableColumn id="19" xr3:uid="{00000000-0010-0000-0000-000013000000}" name="Pens Order"/>
    <tableColumn id="20" xr3:uid="{00000000-0010-0000-0000-000014000000}" name="Direct FK Order"/>
    <tableColumn id="21" xr3:uid="{00000000-0010-0000-0000-000015000000}" name="Corners/IFK Order"/>
    <tableColumn id="22" xr3:uid="{00000000-0010-0000-0000-000016000000}" name="New Club?"/>
    <tableColumn id="23" xr3:uid="{00000000-0010-0000-0000-000017000000}" name="New Manager?"/>
    <tableColumn id="24" xr3:uid="{00000000-0010-0000-0000-000018000000}" name="Role Change"/>
    <tableColumn id="25" xr3:uid="{00000000-0010-0000-0000-000019000000}" name="Start Prob"/>
    <tableColumn id="26" xr3:uid="{00000000-0010-0000-0000-00001A000000}" name="Exp Mins"/>
    <tableColumn id="27" xr3:uid="{00000000-0010-0000-0000-00001B000000}" name="Sample Weight"/>
    <tableColumn id="28" xr3:uid="{00000000-0010-0000-0000-00001C000000}" name="Pos xG90 Prior"/>
    <tableColumn id="29" xr3:uid="{00000000-0010-0000-0000-00001D000000}" name="Pos xA90 Prior"/>
    <tableColumn id="30" xr3:uid="{00000000-0010-0000-0000-00001E000000}" name="xG90 Prior"/>
    <tableColumn id="31" xr3:uid="{00000000-0010-0000-0000-00001F000000}" name="xA90 Prior"/>
    <tableColumn id="32" xr3:uid="{00000000-0010-0000-0000-000020000000}" name="League Adj"/>
    <tableColumn id="33" xr3:uid="{00000000-0010-0000-0000-000021000000}" name="Role Adj"/>
    <tableColumn id="34" xr3:uid="{00000000-0010-0000-0000-000022000000}" name="Team Adj"/>
    <tableColumn id="35" xr3:uid="{00000000-0010-0000-0000-000023000000}" name="Adj xG90"/>
    <tableColumn id="36" xr3:uid="{00000000-0010-0000-0000-000024000000}" name="Adj xA90"/>
    <tableColumn id="37" xr3:uid="{00000000-0010-0000-0000-000025000000}" name="Status"/>
    <tableColumn id="38" xr3:uid="{00000000-0010-0000-0000-000026000000}" name="Chance Play GW1"/>
    <tableColumn id="39" xr3:uid="{00000000-0010-0000-0000-000027000000}" name="News"/>
    <tableColumn id="40" xr3:uid="{00000000-0010-0000-0000-000028000000}" name="Ownership %"/>
    <tableColumn id="41" xr3:uid="{00000000-0010-0000-0000-000029000000}" name="Selectable?"/>
    <tableColumn id="42" xr3:uid="{00000000-0010-0000-0000-00002A000000}" name="Team Join Date"/>
    <tableColumn id="43" xr3:uid="{00000000-0010-0000-0000-00002B000000}" name="Test Sample?"/>
    <tableColumn id="44" xr3:uid="{00000000-0010-0000-0000-00002C000000}" name="Notes"/>
    <tableColumn id="45" xr3:uid="{00000000-0010-0000-0000-00002D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sTable" displayName="TeamsTable" ref="A1:K21" totalsRowShown="0">
  <tableColumns count="11">
    <tableColumn id="1" xr3:uid="{00000000-0010-0000-0100-000001000000}" name="Team ID"/>
    <tableColumn id="2" xr3:uid="{00000000-0010-0000-0100-000002000000}" name="Team"/>
    <tableColumn id="3" xr3:uid="{00000000-0010-0000-0100-000003000000}" name="Short"/>
    <tableColumn id="4" xr3:uid="{00000000-0010-0000-0100-000004000000}" name="FPL Strength Home"/>
    <tableColumn id="5" xr3:uid="{00000000-0010-0000-0100-000005000000}" name="FPL Strength Away"/>
    <tableColumn id="6" xr3:uid="{00000000-0010-0000-0100-000006000000}" name="Promoted 26/27?"/>
    <tableColumn id="7" xr3:uid="{00000000-0010-0000-0100-000007000000}" name="New Manager?"/>
    <tableColumn id="8" xr3:uid="{00000000-0010-0000-0100-000008000000}" name="Team Attack Adj"/>
    <tableColumn id="9" xr3:uid="{00000000-0010-0000-0100-000009000000}" name="Team Defence Adj"/>
    <tableColumn id="10" xr3:uid="{00000000-0010-0000-0100-00000A000000}" name="Notes"/>
    <tableColumn id="11" xr3:uid="{00000000-0010-0000-0100-00000B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xturesTable" displayName="FixturesTable" ref="A1:P761" totalsRowShown="0">
  <tableColumns count="16">
    <tableColumn id="1" xr3:uid="{00000000-0010-0000-0200-000001000000}" name="GW"/>
    <tableColumn id="2" xr3:uid="{00000000-0010-0000-0200-000002000000}" name="Fixture ID"/>
    <tableColumn id="3" xr3:uid="{00000000-0010-0000-0200-000003000000}" name="Kickoff UTC"/>
    <tableColumn id="4" xr3:uid="{00000000-0010-0000-0200-000004000000}" name="Team"/>
    <tableColumn id="5" xr3:uid="{00000000-0010-0000-0200-000005000000}" name="Opponent"/>
    <tableColumn id="6" xr3:uid="{00000000-0010-0000-0200-000006000000}" name="H/A"/>
    <tableColumn id="7" xr3:uid="{00000000-0010-0000-0200-000007000000}" name="Official FDR"/>
    <tableColumn id="8" xr3:uid="{00000000-0010-0000-0200-000008000000}" name="Team ID"/>
    <tableColumn id="9" xr3:uid="{00000000-0010-0000-0200-000009000000}" name="Opponent ID"/>
    <tableColumn id="10" xr3:uid="{00000000-0010-0000-0200-00000A000000}" name="Market Team xG"/>
    <tableColumn id="11" xr3:uid="{00000000-0010-0000-0200-00000B000000}" name="Market Opp xG"/>
    <tableColumn id="12" xr3:uid="{00000000-0010-0000-0200-00000C000000}" name="CS Prob"/>
    <tableColumn id="13" xr3:uid="{00000000-0010-0000-0200-00000D000000}" name="Attack Fixture Adj"/>
    <tableColumn id="14" xr3:uid="{00000000-0010-0000-0200-00000E000000}" name="Def Fixture Adj"/>
    <tableColumn id="15" xr3:uid="{00000000-0010-0000-0200-00000F000000}" name="Notes"/>
    <tableColumn id="16" xr3:uid="{00000000-0010-0000-0200-000010000000}" name="Sour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quadTable" displayName="SquadTable" ref="A1:L16" totalsRowShown="0">
  <tableColumns count="12">
    <tableColumn id="1" xr3:uid="{00000000-0010-0000-0300-000001000000}" name="Player"/>
    <tableColumn id="2" xr3:uid="{00000000-0010-0000-0300-000002000000}" name="Team"/>
    <tableColumn id="3" xr3:uid="{00000000-0010-0000-0300-000003000000}" name="Position"/>
    <tableColumn id="4" xr3:uid="{00000000-0010-0000-0300-000004000000}" name="Current Price (£m)"/>
    <tableColumn id="5" xr3:uid="{00000000-0010-0000-0300-000005000000}" name="Starter?"/>
    <tableColumn id="6" xr3:uid="{00000000-0010-0000-0300-000006000000}" name="Captain?"/>
    <tableColumn id="7" xr3:uid="{00000000-0010-0000-0300-000007000000}" name="Start Prob"/>
    <tableColumn id="8" xr3:uid="{00000000-0010-0000-0300-000008000000}" name="Exp Mins"/>
    <tableColumn id="9" xr3:uid="{00000000-0010-0000-0300-000009000000}" name="Adj xG90"/>
    <tableColumn id="10" xr3:uid="{00000000-0010-0000-0300-00000A000000}" name="Adj xA90"/>
    <tableColumn id="11" xr3:uid="{00000000-0010-0000-0300-00000B000000}" name="6GW xPts"/>
    <tableColumn id="12" xr3:uid="{00000000-0010-0000-03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K12" sqref="K12"/>
    </sheetView>
  </sheetViews>
  <sheetFormatPr baseColWidth="10" defaultColWidth="8.83203125" defaultRowHeight="14"/>
  <cols>
    <col min="1" max="1" width="22" customWidth="1"/>
    <col min="2" max="2" width="34" customWidth="1"/>
    <col min="4" max="7" width="18" customWidth="1"/>
  </cols>
  <sheetData>
    <row r="1" spans="1:8" ht="21">
      <c r="A1" s="26" t="s">
        <v>0</v>
      </c>
      <c r="B1" s="26"/>
      <c r="C1" s="26"/>
      <c r="D1" s="26"/>
      <c r="E1" s="26"/>
      <c r="F1" s="26"/>
      <c r="G1" s="26"/>
      <c r="H1" s="26"/>
    </row>
    <row r="3" spans="1:8" ht="15">
      <c r="A3" t="s">
        <v>1</v>
      </c>
      <c r="B3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8">
      <c r="A4" t="s">
        <v>4</v>
      </c>
      <c r="B4">
        <v>567</v>
      </c>
      <c r="D4" t="s">
        <v>7</v>
      </c>
      <c r="E4">
        <f>COUNTIF(Players!$E$2:$E$568,D4)</f>
        <v>63</v>
      </c>
      <c r="F4" s="20">
        <f>AVERAGEIF(Players!$E$2:$E$568,D4,Players!$G$2:$G$568)</f>
        <v>4.5317460317460316</v>
      </c>
      <c r="G4" s="22">
        <f>AVERAGEIF(Players!$E$2:$E$568,D4,Players!$H$2:$H$568)</f>
        <v>951.85714285714289</v>
      </c>
    </row>
    <row r="5" spans="1:8">
      <c r="A5" t="s">
        <v>8</v>
      </c>
      <c r="B5">
        <v>20</v>
      </c>
      <c r="D5" t="s">
        <v>9</v>
      </c>
      <c r="E5">
        <f>COUNTIF(Players!$E$2:$E$568,D5)</f>
        <v>186</v>
      </c>
      <c r="F5" s="20">
        <f>AVERAGEIF(Players!$E$2:$E$568,D5,Players!$G$2:$G$568)</f>
        <v>4.704301075268817</v>
      </c>
      <c r="G5" s="22">
        <f>AVERAGEIF(Players!$E$2:$E$568,D5,Players!$H$2:$H$568)</f>
        <v>1196.9247311827958</v>
      </c>
    </row>
    <row r="6" spans="1:8">
      <c r="A6" t="s">
        <v>10</v>
      </c>
      <c r="B6">
        <v>380</v>
      </c>
      <c r="D6" t="s">
        <v>11</v>
      </c>
      <c r="E6">
        <f>COUNTIF(Players!$E$2:$E$568,D6)</f>
        <v>250</v>
      </c>
      <c r="F6" s="20">
        <f>AVERAGEIF(Players!$E$2:$E$568,D6,Players!$G$2:$G$568)</f>
        <v>5.5460000000000003</v>
      </c>
      <c r="G6" s="22">
        <f>AVERAGEIF(Players!$E$2:$E$568,D6,Players!$H$2:$H$568)</f>
        <v>1054.7280000000001</v>
      </c>
    </row>
    <row r="7" spans="1:8">
      <c r="A7" t="s">
        <v>12</v>
      </c>
      <c r="B7" t="s">
        <v>13</v>
      </c>
      <c r="D7" t="s">
        <v>14</v>
      </c>
      <c r="E7">
        <f>COUNTIF(Players!$E$2:$E$568,D7)</f>
        <v>68</v>
      </c>
      <c r="F7" s="20">
        <f>AVERAGEIF(Players!$E$2:$E$568,D7,Players!$G$2:$G$568)</f>
        <v>5.8088235294117645</v>
      </c>
      <c r="G7" s="22">
        <f>AVERAGEIF(Players!$E$2:$E$568,D7,Players!$H$2:$H$568)</f>
        <v>824.57352941176475</v>
      </c>
    </row>
    <row r="8" spans="1:8">
      <c r="A8" t="s">
        <v>15</v>
      </c>
      <c r="B8" t="s">
        <v>16</v>
      </c>
    </row>
    <row r="10" spans="1:8" ht="15">
      <c r="A10" s="27" t="s">
        <v>17</v>
      </c>
      <c r="B10" s="27"/>
      <c r="C10" s="27"/>
      <c r="D10" s="27"/>
      <c r="E10" s="27"/>
      <c r="F10" s="27"/>
      <c r="G10" s="27"/>
      <c r="H10" s="27"/>
    </row>
  </sheetData>
  <mergeCells count="2">
    <mergeCell ref="A1:H1"/>
    <mergeCell ref="A10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68"/>
  <sheetViews>
    <sheetView topLeftCell="AF264" workbookViewId="0">
      <selection activeCell="J2" sqref="J2"/>
    </sheetView>
  </sheetViews>
  <sheetFormatPr baseColWidth="10" defaultColWidth="8.83203125" defaultRowHeight="14"/>
  <cols>
    <col min="1" max="1" width="9" customWidth="1"/>
    <col min="2" max="2" width="16" customWidth="1"/>
    <col min="3" max="3" width="24" customWidth="1"/>
    <col min="4" max="4" width="17" customWidth="1"/>
    <col min="5" max="5" width="9" customWidth="1"/>
    <col min="6" max="7" width="13" customWidth="1"/>
    <col min="8" max="8" width="12" customWidth="1"/>
    <col min="9" max="12" width="11" customWidth="1"/>
    <col min="13" max="17" width="12" customWidth="1"/>
    <col min="18" max="18" width="10" customWidth="1"/>
    <col min="19" max="23" width="12" customWidth="1"/>
    <col min="24" max="24" width="16" customWidth="1"/>
    <col min="25" max="26" width="11" customWidth="1"/>
    <col min="27" max="31" width="13" customWidth="1"/>
    <col min="32" max="34" width="11" customWidth="1"/>
    <col min="35" max="37" width="12" customWidth="1"/>
    <col min="38" max="38" width="13" customWidth="1"/>
    <col min="39" max="39" width="38" customWidth="1"/>
    <col min="40" max="40" width="12" customWidth="1"/>
    <col min="41" max="41" width="11" customWidth="1"/>
    <col min="42" max="42" width="14" customWidth="1"/>
    <col min="43" max="43" width="12" customWidth="1"/>
    <col min="44" max="44" width="28" customWidth="1"/>
    <col min="45" max="45" width="34" customWidth="1"/>
  </cols>
  <sheetData>
    <row r="1" spans="1:45" ht="15">
      <c r="A1" s="4" t="s">
        <v>18</v>
      </c>
      <c r="B1" s="4" t="s">
        <v>19</v>
      </c>
      <c r="C1" s="4" t="s">
        <v>20</v>
      </c>
      <c r="D1" s="4" t="s">
        <v>21</v>
      </c>
      <c r="E1" s="4" t="s">
        <v>3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4" t="s">
        <v>50</v>
      </c>
      <c r="AI1" s="4" t="s">
        <v>51</v>
      </c>
      <c r="AJ1" s="4" t="s">
        <v>52</v>
      </c>
      <c r="AK1" s="4" t="s">
        <v>53</v>
      </c>
      <c r="AL1" s="4" t="s">
        <v>54</v>
      </c>
      <c r="AM1" s="4" t="s">
        <v>55</v>
      </c>
      <c r="AN1" s="4" t="s">
        <v>56</v>
      </c>
      <c r="AO1" s="4" t="s">
        <v>57</v>
      </c>
      <c r="AP1" s="4" t="s">
        <v>58</v>
      </c>
      <c r="AQ1" s="4" t="s">
        <v>59</v>
      </c>
      <c r="AR1" s="4" t="s">
        <v>60</v>
      </c>
      <c r="AS1" s="4" t="s">
        <v>61</v>
      </c>
    </row>
    <row r="2" spans="1:45" ht="60">
      <c r="A2" s="6">
        <v>1</v>
      </c>
      <c r="B2" s="6" t="s">
        <v>62</v>
      </c>
      <c r="C2" s="6" t="s">
        <v>63</v>
      </c>
      <c r="D2" s="6" t="s">
        <v>64</v>
      </c>
      <c r="E2" s="6" t="s">
        <v>7</v>
      </c>
      <c r="F2" s="9">
        <v>6</v>
      </c>
      <c r="G2" s="9">
        <v>6</v>
      </c>
      <c r="H2" s="10">
        <v>3330</v>
      </c>
      <c r="I2" s="11">
        <v>0</v>
      </c>
      <c r="J2" s="11">
        <v>7.0000000000000007E-2</v>
      </c>
      <c r="K2" s="12">
        <f t="shared" ref="K2:K65" si="0">IFERROR(I2*90/H2,0)</f>
        <v>0</v>
      </c>
      <c r="L2" s="12">
        <f t="shared" ref="L2:L65" si="1">IFERROR(J2*90/H2,0)</f>
        <v>1.8918918918918921E-3</v>
      </c>
      <c r="M2" s="10">
        <v>0</v>
      </c>
      <c r="N2" s="10">
        <v>0</v>
      </c>
      <c r="O2" s="10">
        <v>162</v>
      </c>
      <c r="P2" s="10">
        <v>4.4000000000000004</v>
      </c>
      <c r="Q2" s="10">
        <v>37</v>
      </c>
      <c r="R2" s="11">
        <v>0</v>
      </c>
      <c r="S2" s="6"/>
      <c r="T2" s="6"/>
      <c r="U2" s="6"/>
      <c r="V2" s="7" t="b">
        <v>0</v>
      </c>
      <c r="W2" s="8">
        <f>IFERROR(VLOOKUP(D2,Teams!$B$2:$I$21,6,FALSE),"")</f>
        <v>0</v>
      </c>
      <c r="X2" s="2" t="s">
        <v>65</v>
      </c>
      <c r="Y2" s="13"/>
      <c r="Z2" s="14"/>
      <c r="AA2" s="15">
        <f>IFERROR(H2/(H2+Priors!$G$3),0)</f>
        <v>0.76905311778290997</v>
      </c>
      <c r="AB2" s="16">
        <f>VLOOKUP(E2,Priors!$A$3:$C$6,2,FALSE)</f>
        <v>2.4013207263995197E-4</v>
      </c>
      <c r="AC2" s="16">
        <f>VLOOKUP(E2,Priors!$A$3:$C$6,3,FALSE)</f>
        <v>1.9810895992796044E-3</v>
      </c>
      <c r="AD2" s="12">
        <f t="shared" ref="AD2:AD65" si="2">AA2*K2+(1-AA2)*AB2</f>
        <v>5.5457753496524697E-5</v>
      </c>
      <c r="AE2" s="12">
        <f t="shared" ref="AE2:AE65" si="3">AA2*L2+(1-AA2)*AC2</f>
        <v>1.9124918243139965E-3</v>
      </c>
      <c r="AF2" s="17">
        <v>1</v>
      </c>
      <c r="AG2" s="17">
        <v>1</v>
      </c>
      <c r="AH2" s="16">
        <f>IFERROR(VLOOKUP(D2,Teams!$B$2:$I$21,7,FALSE),1)</f>
        <v>1</v>
      </c>
      <c r="AI2" s="12">
        <f t="shared" ref="AI2:AI65" si="4">AD2*AF2*AG2*AH2</f>
        <v>5.5457753496524697E-5</v>
      </c>
      <c r="AJ2" s="12">
        <f t="shared" ref="AJ2:AJ65" si="5">AE2*AF2*AG2*AH2</f>
        <v>1.9124918243139965E-3</v>
      </c>
      <c r="AK2" s="6" t="s">
        <v>66</v>
      </c>
      <c r="AL2" s="18"/>
      <c r="AM2" s="23"/>
      <c r="AN2" s="24">
        <v>0.307</v>
      </c>
      <c r="AO2" s="25" t="b">
        <v>1</v>
      </c>
      <c r="AP2" s="23" t="s">
        <v>67</v>
      </c>
      <c r="AQ2" s="25" t="b">
        <v>1</v>
      </c>
      <c r="AR2" s="23"/>
      <c r="AS2" s="23" t="s">
        <v>68</v>
      </c>
    </row>
    <row r="3" spans="1:45" ht="60">
      <c r="A3" s="6">
        <v>2</v>
      </c>
      <c r="B3" s="6" t="s">
        <v>69</v>
      </c>
      <c r="C3" s="6" t="s">
        <v>70</v>
      </c>
      <c r="D3" s="6" t="s">
        <v>64</v>
      </c>
      <c r="E3" s="6" t="s">
        <v>7</v>
      </c>
      <c r="F3" s="9">
        <v>5</v>
      </c>
      <c r="G3" s="9">
        <v>5</v>
      </c>
      <c r="H3" s="10">
        <v>90</v>
      </c>
      <c r="I3" s="11">
        <v>0</v>
      </c>
      <c r="J3" s="11">
        <v>0</v>
      </c>
      <c r="K3" s="12">
        <f t="shared" si="0"/>
        <v>0</v>
      </c>
      <c r="L3" s="12">
        <f t="shared" si="1"/>
        <v>0</v>
      </c>
      <c r="M3" s="10">
        <v>0</v>
      </c>
      <c r="N3" s="10">
        <v>0</v>
      </c>
      <c r="O3" s="10">
        <v>2</v>
      </c>
      <c r="P3" s="10">
        <v>2</v>
      </c>
      <c r="Q3" s="10">
        <v>1</v>
      </c>
      <c r="R3" s="11">
        <v>0</v>
      </c>
      <c r="S3" s="6"/>
      <c r="T3" s="6"/>
      <c r="U3" s="6"/>
      <c r="V3" s="7" t="b">
        <v>0</v>
      </c>
      <c r="W3" s="8">
        <f>IFERROR(VLOOKUP(D3,Teams!$B$2:$I$21,6,FALSE),"")</f>
        <v>0</v>
      </c>
      <c r="X3" s="2" t="s">
        <v>65</v>
      </c>
      <c r="Y3" s="13"/>
      <c r="Z3" s="14"/>
      <c r="AA3" s="15">
        <f>IFERROR(H3/(H3+Priors!$G$3),0)</f>
        <v>8.2568807339449546E-2</v>
      </c>
      <c r="AB3" s="16">
        <f>VLOOKUP(E3,Priors!$A$3:$C$6,2,FALSE)</f>
        <v>2.4013207263995197E-4</v>
      </c>
      <c r="AC3" s="16">
        <f>VLOOKUP(E3,Priors!$A$3:$C$6,3,FALSE)</f>
        <v>1.9810895992796044E-3</v>
      </c>
      <c r="AD3" s="12">
        <f t="shared" si="2"/>
        <v>2.2030465379812108E-4</v>
      </c>
      <c r="AE3" s="12">
        <f t="shared" si="3"/>
        <v>1.8175133938344995E-3</v>
      </c>
      <c r="AF3" s="17">
        <v>1</v>
      </c>
      <c r="AG3" s="17">
        <v>1</v>
      </c>
      <c r="AH3" s="16">
        <f>IFERROR(VLOOKUP(D3,Teams!$B$2:$I$21,7,FALSE),1)</f>
        <v>1</v>
      </c>
      <c r="AI3" s="12">
        <f t="shared" si="4"/>
        <v>2.2030465379812108E-4</v>
      </c>
      <c r="AJ3" s="12">
        <f t="shared" si="5"/>
        <v>1.8175133938344995E-3</v>
      </c>
      <c r="AK3" s="6" t="s">
        <v>66</v>
      </c>
      <c r="AL3" s="18"/>
      <c r="AM3" s="23"/>
      <c r="AN3" s="24">
        <v>2E-3</v>
      </c>
      <c r="AO3" s="25" t="b">
        <v>1</v>
      </c>
      <c r="AP3" s="23" t="s">
        <v>71</v>
      </c>
      <c r="AQ3" s="25" t="b">
        <v>0</v>
      </c>
      <c r="AR3" s="23"/>
      <c r="AS3" s="23" t="s">
        <v>68</v>
      </c>
    </row>
    <row r="4" spans="1:45" ht="60">
      <c r="A4" s="6">
        <v>3</v>
      </c>
      <c r="B4" s="6" t="s">
        <v>72</v>
      </c>
      <c r="C4" s="6" t="s">
        <v>73</v>
      </c>
      <c r="D4" s="6" t="s">
        <v>64</v>
      </c>
      <c r="E4" s="6" t="s">
        <v>7</v>
      </c>
      <c r="F4" s="9">
        <v>5</v>
      </c>
      <c r="G4" s="9">
        <v>5</v>
      </c>
      <c r="H4" s="10">
        <v>0</v>
      </c>
      <c r="I4" s="11">
        <v>0</v>
      </c>
      <c r="J4" s="11">
        <v>0</v>
      </c>
      <c r="K4" s="12">
        <f t="shared" si="0"/>
        <v>0</v>
      </c>
      <c r="L4" s="12">
        <f t="shared" si="1"/>
        <v>0</v>
      </c>
      <c r="M4" s="10">
        <v>11</v>
      </c>
      <c r="N4" s="10">
        <v>0</v>
      </c>
      <c r="O4" s="10">
        <v>0</v>
      </c>
      <c r="P4" s="10">
        <v>0</v>
      </c>
      <c r="Q4" s="10">
        <v>0</v>
      </c>
      <c r="R4" s="11">
        <v>0</v>
      </c>
      <c r="S4" s="6"/>
      <c r="T4" s="6"/>
      <c r="U4" s="6"/>
      <c r="V4" s="7" t="b">
        <v>1</v>
      </c>
      <c r="W4" s="8">
        <f>IFERROR(VLOOKUP(D4,Teams!$B$2:$I$21,6,FALSE),"")</f>
        <v>0</v>
      </c>
      <c r="X4" s="2" t="s">
        <v>65</v>
      </c>
      <c r="Y4" s="13"/>
      <c r="Z4" s="14"/>
      <c r="AA4" s="15">
        <f>IFERROR(H4/(H4+Priors!$G$3),0)</f>
        <v>0</v>
      </c>
      <c r="AB4" s="16">
        <f>VLOOKUP(E4,Priors!$A$3:$C$6,2,FALSE)</f>
        <v>2.4013207263995197E-4</v>
      </c>
      <c r="AC4" s="16">
        <f>VLOOKUP(E4,Priors!$A$3:$C$6,3,FALSE)</f>
        <v>1.9810895992796044E-3</v>
      </c>
      <c r="AD4" s="12">
        <f t="shared" si="2"/>
        <v>2.4013207263995197E-4</v>
      </c>
      <c r="AE4" s="12">
        <f t="shared" si="3"/>
        <v>1.9810895992796044E-3</v>
      </c>
      <c r="AF4" s="17">
        <v>1</v>
      </c>
      <c r="AG4" s="17">
        <v>1</v>
      </c>
      <c r="AH4" s="16">
        <f>IFERROR(VLOOKUP(D4,Teams!$B$2:$I$21,7,FALSE),1)</f>
        <v>1</v>
      </c>
      <c r="AI4" s="12">
        <f t="shared" si="4"/>
        <v>2.4013207263995197E-4</v>
      </c>
      <c r="AJ4" s="12">
        <f t="shared" si="5"/>
        <v>1.9810895992796044E-3</v>
      </c>
      <c r="AK4" s="6" t="s">
        <v>66</v>
      </c>
      <c r="AL4" s="18"/>
      <c r="AM4" s="23"/>
      <c r="AN4" s="24">
        <v>1E-3</v>
      </c>
      <c r="AO4" s="25" t="b">
        <v>1</v>
      </c>
      <c r="AP4" s="23" t="s">
        <v>74</v>
      </c>
      <c r="AQ4" s="25" t="b">
        <v>0</v>
      </c>
      <c r="AR4" s="23"/>
      <c r="AS4" s="23" t="s">
        <v>68</v>
      </c>
    </row>
    <row r="5" spans="1:45" ht="60">
      <c r="A5" s="6">
        <v>4</v>
      </c>
      <c r="B5" s="6" t="s">
        <v>75</v>
      </c>
      <c r="C5" s="6" t="s">
        <v>76</v>
      </c>
      <c r="D5" s="6" t="s">
        <v>64</v>
      </c>
      <c r="E5" s="6" t="s">
        <v>9</v>
      </c>
      <c r="F5" s="9">
        <v>8</v>
      </c>
      <c r="G5" s="9">
        <v>8</v>
      </c>
      <c r="H5" s="10">
        <v>2750</v>
      </c>
      <c r="I5" s="11">
        <v>2.94</v>
      </c>
      <c r="J5" s="11">
        <v>1.75</v>
      </c>
      <c r="K5" s="12">
        <f t="shared" si="0"/>
        <v>9.6218181818181828E-2</v>
      </c>
      <c r="L5" s="12">
        <f t="shared" si="1"/>
        <v>5.7272727272727274E-2</v>
      </c>
      <c r="M5" s="10">
        <v>3</v>
      </c>
      <c r="N5" s="10">
        <v>5</v>
      </c>
      <c r="O5" s="10">
        <v>209</v>
      </c>
      <c r="P5" s="10">
        <v>6.5</v>
      </c>
      <c r="Q5" s="10">
        <v>30</v>
      </c>
      <c r="R5" s="11">
        <v>9.07</v>
      </c>
      <c r="S5" s="6"/>
      <c r="T5" s="6"/>
      <c r="U5" s="6"/>
      <c r="V5" s="7" t="b">
        <v>0</v>
      </c>
      <c r="W5" s="8">
        <f>IFERROR(VLOOKUP(D5,Teams!$B$2:$I$21,6,FALSE),"")</f>
        <v>0</v>
      </c>
      <c r="X5" s="2" t="s">
        <v>65</v>
      </c>
      <c r="Y5" s="13"/>
      <c r="Z5" s="14"/>
      <c r="AA5" s="15">
        <f>IFERROR(H5/(H5+Priors!$G$3),0)</f>
        <v>0.73333333333333328</v>
      </c>
      <c r="AB5" s="16">
        <f>VLOOKUP(E5,Priors!$A$3:$C$6,2,FALSE)</f>
        <v>6.0081391379341341E-2</v>
      </c>
      <c r="AC5" s="16">
        <f>VLOOKUP(E5,Priors!$A$3:$C$6,3,FALSE)</f>
        <v>5.9588191961478354E-2</v>
      </c>
      <c r="AD5" s="12">
        <f t="shared" si="2"/>
        <v>8.6581704367824364E-2</v>
      </c>
      <c r="AE5" s="12">
        <f t="shared" si="3"/>
        <v>5.7890184523060897E-2</v>
      </c>
      <c r="AF5" s="17">
        <v>1</v>
      </c>
      <c r="AG5" s="17">
        <v>1</v>
      </c>
      <c r="AH5" s="16">
        <f>IFERROR(VLOOKUP(D5,Teams!$B$2:$I$21,7,FALSE),1)</f>
        <v>1</v>
      </c>
      <c r="AI5" s="12">
        <f t="shared" si="4"/>
        <v>8.6581704367824364E-2</v>
      </c>
      <c r="AJ5" s="12">
        <f t="shared" si="5"/>
        <v>5.7890184523060897E-2</v>
      </c>
      <c r="AK5" s="6" t="s">
        <v>66</v>
      </c>
      <c r="AL5" s="18"/>
      <c r="AM5" s="23"/>
      <c r="AN5" s="24">
        <v>0.25900000000000001</v>
      </c>
      <c r="AO5" s="25" t="b">
        <v>1</v>
      </c>
      <c r="AP5" s="23" t="s">
        <v>77</v>
      </c>
      <c r="AQ5" s="25" t="b">
        <v>1</v>
      </c>
      <c r="AR5" s="23"/>
      <c r="AS5" s="23" t="s">
        <v>68</v>
      </c>
    </row>
    <row r="6" spans="1:45" ht="60">
      <c r="A6" s="6">
        <v>5</v>
      </c>
      <c r="B6" s="6" t="s">
        <v>78</v>
      </c>
      <c r="C6" s="6" t="s">
        <v>79</v>
      </c>
      <c r="D6" s="6" t="s">
        <v>64</v>
      </c>
      <c r="E6" s="6" t="s">
        <v>9</v>
      </c>
      <c r="F6" s="9">
        <v>6.5</v>
      </c>
      <c r="G6" s="9">
        <v>6.5</v>
      </c>
      <c r="H6" s="10">
        <v>2452</v>
      </c>
      <c r="I6" s="11">
        <v>4.71</v>
      </c>
      <c r="J6" s="11">
        <v>1.53</v>
      </c>
      <c r="K6" s="12">
        <f t="shared" si="0"/>
        <v>0.17287928221859705</v>
      </c>
      <c r="L6" s="12">
        <f t="shared" si="1"/>
        <v>5.6158238172920059E-2</v>
      </c>
      <c r="M6" s="10">
        <v>3</v>
      </c>
      <c r="N6" s="10">
        <v>6</v>
      </c>
      <c r="O6" s="10">
        <v>149</v>
      </c>
      <c r="P6" s="10">
        <v>5</v>
      </c>
      <c r="Q6" s="10">
        <v>28</v>
      </c>
      <c r="R6" s="11">
        <v>5.43</v>
      </c>
      <c r="S6" s="6"/>
      <c r="T6" s="6"/>
      <c r="U6" s="6"/>
      <c r="V6" s="7" t="b">
        <v>0</v>
      </c>
      <c r="W6" s="8">
        <f>IFERROR(VLOOKUP(D6,Teams!$B$2:$I$21,6,FALSE),"")</f>
        <v>0</v>
      </c>
      <c r="X6" s="2" t="s">
        <v>65</v>
      </c>
      <c r="Y6" s="13"/>
      <c r="Z6" s="14"/>
      <c r="AA6" s="15">
        <f>IFERROR(H6/(H6+Priors!$G$3),0)</f>
        <v>0.71031286210892242</v>
      </c>
      <c r="AB6" s="16">
        <f>VLOOKUP(E6,Priors!$A$3:$C$6,2,FALSE)</f>
        <v>6.0081391379341341E-2</v>
      </c>
      <c r="AC6" s="16">
        <f>VLOOKUP(E6,Priors!$A$3:$C$6,3,FALSE)</f>
        <v>5.9588191961478354E-2</v>
      </c>
      <c r="AD6" s="12">
        <f t="shared" si="2"/>
        <v>0.14020318406122287</v>
      </c>
      <c r="AE6" s="12">
        <f t="shared" si="3"/>
        <v>5.7151851669026171E-2</v>
      </c>
      <c r="AF6" s="17">
        <v>1</v>
      </c>
      <c r="AG6" s="17">
        <v>1</v>
      </c>
      <c r="AH6" s="16">
        <f>IFERROR(VLOOKUP(D6,Teams!$B$2:$I$21,7,FALSE),1)</f>
        <v>1</v>
      </c>
      <c r="AI6" s="12">
        <f t="shared" si="4"/>
        <v>0.14020318406122287</v>
      </c>
      <c r="AJ6" s="12">
        <f t="shared" si="5"/>
        <v>5.7151851669026171E-2</v>
      </c>
      <c r="AK6" s="6" t="s">
        <v>80</v>
      </c>
      <c r="AL6" s="18">
        <v>0</v>
      </c>
      <c r="AM6" s="23" t="s">
        <v>81</v>
      </c>
      <c r="AN6" s="24">
        <v>5.0000000000000001E-3</v>
      </c>
      <c r="AO6" s="25" t="b">
        <v>1</v>
      </c>
      <c r="AP6" s="23" t="s">
        <v>82</v>
      </c>
      <c r="AQ6" s="25" t="b">
        <v>0</v>
      </c>
      <c r="AR6" s="23"/>
      <c r="AS6" s="23" t="s">
        <v>68</v>
      </c>
    </row>
    <row r="7" spans="1:45" ht="60">
      <c r="A7" s="6">
        <v>6</v>
      </c>
      <c r="B7" s="6" t="s">
        <v>83</v>
      </c>
      <c r="C7" s="6" t="s">
        <v>84</v>
      </c>
      <c r="D7" s="6" t="s">
        <v>64</v>
      </c>
      <c r="E7" s="6" t="s">
        <v>9</v>
      </c>
      <c r="F7" s="9">
        <v>6</v>
      </c>
      <c r="G7" s="9">
        <v>6</v>
      </c>
      <c r="H7" s="10">
        <v>2614</v>
      </c>
      <c r="I7" s="11">
        <v>0.88</v>
      </c>
      <c r="J7" s="11">
        <v>1.21</v>
      </c>
      <c r="K7" s="12">
        <f t="shared" si="0"/>
        <v>3.0298393267023719E-2</v>
      </c>
      <c r="L7" s="12">
        <f t="shared" si="1"/>
        <v>4.1660290742157609E-2</v>
      </c>
      <c r="M7" s="10">
        <v>1</v>
      </c>
      <c r="N7" s="10">
        <v>0</v>
      </c>
      <c r="O7" s="10">
        <v>137</v>
      </c>
      <c r="P7" s="10">
        <v>4.4000000000000004</v>
      </c>
      <c r="Q7" s="10">
        <v>30</v>
      </c>
      <c r="R7" s="11">
        <v>6.64</v>
      </c>
      <c r="S7" s="6"/>
      <c r="T7" s="6"/>
      <c r="U7" s="6"/>
      <c r="V7" s="7" t="b">
        <v>0</v>
      </c>
      <c r="W7" s="8">
        <f>IFERROR(VLOOKUP(D7,Teams!$B$2:$I$21,6,FALSE),"")</f>
        <v>0</v>
      </c>
      <c r="X7" s="2" t="s">
        <v>65</v>
      </c>
      <c r="Y7" s="13"/>
      <c r="Z7" s="14"/>
      <c r="AA7" s="15">
        <f>IFERROR(H7/(H7+Priors!$G$3),0)</f>
        <v>0.72329828444936362</v>
      </c>
      <c r="AB7" s="16">
        <f>VLOOKUP(E7,Priors!$A$3:$C$6,2,FALSE)</f>
        <v>6.0081391379341341E-2</v>
      </c>
      <c r="AC7" s="16">
        <f>VLOOKUP(E7,Priors!$A$3:$C$6,3,FALSE)</f>
        <v>5.9588191961478354E-2</v>
      </c>
      <c r="AD7" s="12">
        <f t="shared" si="2"/>
        <v>3.8539399938943369E-2</v>
      </c>
      <c r="AE7" s="12">
        <f t="shared" si="3"/>
        <v>4.6620971765766003E-2</v>
      </c>
      <c r="AF7" s="17">
        <v>1</v>
      </c>
      <c r="AG7" s="17">
        <v>1</v>
      </c>
      <c r="AH7" s="16">
        <f>IFERROR(VLOOKUP(D7,Teams!$B$2:$I$21,7,FALSE),1)</f>
        <v>1</v>
      </c>
      <c r="AI7" s="12">
        <f t="shared" si="4"/>
        <v>3.8539399938943369E-2</v>
      </c>
      <c r="AJ7" s="12">
        <f t="shared" si="5"/>
        <v>4.6620971765766003E-2</v>
      </c>
      <c r="AK7" s="6" t="s">
        <v>80</v>
      </c>
      <c r="AL7" s="18">
        <v>0</v>
      </c>
      <c r="AM7" s="23" t="s">
        <v>85</v>
      </c>
      <c r="AN7" s="24">
        <v>5.0000000000000001E-3</v>
      </c>
      <c r="AO7" s="25" t="b">
        <v>1</v>
      </c>
      <c r="AP7" s="23" t="s">
        <v>86</v>
      </c>
      <c r="AQ7" s="25" t="b">
        <v>0</v>
      </c>
      <c r="AR7" s="23"/>
      <c r="AS7" s="23" t="s">
        <v>68</v>
      </c>
    </row>
    <row r="8" spans="1:45" ht="60">
      <c r="A8" s="6">
        <v>7</v>
      </c>
      <c r="B8" s="6" t="s">
        <v>87</v>
      </c>
      <c r="C8" s="6" t="s">
        <v>88</v>
      </c>
      <c r="D8" s="6" t="s">
        <v>64</v>
      </c>
      <c r="E8" s="6" t="s">
        <v>11</v>
      </c>
      <c r="F8" s="9">
        <v>5.5</v>
      </c>
      <c r="G8" s="9">
        <v>5.5</v>
      </c>
      <c r="H8" s="10">
        <v>697</v>
      </c>
      <c r="I8" s="11">
        <v>0.1</v>
      </c>
      <c r="J8" s="11">
        <v>0.2</v>
      </c>
      <c r="K8" s="12">
        <f t="shared" si="0"/>
        <v>1.2912482065997131E-2</v>
      </c>
      <c r="L8" s="12">
        <f t="shared" si="1"/>
        <v>2.5824964131994262E-2</v>
      </c>
      <c r="M8" s="10">
        <v>0</v>
      </c>
      <c r="N8" s="10">
        <v>0</v>
      </c>
      <c r="O8" s="10">
        <v>29</v>
      </c>
      <c r="P8" s="10">
        <v>1.4</v>
      </c>
      <c r="Q8" s="10">
        <v>5</v>
      </c>
      <c r="R8" s="11">
        <v>3.23</v>
      </c>
      <c r="S8" s="6"/>
      <c r="T8" s="6"/>
      <c r="U8" s="6"/>
      <c r="V8" s="7" t="b">
        <v>0</v>
      </c>
      <c r="W8" s="8">
        <f>IFERROR(VLOOKUP(D8,Teams!$B$2:$I$21,6,FALSE),"")</f>
        <v>0</v>
      </c>
      <c r="X8" s="2" t="s">
        <v>65</v>
      </c>
      <c r="Y8" s="13"/>
      <c r="Z8" s="14"/>
      <c r="AA8" s="15">
        <f>IFERROR(H8/(H8+Priors!$G$3),0)</f>
        <v>0.41072480848556275</v>
      </c>
      <c r="AB8" s="16">
        <f>VLOOKUP(E8,Priors!$A$3:$C$6,2,FALSE)</f>
        <v>0.15714383234350468</v>
      </c>
      <c r="AC8" s="16">
        <f>VLOOKUP(E8,Priors!$A$3:$C$6,3,FALSE)</f>
        <v>0.13222062939449797</v>
      </c>
      <c r="AD8" s="12">
        <f t="shared" si="2"/>
        <v>9.7904438623161269E-2</v>
      </c>
      <c r="AE8" s="12">
        <f t="shared" si="3"/>
        <v>8.852129015586209E-2</v>
      </c>
      <c r="AF8" s="17">
        <v>1</v>
      </c>
      <c r="AG8" s="17">
        <v>1</v>
      </c>
      <c r="AH8" s="16">
        <f>IFERROR(VLOOKUP(D8,Teams!$B$2:$I$21,7,FALSE),1)</f>
        <v>1</v>
      </c>
      <c r="AI8" s="12">
        <f t="shared" si="4"/>
        <v>9.7904438623161269E-2</v>
      </c>
      <c r="AJ8" s="12">
        <f t="shared" si="5"/>
        <v>8.852129015586209E-2</v>
      </c>
      <c r="AK8" s="6" t="s">
        <v>66</v>
      </c>
      <c r="AL8" s="18"/>
      <c r="AM8" s="23"/>
      <c r="AN8" s="24">
        <v>3.0000000000000001E-3</v>
      </c>
      <c r="AO8" s="25" t="b">
        <v>1</v>
      </c>
      <c r="AP8" s="23" t="s">
        <v>89</v>
      </c>
      <c r="AQ8" s="25" t="b">
        <v>0</v>
      </c>
      <c r="AR8" s="23"/>
      <c r="AS8" s="23" t="s">
        <v>68</v>
      </c>
    </row>
    <row r="9" spans="1:45" ht="60">
      <c r="A9" s="6">
        <v>8</v>
      </c>
      <c r="B9" s="6" t="s">
        <v>90</v>
      </c>
      <c r="C9" s="6" t="s">
        <v>91</v>
      </c>
      <c r="D9" s="6" t="s">
        <v>64</v>
      </c>
      <c r="E9" s="6" t="s">
        <v>9</v>
      </c>
      <c r="F9" s="9">
        <v>5.5</v>
      </c>
      <c r="G9" s="9">
        <v>5.5</v>
      </c>
      <c r="H9" s="10">
        <v>1697</v>
      </c>
      <c r="I9" s="11">
        <v>3.36</v>
      </c>
      <c r="J9" s="11">
        <v>0.76</v>
      </c>
      <c r="K9" s="12">
        <f t="shared" si="0"/>
        <v>0.1781968179139658</v>
      </c>
      <c r="L9" s="12">
        <f t="shared" si="1"/>
        <v>4.0306423099587513E-2</v>
      </c>
      <c r="M9" s="10">
        <v>1</v>
      </c>
      <c r="N9" s="10">
        <v>2</v>
      </c>
      <c r="O9" s="10">
        <v>109</v>
      </c>
      <c r="P9" s="10">
        <v>4.2</v>
      </c>
      <c r="Q9" s="10">
        <v>22</v>
      </c>
      <c r="R9" s="11">
        <v>5.41</v>
      </c>
      <c r="S9" s="6"/>
      <c r="T9" s="6"/>
      <c r="U9" s="6"/>
      <c r="V9" s="7" t="b">
        <v>0</v>
      </c>
      <c r="W9" s="8">
        <f>IFERROR(VLOOKUP(D9,Teams!$B$2:$I$21,6,FALSE),"")</f>
        <v>0</v>
      </c>
      <c r="X9" s="2" t="s">
        <v>65</v>
      </c>
      <c r="Y9" s="13"/>
      <c r="Z9" s="14"/>
      <c r="AA9" s="15">
        <f>IFERROR(H9/(H9+Priors!$G$3),0)</f>
        <v>0.6292176492398962</v>
      </c>
      <c r="AB9" s="16">
        <f>VLOOKUP(E9,Priors!$A$3:$C$6,2,FALSE)</f>
        <v>6.0081391379341341E-2</v>
      </c>
      <c r="AC9" s="16">
        <f>VLOOKUP(E9,Priors!$A$3:$C$6,3,FALSE)</f>
        <v>5.9588191961478354E-2</v>
      </c>
      <c r="AD9" s="12">
        <f t="shared" si="2"/>
        <v>0.13440170240242541</v>
      </c>
      <c r="AE9" s="12">
        <f t="shared" si="3"/>
        <v>4.7455762685012365E-2</v>
      </c>
      <c r="AF9" s="17">
        <v>1</v>
      </c>
      <c r="AG9" s="17">
        <v>1</v>
      </c>
      <c r="AH9" s="16">
        <f>IFERROR(VLOOKUP(D9,Teams!$B$2:$I$21,7,FALSE),1)</f>
        <v>1</v>
      </c>
      <c r="AI9" s="12">
        <f t="shared" si="4"/>
        <v>0.13440170240242541</v>
      </c>
      <c r="AJ9" s="12">
        <f t="shared" si="5"/>
        <v>4.7455762685012365E-2</v>
      </c>
      <c r="AK9" s="6" t="s">
        <v>66</v>
      </c>
      <c r="AL9" s="18"/>
      <c r="AM9" s="23"/>
      <c r="AN9" s="24">
        <v>0.153</v>
      </c>
      <c r="AO9" s="25" t="b">
        <v>1</v>
      </c>
      <c r="AP9" s="23" t="s">
        <v>92</v>
      </c>
      <c r="AQ9" s="25" t="b">
        <v>0</v>
      </c>
      <c r="AR9" s="23"/>
      <c r="AS9" s="23" t="s">
        <v>68</v>
      </c>
    </row>
    <row r="10" spans="1:45" ht="60">
      <c r="A10" s="6">
        <v>9</v>
      </c>
      <c r="B10" s="6" t="s">
        <v>93</v>
      </c>
      <c r="C10" s="6" t="s">
        <v>94</v>
      </c>
      <c r="D10" s="6" t="s">
        <v>64</v>
      </c>
      <c r="E10" s="6" t="s">
        <v>9</v>
      </c>
      <c r="F10" s="9">
        <v>5.5</v>
      </c>
      <c r="G10" s="9">
        <v>5.5</v>
      </c>
      <c r="H10" s="10">
        <v>1787</v>
      </c>
      <c r="I10" s="11">
        <v>0.36</v>
      </c>
      <c r="J10" s="11">
        <v>1.67</v>
      </c>
      <c r="K10" s="12">
        <f t="shared" si="0"/>
        <v>1.8130945719082261E-2</v>
      </c>
      <c r="L10" s="12">
        <f t="shared" si="1"/>
        <v>8.4107442641298255E-2</v>
      </c>
      <c r="M10" s="10">
        <v>1</v>
      </c>
      <c r="N10" s="10">
        <v>2</v>
      </c>
      <c r="O10" s="10">
        <v>87</v>
      </c>
      <c r="P10" s="10">
        <v>3.5</v>
      </c>
      <c r="Q10" s="10">
        <v>20</v>
      </c>
      <c r="R10" s="11">
        <v>8.61</v>
      </c>
      <c r="S10" s="6"/>
      <c r="T10" s="6"/>
      <c r="U10" s="6"/>
      <c r="V10" s="7" t="b">
        <v>1</v>
      </c>
      <c r="W10" s="8">
        <f>IFERROR(VLOOKUP(D10,Teams!$B$2:$I$21,6,FALSE),"")</f>
        <v>0</v>
      </c>
      <c r="X10" s="2" t="s">
        <v>65</v>
      </c>
      <c r="Y10" s="13"/>
      <c r="Z10" s="14"/>
      <c r="AA10" s="15">
        <f>IFERROR(H10/(H10+Priors!$G$3),0)</f>
        <v>0.64119124506637959</v>
      </c>
      <c r="AB10" s="16">
        <f>VLOOKUP(E10,Priors!$A$3:$C$6,2,FALSE)</f>
        <v>6.0081391379341341E-2</v>
      </c>
      <c r="AC10" s="16">
        <f>VLOOKUP(E10,Priors!$A$3:$C$6,3,FALSE)</f>
        <v>5.9588191961478354E-2</v>
      </c>
      <c r="AD10" s="12">
        <f t="shared" si="2"/>
        <v>3.3183132895350326E-2</v>
      </c>
      <c r="AE10" s="12">
        <f t="shared" si="3"/>
        <v>7.5309720832966748E-2</v>
      </c>
      <c r="AF10" s="17">
        <v>1</v>
      </c>
      <c r="AG10" s="17">
        <v>1</v>
      </c>
      <c r="AH10" s="16">
        <f>IFERROR(VLOOKUP(D10,Teams!$B$2:$I$21,7,FALSE),1)</f>
        <v>1</v>
      </c>
      <c r="AI10" s="12">
        <f t="shared" si="4"/>
        <v>3.3183132895350326E-2</v>
      </c>
      <c r="AJ10" s="12">
        <f t="shared" si="5"/>
        <v>7.5309720832966748E-2</v>
      </c>
      <c r="AK10" s="6" t="s">
        <v>66</v>
      </c>
      <c r="AL10" s="18"/>
      <c r="AM10" s="23"/>
      <c r="AN10" s="24">
        <v>4.4000000000000004E-2</v>
      </c>
      <c r="AO10" s="25" t="b">
        <v>1</v>
      </c>
      <c r="AP10" s="23" t="s">
        <v>95</v>
      </c>
      <c r="AQ10" s="25" t="b">
        <v>0</v>
      </c>
      <c r="AR10" s="23"/>
      <c r="AS10" s="23" t="s">
        <v>68</v>
      </c>
    </row>
    <row r="11" spans="1:45" ht="60">
      <c r="A11" s="6">
        <v>10</v>
      </c>
      <c r="B11" s="6" t="s">
        <v>96</v>
      </c>
      <c r="C11" s="6" t="s">
        <v>97</v>
      </c>
      <c r="D11" s="6" t="s">
        <v>64</v>
      </c>
      <c r="E11" s="6" t="s">
        <v>9</v>
      </c>
      <c r="F11" s="9">
        <v>5.5</v>
      </c>
      <c r="G11" s="9">
        <v>5.5</v>
      </c>
      <c r="H11" s="10">
        <v>699</v>
      </c>
      <c r="I11" s="11">
        <v>0.45</v>
      </c>
      <c r="J11" s="11">
        <v>0.69</v>
      </c>
      <c r="K11" s="12">
        <f t="shared" si="0"/>
        <v>5.7939914163090127E-2</v>
      </c>
      <c r="L11" s="12">
        <f t="shared" si="1"/>
        <v>8.8841201716738191E-2</v>
      </c>
      <c r="M11" s="10">
        <v>0</v>
      </c>
      <c r="N11" s="10">
        <v>1</v>
      </c>
      <c r="O11" s="10">
        <v>45</v>
      </c>
      <c r="P11" s="10">
        <v>3.8</v>
      </c>
      <c r="Q11" s="10">
        <v>9</v>
      </c>
      <c r="R11" s="11">
        <v>6.82</v>
      </c>
      <c r="S11" s="6"/>
      <c r="T11" s="6"/>
      <c r="U11" s="6"/>
      <c r="V11" s="7" t="b">
        <v>0</v>
      </c>
      <c r="W11" s="8">
        <f>IFERROR(VLOOKUP(D11,Teams!$B$2:$I$21,6,FALSE),"")</f>
        <v>0</v>
      </c>
      <c r="X11" s="2" t="s">
        <v>65</v>
      </c>
      <c r="Y11" s="13"/>
      <c r="Z11" s="14"/>
      <c r="AA11" s="15">
        <f>IFERROR(H11/(H11+Priors!$G$3),0)</f>
        <v>0.41141848145968218</v>
      </c>
      <c r="AB11" s="16">
        <f>VLOOKUP(E11,Priors!$A$3:$C$6,2,FALSE)</f>
        <v>6.0081391379341341E-2</v>
      </c>
      <c r="AC11" s="16">
        <f>VLOOKUP(E11,Priors!$A$3:$C$6,3,FALSE)</f>
        <v>5.9588191961478354E-2</v>
      </c>
      <c r="AD11" s="12">
        <f t="shared" si="2"/>
        <v>5.9200348074950754E-2</v>
      </c>
      <c r="AE11" s="12">
        <f t="shared" si="3"/>
        <v>7.1623420813112626E-2</v>
      </c>
      <c r="AF11" s="17">
        <v>1</v>
      </c>
      <c r="AG11" s="17">
        <v>1</v>
      </c>
      <c r="AH11" s="16">
        <f>IFERROR(VLOOKUP(D11,Teams!$B$2:$I$21,7,FALSE),1)</f>
        <v>1</v>
      </c>
      <c r="AI11" s="12">
        <f t="shared" si="4"/>
        <v>5.9200348074950754E-2</v>
      </c>
      <c r="AJ11" s="12">
        <f t="shared" si="5"/>
        <v>7.1623420813112626E-2</v>
      </c>
      <c r="AK11" s="6" t="s">
        <v>66</v>
      </c>
      <c r="AL11" s="18">
        <v>100</v>
      </c>
      <c r="AM11" s="23"/>
      <c r="AN11" s="24">
        <v>2E-3</v>
      </c>
      <c r="AO11" s="25" t="b">
        <v>1</v>
      </c>
      <c r="AP11" s="23" t="s">
        <v>98</v>
      </c>
      <c r="AQ11" s="25" t="b">
        <v>0</v>
      </c>
      <c r="AR11" s="23"/>
      <c r="AS11" s="23" t="s">
        <v>68</v>
      </c>
    </row>
    <row r="12" spans="1:45" ht="60">
      <c r="A12" s="6">
        <v>11</v>
      </c>
      <c r="B12" s="6" t="s">
        <v>99</v>
      </c>
      <c r="C12" s="6" t="s">
        <v>100</v>
      </c>
      <c r="D12" s="6" t="s">
        <v>64</v>
      </c>
      <c r="E12" s="6" t="s">
        <v>9</v>
      </c>
      <c r="F12" s="9">
        <v>5.5</v>
      </c>
      <c r="G12" s="9">
        <v>5.5</v>
      </c>
      <c r="H12" s="10">
        <v>986</v>
      </c>
      <c r="I12" s="11">
        <v>0.1</v>
      </c>
      <c r="J12" s="11">
        <v>0.63</v>
      </c>
      <c r="K12" s="12">
        <f t="shared" si="0"/>
        <v>9.1277890466531439E-3</v>
      </c>
      <c r="L12" s="12">
        <f t="shared" si="1"/>
        <v>5.750507099391481E-2</v>
      </c>
      <c r="M12" s="10">
        <v>0</v>
      </c>
      <c r="N12" s="10">
        <v>0</v>
      </c>
      <c r="O12" s="10">
        <v>40</v>
      </c>
      <c r="P12" s="10">
        <v>2</v>
      </c>
      <c r="Q12" s="10">
        <v>9</v>
      </c>
      <c r="R12" s="11">
        <v>8.67</v>
      </c>
      <c r="S12" s="6"/>
      <c r="T12" s="6"/>
      <c r="U12" s="6"/>
      <c r="V12" s="7" t="b">
        <v>0</v>
      </c>
      <c r="W12" s="8">
        <f>IFERROR(VLOOKUP(D12,Teams!$B$2:$I$21,6,FALSE),"")</f>
        <v>0</v>
      </c>
      <c r="X12" s="2" t="s">
        <v>65</v>
      </c>
      <c r="Y12" s="13"/>
      <c r="Z12" s="14"/>
      <c r="AA12" s="15">
        <f>IFERROR(H12/(H12+Priors!$G$3),0)</f>
        <v>0.49647532729103727</v>
      </c>
      <c r="AB12" s="16">
        <f>VLOOKUP(E12,Priors!$A$3:$C$6,2,FALSE)</f>
        <v>6.0081391379341341E-2</v>
      </c>
      <c r="AC12" s="16">
        <f>VLOOKUP(E12,Priors!$A$3:$C$6,3,FALSE)</f>
        <v>5.9588191961478354E-2</v>
      </c>
      <c r="AD12" s="12">
        <f t="shared" si="2"/>
        <v>3.4784184984562608E-2</v>
      </c>
      <c r="AE12" s="12">
        <f t="shared" si="3"/>
        <v>5.855397379732042E-2</v>
      </c>
      <c r="AF12" s="17">
        <v>1</v>
      </c>
      <c r="AG12" s="17">
        <v>1</v>
      </c>
      <c r="AH12" s="16">
        <f>IFERROR(VLOOKUP(D12,Teams!$B$2:$I$21,7,FALSE),1)</f>
        <v>1</v>
      </c>
      <c r="AI12" s="12">
        <f t="shared" si="4"/>
        <v>3.4784184984562608E-2</v>
      </c>
      <c r="AJ12" s="12">
        <f t="shared" si="5"/>
        <v>5.855397379732042E-2</v>
      </c>
      <c r="AK12" s="6" t="s">
        <v>66</v>
      </c>
      <c r="AL12" s="18"/>
      <c r="AM12" s="23"/>
      <c r="AN12" s="24">
        <v>0.16899999999999998</v>
      </c>
      <c r="AO12" s="25" t="b">
        <v>1</v>
      </c>
      <c r="AP12" s="23" t="s">
        <v>101</v>
      </c>
      <c r="AQ12" s="25" t="b">
        <v>0</v>
      </c>
      <c r="AR12" s="23"/>
      <c r="AS12" s="23" t="s">
        <v>68</v>
      </c>
    </row>
    <row r="13" spans="1:45" ht="60">
      <c r="A13" s="6">
        <v>12</v>
      </c>
      <c r="B13" s="6" t="s">
        <v>102</v>
      </c>
      <c r="C13" s="6" t="s">
        <v>103</v>
      </c>
      <c r="D13" s="6" t="s">
        <v>64</v>
      </c>
      <c r="E13" s="6" t="s">
        <v>11</v>
      </c>
      <c r="F13" s="9">
        <v>9.5</v>
      </c>
      <c r="G13" s="9">
        <v>9.5</v>
      </c>
      <c r="H13" s="10">
        <v>2218</v>
      </c>
      <c r="I13" s="11">
        <v>7.57</v>
      </c>
      <c r="J13" s="11">
        <v>7.16</v>
      </c>
      <c r="K13" s="12">
        <f t="shared" si="0"/>
        <v>0.30716862037871961</v>
      </c>
      <c r="L13" s="12">
        <f t="shared" si="1"/>
        <v>0.29053201082055907</v>
      </c>
      <c r="M13" s="10">
        <v>7</v>
      </c>
      <c r="N13" s="10">
        <v>10</v>
      </c>
      <c r="O13" s="10">
        <v>157</v>
      </c>
      <c r="P13" s="10">
        <v>5.0999999999999996</v>
      </c>
      <c r="Q13" s="10">
        <v>25</v>
      </c>
      <c r="R13" s="11">
        <v>7.47</v>
      </c>
      <c r="S13" s="6">
        <v>1</v>
      </c>
      <c r="T13" s="6">
        <v>2</v>
      </c>
      <c r="U13" s="6">
        <v>6</v>
      </c>
      <c r="V13" s="7" t="b">
        <v>0</v>
      </c>
      <c r="W13" s="8">
        <f>IFERROR(VLOOKUP(D13,Teams!$B$2:$I$21,6,FALSE),"")</f>
        <v>0</v>
      </c>
      <c r="X13" s="2" t="s">
        <v>65</v>
      </c>
      <c r="Y13" s="13"/>
      <c r="Z13" s="14"/>
      <c r="AA13" s="15">
        <f>IFERROR(H13/(H13+Priors!$G$3),0)</f>
        <v>0.68924798011187072</v>
      </c>
      <c r="AB13" s="16">
        <f>VLOOKUP(E13,Priors!$A$3:$C$6,2,FALSE)</f>
        <v>0.15714383234350468</v>
      </c>
      <c r="AC13" s="16">
        <f>VLOOKUP(E13,Priors!$A$3:$C$6,3,FALSE)</f>
        <v>0.13222062939449797</v>
      </c>
      <c r="AD13" s="12">
        <f t="shared" si="2"/>
        <v>0.26054811446348813</v>
      </c>
      <c r="AE13" s="12">
        <f t="shared" si="3"/>
        <v>0.24133642927113053</v>
      </c>
      <c r="AF13" s="17">
        <v>1</v>
      </c>
      <c r="AG13" s="17">
        <v>1</v>
      </c>
      <c r="AH13" s="16">
        <f>IFERROR(VLOOKUP(D13,Teams!$B$2:$I$21,7,FALSE),1)</f>
        <v>1</v>
      </c>
      <c r="AI13" s="12">
        <f t="shared" si="4"/>
        <v>0.26054811446348813</v>
      </c>
      <c r="AJ13" s="12">
        <f t="shared" si="5"/>
        <v>0.24133642927113053</v>
      </c>
      <c r="AK13" s="6" t="s">
        <v>66</v>
      </c>
      <c r="AL13" s="18"/>
      <c r="AM13" s="23"/>
      <c r="AN13" s="24">
        <v>0.106</v>
      </c>
      <c r="AO13" s="25" t="b">
        <v>1</v>
      </c>
      <c r="AP13" s="23" t="s">
        <v>104</v>
      </c>
      <c r="AQ13" s="25" t="b">
        <v>0</v>
      </c>
      <c r="AR13" s="23"/>
      <c r="AS13" s="23" t="s">
        <v>68</v>
      </c>
    </row>
    <row r="14" spans="1:45" ht="60">
      <c r="A14" s="6">
        <v>13</v>
      </c>
      <c r="B14" s="6" t="s">
        <v>105</v>
      </c>
      <c r="C14" s="6" t="s">
        <v>106</v>
      </c>
      <c r="D14" s="6" t="s">
        <v>64</v>
      </c>
      <c r="E14" s="6" t="s">
        <v>11</v>
      </c>
      <c r="F14" s="9">
        <v>7.5</v>
      </c>
      <c r="G14" s="9">
        <v>7.5</v>
      </c>
      <c r="H14" s="10">
        <v>3093</v>
      </c>
      <c r="I14" s="11">
        <v>3.15</v>
      </c>
      <c r="J14" s="11">
        <v>7.32</v>
      </c>
      <c r="K14" s="12">
        <f t="shared" si="0"/>
        <v>9.1658583899127066E-2</v>
      </c>
      <c r="L14" s="12">
        <f t="shared" si="1"/>
        <v>0.21299709020368576</v>
      </c>
      <c r="M14" s="10">
        <v>4</v>
      </c>
      <c r="N14" s="10">
        <v>9</v>
      </c>
      <c r="O14" s="10">
        <v>184</v>
      </c>
      <c r="P14" s="10">
        <v>5.0999999999999996</v>
      </c>
      <c r="Q14" s="10">
        <v>35</v>
      </c>
      <c r="R14" s="11">
        <v>10.94</v>
      </c>
      <c r="S14" s="6"/>
      <c r="T14" s="6">
        <v>1</v>
      </c>
      <c r="U14" s="6">
        <v>5</v>
      </c>
      <c r="V14" s="7" t="b">
        <v>0</v>
      </c>
      <c r="W14" s="8">
        <f>IFERROR(VLOOKUP(D14,Teams!$B$2:$I$21,6,FALSE),"")</f>
        <v>0</v>
      </c>
      <c r="X14" s="2" t="s">
        <v>65</v>
      </c>
      <c r="Y14" s="13"/>
      <c r="Z14" s="14"/>
      <c r="AA14" s="15">
        <f>IFERROR(H14/(H14+Priors!$G$3),0)</f>
        <v>0.75568043000244323</v>
      </c>
      <c r="AB14" s="16">
        <f>VLOOKUP(E14,Priors!$A$3:$C$6,2,FALSE)</f>
        <v>0.15714383234350468</v>
      </c>
      <c r="AC14" s="16">
        <f>VLOOKUP(E14,Priors!$A$3:$C$6,3,FALSE)</f>
        <v>0.13222062939449797</v>
      </c>
      <c r="AD14" s="12">
        <f t="shared" si="2"/>
        <v>0.10765791164024058</v>
      </c>
      <c r="AE14" s="12">
        <f t="shared" si="3"/>
        <v>0.19326182003286052</v>
      </c>
      <c r="AF14" s="17">
        <v>1</v>
      </c>
      <c r="AG14" s="17">
        <v>1</v>
      </c>
      <c r="AH14" s="16">
        <f>IFERROR(VLOOKUP(D14,Teams!$B$2:$I$21,7,FALSE),1)</f>
        <v>1</v>
      </c>
      <c r="AI14" s="12">
        <f t="shared" si="4"/>
        <v>0.10765791164024058</v>
      </c>
      <c r="AJ14" s="12">
        <f t="shared" si="5"/>
        <v>0.19326182003286052</v>
      </c>
      <c r="AK14" s="6" t="s">
        <v>66</v>
      </c>
      <c r="AL14" s="18"/>
      <c r="AM14" s="23"/>
      <c r="AN14" s="24">
        <v>0.223</v>
      </c>
      <c r="AO14" s="25" t="b">
        <v>1</v>
      </c>
      <c r="AP14" s="23" t="s">
        <v>107</v>
      </c>
      <c r="AQ14" s="25" t="b">
        <v>0</v>
      </c>
      <c r="AR14" s="23"/>
      <c r="AS14" s="23" t="s">
        <v>68</v>
      </c>
    </row>
    <row r="15" spans="1:45" ht="60">
      <c r="A15" s="6">
        <v>14</v>
      </c>
      <c r="B15" s="6" t="s">
        <v>108</v>
      </c>
      <c r="C15" s="6" t="s">
        <v>109</v>
      </c>
      <c r="D15" s="6" t="s">
        <v>64</v>
      </c>
      <c r="E15" s="6" t="s">
        <v>11</v>
      </c>
      <c r="F15" s="9">
        <v>6.5</v>
      </c>
      <c r="G15" s="9">
        <v>6.5</v>
      </c>
      <c r="H15" s="10">
        <v>1885</v>
      </c>
      <c r="I15" s="11">
        <v>5.18</v>
      </c>
      <c r="J15" s="11">
        <v>2.66</v>
      </c>
      <c r="K15" s="12">
        <f t="shared" si="0"/>
        <v>0.2473209549071618</v>
      </c>
      <c r="L15" s="12">
        <f t="shared" si="1"/>
        <v>0.1270026525198939</v>
      </c>
      <c r="M15" s="10">
        <v>7</v>
      </c>
      <c r="N15" s="10">
        <v>3</v>
      </c>
      <c r="O15" s="10">
        <v>113</v>
      </c>
      <c r="P15" s="10">
        <v>3.4</v>
      </c>
      <c r="Q15" s="10">
        <v>22</v>
      </c>
      <c r="R15" s="11">
        <v>5.73</v>
      </c>
      <c r="S15" s="6"/>
      <c r="T15" s="6">
        <v>3</v>
      </c>
      <c r="U15" s="6"/>
      <c r="V15" s="7" t="b">
        <v>0</v>
      </c>
      <c r="W15" s="8">
        <f>IFERROR(VLOOKUP(D15,Teams!$B$2:$I$21,6,FALSE),"")</f>
        <v>0</v>
      </c>
      <c r="X15" s="2" t="s">
        <v>65</v>
      </c>
      <c r="Y15" s="13"/>
      <c r="Z15" s="14"/>
      <c r="AA15" s="15">
        <f>IFERROR(H15/(H15+Priors!$G$3),0)</f>
        <v>0.65337954939341425</v>
      </c>
      <c r="AB15" s="16">
        <f>VLOOKUP(E15,Priors!$A$3:$C$6,2,FALSE)</f>
        <v>0.15714383234350468</v>
      </c>
      <c r="AC15" s="16">
        <f>VLOOKUP(E15,Priors!$A$3:$C$6,3,FALSE)</f>
        <v>0.13222062939449797</v>
      </c>
      <c r="AD15" s="12">
        <f t="shared" si="2"/>
        <v>0.21606372004974167</v>
      </c>
      <c r="AE15" s="12">
        <f t="shared" si="3"/>
        <v>0.1288113100154239</v>
      </c>
      <c r="AF15" s="17">
        <v>1</v>
      </c>
      <c r="AG15" s="17">
        <v>1</v>
      </c>
      <c r="AH15" s="16">
        <f>IFERROR(VLOOKUP(D15,Teams!$B$2:$I$21,7,FALSE),1)</f>
        <v>1</v>
      </c>
      <c r="AI15" s="12">
        <f t="shared" si="4"/>
        <v>0.21606372004974167</v>
      </c>
      <c r="AJ15" s="12">
        <f t="shared" si="5"/>
        <v>0.1288113100154239</v>
      </c>
      <c r="AK15" s="6" t="s">
        <v>66</v>
      </c>
      <c r="AL15" s="18"/>
      <c r="AM15" s="23"/>
      <c r="AN15" s="24">
        <v>3.3000000000000002E-2</v>
      </c>
      <c r="AO15" s="25" t="b">
        <v>1</v>
      </c>
      <c r="AP15" s="23" t="s">
        <v>110</v>
      </c>
      <c r="AQ15" s="25" t="b">
        <v>0</v>
      </c>
      <c r="AR15" s="23"/>
      <c r="AS15" s="23" t="s">
        <v>68</v>
      </c>
    </row>
    <row r="16" spans="1:45" ht="60">
      <c r="A16" s="6">
        <v>15</v>
      </c>
      <c r="B16" s="6" t="s">
        <v>111</v>
      </c>
      <c r="C16" s="6" t="s">
        <v>112</v>
      </c>
      <c r="D16" s="6" t="s">
        <v>64</v>
      </c>
      <c r="E16" s="6" t="s">
        <v>11</v>
      </c>
      <c r="F16" s="9">
        <v>6.5</v>
      </c>
      <c r="G16" s="9">
        <v>6.5</v>
      </c>
      <c r="H16" s="10">
        <v>1363</v>
      </c>
      <c r="I16" s="11">
        <v>1.25</v>
      </c>
      <c r="J16" s="11">
        <v>3.65</v>
      </c>
      <c r="K16" s="12">
        <f t="shared" si="0"/>
        <v>8.2538517975055029E-2</v>
      </c>
      <c r="L16" s="12">
        <f t="shared" si="1"/>
        <v>0.24101247248716068</v>
      </c>
      <c r="M16" s="10">
        <v>1</v>
      </c>
      <c r="N16" s="10">
        <v>7</v>
      </c>
      <c r="O16" s="10">
        <v>74</v>
      </c>
      <c r="P16" s="10">
        <v>3.1</v>
      </c>
      <c r="Q16" s="10">
        <v>16</v>
      </c>
      <c r="R16" s="11">
        <v>6.74</v>
      </c>
      <c r="S16" s="6">
        <v>3</v>
      </c>
      <c r="T16" s="6"/>
      <c r="U16" s="6">
        <v>8</v>
      </c>
      <c r="V16" s="7" t="b">
        <v>0</v>
      </c>
      <c r="W16" s="8">
        <f>IFERROR(VLOOKUP(D16,Teams!$B$2:$I$21,6,FALSE),"")</f>
        <v>0</v>
      </c>
      <c r="X16" s="2" t="s">
        <v>65</v>
      </c>
      <c r="Y16" s="13"/>
      <c r="Z16" s="14"/>
      <c r="AA16" s="15">
        <f>IFERROR(H16/(H16+Priors!$G$3),0)</f>
        <v>0.57680914092255609</v>
      </c>
      <c r="AB16" s="16">
        <f>VLOOKUP(E16,Priors!$A$3:$C$6,2,FALSE)</f>
        <v>0.15714383234350468</v>
      </c>
      <c r="AC16" s="16">
        <f>VLOOKUP(E16,Priors!$A$3:$C$6,3,FALSE)</f>
        <v>0.13222062939449797</v>
      </c>
      <c r="AD16" s="12">
        <f t="shared" si="2"/>
        <v>0.11411080505438201</v>
      </c>
      <c r="AE16" s="12">
        <f t="shared" si="3"/>
        <v>0.19497275894815827</v>
      </c>
      <c r="AF16" s="17">
        <v>1</v>
      </c>
      <c r="AG16" s="17">
        <v>1</v>
      </c>
      <c r="AH16" s="16">
        <f>IFERROR(VLOOKUP(D16,Teams!$B$2:$I$21,7,FALSE),1)</f>
        <v>1</v>
      </c>
      <c r="AI16" s="12">
        <f t="shared" si="4"/>
        <v>0.11411080505438201</v>
      </c>
      <c r="AJ16" s="12">
        <f t="shared" si="5"/>
        <v>0.19497275894815827</v>
      </c>
      <c r="AK16" s="6" t="s">
        <v>66</v>
      </c>
      <c r="AL16" s="18"/>
      <c r="AM16" s="23"/>
      <c r="AN16" s="24">
        <v>0.03</v>
      </c>
      <c r="AO16" s="25" t="b">
        <v>1</v>
      </c>
      <c r="AP16" s="23" t="s">
        <v>113</v>
      </c>
      <c r="AQ16" s="25" t="b">
        <v>0</v>
      </c>
      <c r="AR16" s="23"/>
      <c r="AS16" s="23" t="s">
        <v>68</v>
      </c>
    </row>
    <row r="17" spans="1:45" ht="60">
      <c r="A17" s="6">
        <v>16</v>
      </c>
      <c r="B17" s="6" t="s">
        <v>114</v>
      </c>
      <c r="C17" s="6" t="s">
        <v>115</v>
      </c>
      <c r="D17" s="6" t="s">
        <v>64</v>
      </c>
      <c r="E17" s="6" t="s">
        <v>11</v>
      </c>
      <c r="F17" s="9">
        <v>6.5</v>
      </c>
      <c r="G17" s="9">
        <v>6.5</v>
      </c>
      <c r="H17" s="10">
        <v>1205</v>
      </c>
      <c r="I17" s="11">
        <v>1.23</v>
      </c>
      <c r="J17" s="11">
        <v>2.86</v>
      </c>
      <c r="K17" s="12">
        <f t="shared" si="0"/>
        <v>9.1867219917012452E-2</v>
      </c>
      <c r="L17" s="12">
        <f t="shared" si="1"/>
        <v>0.21360995850622405</v>
      </c>
      <c r="M17" s="10">
        <v>3</v>
      </c>
      <c r="N17" s="10">
        <v>1</v>
      </c>
      <c r="O17" s="10">
        <v>72</v>
      </c>
      <c r="P17" s="10">
        <v>2.8</v>
      </c>
      <c r="Q17" s="10">
        <v>16</v>
      </c>
      <c r="R17" s="11">
        <v>5.23</v>
      </c>
      <c r="S17" s="6"/>
      <c r="T17" s="6"/>
      <c r="U17" s="6">
        <v>7</v>
      </c>
      <c r="V17" s="7" t="b">
        <v>0</v>
      </c>
      <c r="W17" s="8">
        <f>IFERROR(VLOOKUP(D17,Teams!$B$2:$I$21,6,FALSE),"")</f>
        <v>0</v>
      </c>
      <c r="X17" s="2" t="s">
        <v>65</v>
      </c>
      <c r="Y17" s="13"/>
      <c r="Z17" s="14"/>
      <c r="AA17" s="15">
        <f>IFERROR(H17/(H17+Priors!$G$3),0)</f>
        <v>0.54648526077097503</v>
      </c>
      <c r="AB17" s="16">
        <f>VLOOKUP(E17,Priors!$A$3:$C$6,2,FALSE)</f>
        <v>0.15714383234350468</v>
      </c>
      <c r="AC17" s="16">
        <f>VLOOKUP(E17,Priors!$A$3:$C$6,3,FALSE)</f>
        <v>0.13222062939449797</v>
      </c>
      <c r="AD17" s="12">
        <f t="shared" si="2"/>
        <v>0.1214711257793672</v>
      </c>
      <c r="AE17" s="12">
        <f t="shared" si="3"/>
        <v>0.1766986981380943</v>
      </c>
      <c r="AF17" s="17">
        <v>1</v>
      </c>
      <c r="AG17" s="17">
        <v>1</v>
      </c>
      <c r="AH17" s="16">
        <f>IFERROR(VLOOKUP(D17,Teams!$B$2:$I$21,7,FALSE),1)</f>
        <v>1</v>
      </c>
      <c r="AI17" s="12">
        <f t="shared" si="4"/>
        <v>0.1214711257793672</v>
      </c>
      <c r="AJ17" s="12">
        <f t="shared" si="5"/>
        <v>0.1766986981380943</v>
      </c>
      <c r="AK17" s="6" t="s">
        <v>66</v>
      </c>
      <c r="AL17" s="18"/>
      <c r="AM17" s="23"/>
      <c r="AN17" s="24">
        <v>4.0000000000000001E-3</v>
      </c>
      <c r="AO17" s="25" t="b">
        <v>1</v>
      </c>
      <c r="AP17" s="23" t="s">
        <v>116</v>
      </c>
      <c r="AQ17" s="25" t="b">
        <v>0</v>
      </c>
      <c r="AR17" s="23"/>
      <c r="AS17" s="23" t="s">
        <v>68</v>
      </c>
    </row>
    <row r="18" spans="1:45" ht="60">
      <c r="A18" s="6">
        <v>17</v>
      </c>
      <c r="B18" s="6" t="s">
        <v>117</v>
      </c>
      <c r="C18" s="6" t="s">
        <v>118</v>
      </c>
      <c r="D18" s="6" t="s">
        <v>64</v>
      </c>
      <c r="E18" s="6" t="s">
        <v>11</v>
      </c>
      <c r="F18" s="9">
        <v>6</v>
      </c>
      <c r="G18" s="9">
        <v>6</v>
      </c>
      <c r="H18" s="10">
        <v>1024</v>
      </c>
      <c r="I18" s="11">
        <v>3.36</v>
      </c>
      <c r="J18" s="11">
        <v>1.45</v>
      </c>
      <c r="K18" s="12">
        <f t="shared" si="0"/>
        <v>0.29531249999999998</v>
      </c>
      <c r="L18" s="12">
        <f t="shared" si="1"/>
        <v>0.12744140625</v>
      </c>
      <c r="M18" s="10">
        <v>4</v>
      </c>
      <c r="N18" s="10">
        <v>3</v>
      </c>
      <c r="O18" s="10">
        <v>67</v>
      </c>
      <c r="P18" s="10">
        <v>3</v>
      </c>
      <c r="Q18" s="10">
        <v>10</v>
      </c>
      <c r="R18" s="11">
        <v>9.93</v>
      </c>
      <c r="S18" s="6"/>
      <c r="T18" s="6"/>
      <c r="U18" s="6"/>
      <c r="V18" s="7" t="b">
        <v>0</v>
      </c>
      <c r="W18" s="8">
        <f>IFERROR(VLOOKUP(D18,Teams!$B$2:$I$21,6,FALSE),"")</f>
        <v>0</v>
      </c>
      <c r="X18" s="2" t="s">
        <v>65</v>
      </c>
      <c r="Y18" s="13"/>
      <c r="Z18" s="14"/>
      <c r="AA18" s="15">
        <f>IFERROR(H18/(H18+Priors!$G$3),0)</f>
        <v>0.50592885375494068</v>
      </c>
      <c r="AB18" s="16">
        <f>VLOOKUP(E18,Priors!$A$3:$C$6,2,FALSE)</f>
        <v>0.15714383234350468</v>
      </c>
      <c r="AC18" s="16">
        <f>VLOOKUP(E18,Priors!$A$3:$C$6,3,FALSE)</f>
        <v>0.13222062939449797</v>
      </c>
      <c r="AD18" s="12">
        <f t="shared" si="2"/>
        <v>0.22704734799580267</v>
      </c>
      <c r="AE18" s="12">
        <f t="shared" si="3"/>
        <v>0.12980268250716304</v>
      </c>
      <c r="AF18" s="17">
        <v>1</v>
      </c>
      <c r="AG18" s="17">
        <v>1</v>
      </c>
      <c r="AH18" s="16">
        <f>IFERROR(VLOOKUP(D18,Teams!$B$2:$I$21,7,FALSE),1)</f>
        <v>1</v>
      </c>
      <c r="AI18" s="12">
        <f t="shared" si="4"/>
        <v>0.22704734799580267</v>
      </c>
      <c r="AJ18" s="12">
        <f t="shared" si="5"/>
        <v>0.12980268250716304</v>
      </c>
      <c r="AK18" s="6" t="s">
        <v>66</v>
      </c>
      <c r="AL18" s="18"/>
      <c r="AM18" s="23"/>
      <c r="AN18" s="24">
        <v>1.2E-2</v>
      </c>
      <c r="AO18" s="25" t="b">
        <v>1</v>
      </c>
      <c r="AP18" s="23" t="s">
        <v>119</v>
      </c>
      <c r="AQ18" s="25" t="b">
        <v>0</v>
      </c>
      <c r="AR18" s="23"/>
      <c r="AS18" s="23" t="s">
        <v>68</v>
      </c>
    </row>
    <row r="19" spans="1:45" ht="60">
      <c r="A19" s="6">
        <v>18</v>
      </c>
      <c r="B19" s="6" t="s">
        <v>120</v>
      </c>
      <c r="C19" s="6" t="s">
        <v>121</v>
      </c>
      <c r="D19" s="6" t="s">
        <v>64</v>
      </c>
      <c r="E19" s="6" t="s">
        <v>11</v>
      </c>
      <c r="F19" s="9">
        <v>6.5</v>
      </c>
      <c r="G19" s="9">
        <v>6.5</v>
      </c>
      <c r="H19" s="10">
        <v>1065</v>
      </c>
      <c r="I19" s="11">
        <v>4.12</v>
      </c>
      <c r="J19" s="11">
        <v>1.27</v>
      </c>
      <c r="K19" s="12">
        <f t="shared" si="0"/>
        <v>0.34816901408450707</v>
      </c>
      <c r="L19" s="12">
        <f t="shared" si="1"/>
        <v>0.10732394366197183</v>
      </c>
      <c r="M19" s="10">
        <v>1</v>
      </c>
      <c r="N19" s="10">
        <v>5</v>
      </c>
      <c r="O19" s="10">
        <v>57</v>
      </c>
      <c r="P19" s="10">
        <v>1.9</v>
      </c>
      <c r="Q19" s="10">
        <v>11</v>
      </c>
      <c r="R19" s="11">
        <v>6.51</v>
      </c>
      <c r="S19" s="6"/>
      <c r="T19" s="6"/>
      <c r="U19" s="6"/>
      <c r="V19" s="7" t="b">
        <v>0</v>
      </c>
      <c r="W19" s="8">
        <f>IFERROR(VLOOKUP(D19,Teams!$B$2:$I$21,6,FALSE),"")</f>
        <v>0</v>
      </c>
      <c r="X19" s="2" t="s">
        <v>65</v>
      </c>
      <c r="Y19" s="13"/>
      <c r="Z19" s="14"/>
      <c r="AA19" s="15">
        <f>IFERROR(H19/(H19+Priors!$G$3),0)</f>
        <v>0.5157384987893463</v>
      </c>
      <c r="AB19" s="16">
        <f>VLOOKUP(E19,Priors!$A$3:$C$6,2,FALSE)</f>
        <v>0.15714383234350468</v>
      </c>
      <c r="AC19" s="16">
        <f>VLOOKUP(E19,Priors!$A$3:$C$6,3,FALSE)</f>
        <v>0.13222062939449797</v>
      </c>
      <c r="AD19" s="12">
        <f t="shared" si="2"/>
        <v>0.25566287280557132</v>
      </c>
      <c r="AE19" s="12">
        <f t="shared" si="3"/>
        <v>0.1193804500699748</v>
      </c>
      <c r="AF19" s="17">
        <v>1</v>
      </c>
      <c r="AG19" s="17">
        <v>1</v>
      </c>
      <c r="AH19" s="16">
        <f>IFERROR(VLOOKUP(D19,Teams!$B$2:$I$21,7,FALSE),1)</f>
        <v>1</v>
      </c>
      <c r="AI19" s="12">
        <f t="shared" si="4"/>
        <v>0.25566287280557132</v>
      </c>
      <c r="AJ19" s="12">
        <f t="shared" si="5"/>
        <v>0.1193804500699748</v>
      </c>
      <c r="AK19" s="6" t="s">
        <v>66</v>
      </c>
      <c r="AL19" s="18"/>
      <c r="AM19" s="23"/>
      <c r="AN19" s="24">
        <v>3.0000000000000001E-3</v>
      </c>
      <c r="AO19" s="25" t="b">
        <v>1</v>
      </c>
      <c r="AP19" s="23" t="s">
        <v>122</v>
      </c>
      <c r="AQ19" s="25" t="b">
        <v>0</v>
      </c>
      <c r="AR19" s="23"/>
      <c r="AS19" s="23" t="s">
        <v>68</v>
      </c>
    </row>
    <row r="20" spans="1:45" ht="60">
      <c r="A20" s="6">
        <v>19</v>
      </c>
      <c r="B20" s="6" t="s">
        <v>123</v>
      </c>
      <c r="C20" s="6" t="s">
        <v>124</v>
      </c>
      <c r="D20" s="6" t="s">
        <v>64</v>
      </c>
      <c r="E20" s="6" t="s">
        <v>11</v>
      </c>
      <c r="F20" s="9">
        <v>5.5</v>
      </c>
      <c r="G20" s="9">
        <v>5.5</v>
      </c>
      <c r="H20" s="10">
        <v>2991</v>
      </c>
      <c r="I20" s="11">
        <v>2.84</v>
      </c>
      <c r="J20" s="11">
        <v>2.27</v>
      </c>
      <c r="K20" s="12">
        <f t="shared" si="0"/>
        <v>8.5456369107321961E-2</v>
      </c>
      <c r="L20" s="12">
        <f t="shared" si="1"/>
        <v>6.8304914744232698E-2</v>
      </c>
      <c r="M20" s="10">
        <v>5</v>
      </c>
      <c r="N20" s="10">
        <v>1</v>
      </c>
      <c r="O20" s="10">
        <v>133</v>
      </c>
      <c r="P20" s="10">
        <v>3.5</v>
      </c>
      <c r="Q20" s="10">
        <v>34</v>
      </c>
      <c r="R20" s="11">
        <v>9.24</v>
      </c>
      <c r="S20" s="6"/>
      <c r="T20" s="6"/>
      <c r="U20" s="6"/>
      <c r="V20" s="7" t="b">
        <v>0</v>
      </c>
      <c r="W20" s="8">
        <f>IFERROR(VLOOKUP(D20,Teams!$B$2:$I$21,6,FALSE),"")</f>
        <v>0</v>
      </c>
      <c r="X20" s="2" t="s">
        <v>65</v>
      </c>
      <c r="Y20" s="13"/>
      <c r="Z20" s="14"/>
      <c r="AA20" s="15">
        <f>IFERROR(H20/(H20+Priors!$G$3),0)</f>
        <v>0.74943623152092209</v>
      </c>
      <c r="AB20" s="16">
        <f>VLOOKUP(E20,Priors!$A$3:$C$6,2,FALSE)</f>
        <v>0.15714383234350468</v>
      </c>
      <c r="AC20" s="16">
        <f>VLOOKUP(E20,Priors!$A$3:$C$6,3,FALSE)</f>
        <v>0.13222062939449797</v>
      </c>
      <c r="AD20" s="12">
        <f t="shared" si="2"/>
        <v>0.10341865004848524</v>
      </c>
      <c r="AE20" s="12">
        <f t="shared" si="3"/>
        <v>8.4319877072036573E-2</v>
      </c>
      <c r="AF20" s="17">
        <v>1</v>
      </c>
      <c r="AG20" s="17">
        <v>1</v>
      </c>
      <c r="AH20" s="16">
        <f>IFERROR(VLOOKUP(D20,Teams!$B$2:$I$21,7,FALSE),1)</f>
        <v>1</v>
      </c>
      <c r="AI20" s="12">
        <f t="shared" si="4"/>
        <v>0.10341865004848524</v>
      </c>
      <c r="AJ20" s="12">
        <f t="shared" si="5"/>
        <v>8.4319877072036573E-2</v>
      </c>
      <c r="AK20" s="6" t="s">
        <v>66</v>
      </c>
      <c r="AL20" s="18"/>
      <c r="AM20" s="23"/>
      <c r="AN20" s="24">
        <v>1.4999999999999999E-2</v>
      </c>
      <c r="AO20" s="25" t="b">
        <v>1</v>
      </c>
      <c r="AP20" s="23" t="s">
        <v>125</v>
      </c>
      <c r="AQ20" s="25" t="b">
        <v>0</v>
      </c>
      <c r="AR20" s="23"/>
      <c r="AS20" s="23" t="s">
        <v>68</v>
      </c>
    </row>
    <row r="21" spans="1:45" ht="60">
      <c r="A21" s="6">
        <v>20</v>
      </c>
      <c r="B21" s="6" t="s">
        <v>126</v>
      </c>
      <c r="C21" s="6" t="s">
        <v>127</v>
      </c>
      <c r="D21" s="6" t="s">
        <v>64</v>
      </c>
      <c r="E21" s="6" t="s">
        <v>11</v>
      </c>
      <c r="F21" s="9">
        <v>5.5</v>
      </c>
      <c r="G21" s="9">
        <v>5.5</v>
      </c>
      <c r="H21" s="10">
        <v>152</v>
      </c>
      <c r="I21" s="11">
        <v>1.19</v>
      </c>
      <c r="J21" s="11">
        <v>0.3</v>
      </c>
      <c r="K21" s="12">
        <f t="shared" si="0"/>
        <v>0.70460526315789473</v>
      </c>
      <c r="L21" s="12">
        <f t="shared" si="1"/>
        <v>0.17763157894736842</v>
      </c>
      <c r="M21" s="10">
        <v>1</v>
      </c>
      <c r="N21" s="10">
        <v>1</v>
      </c>
      <c r="O21" s="10">
        <v>16</v>
      </c>
      <c r="P21" s="10">
        <v>2.7</v>
      </c>
      <c r="Q21" s="10">
        <v>1</v>
      </c>
      <c r="R21" s="11">
        <v>9.4700000000000006</v>
      </c>
      <c r="S21" s="6"/>
      <c r="T21" s="6"/>
      <c r="U21" s="6"/>
      <c r="V21" s="7" t="b">
        <v>1</v>
      </c>
      <c r="W21" s="8">
        <f>IFERROR(VLOOKUP(D21,Teams!$B$2:$I$21,6,FALSE),"")</f>
        <v>0</v>
      </c>
      <c r="X21" s="2" t="s">
        <v>65</v>
      </c>
      <c r="Y21" s="13"/>
      <c r="Z21" s="14"/>
      <c r="AA21" s="15">
        <f>IFERROR(H21/(H21+Priors!$G$3),0)</f>
        <v>0.13194444444444445</v>
      </c>
      <c r="AB21" s="16">
        <f>VLOOKUP(E21,Priors!$A$3:$C$6,2,FALSE)</f>
        <v>0.15714383234350468</v>
      </c>
      <c r="AC21" s="16">
        <f>VLOOKUP(E21,Priors!$A$3:$C$6,3,FALSE)</f>
        <v>0.13222062939449797</v>
      </c>
      <c r="AD21" s="12">
        <f t="shared" si="2"/>
        <v>0.22937832668707003</v>
      </c>
      <c r="AE21" s="12">
        <f t="shared" si="3"/>
        <v>0.13821235190494616</v>
      </c>
      <c r="AF21" s="17">
        <v>1</v>
      </c>
      <c r="AG21" s="17">
        <v>1</v>
      </c>
      <c r="AH21" s="16">
        <f>IFERROR(VLOOKUP(D21,Teams!$B$2:$I$21,7,FALSE),1)</f>
        <v>1</v>
      </c>
      <c r="AI21" s="12">
        <f t="shared" si="4"/>
        <v>0.22937832668707003</v>
      </c>
      <c r="AJ21" s="12">
        <f t="shared" si="5"/>
        <v>0.13821235190494616</v>
      </c>
      <c r="AK21" s="6" t="s">
        <v>66</v>
      </c>
      <c r="AL21" s="18"/>
      <c r="AM21" s="23"/>
      <c r="AN21" s="24">
        <v>2E-3</v>
      </c>
      <c r="AO21" s="25" t="b">
        <v>1</v>
      </c>
      <c r="AP21" s="23" t="s">
        <v>65</v>
      </c>
      <c r="AQ21" s="25" t="b">
        <v>0</v>
      </c>
      <c r="AR21" s="23"/>
      <c r="AS21" s="23" t="s">
        <v>68</v>
      </c>
    </row>
    <row r="22" spans="1:45" ht="60">
      <c r="A22" s="6">
        <v>21</v>
      </c>
      <c r="B22" s="6" t="s">
        <v>128</v>
      </c>
      <c r="C22" s="6" t="s">
        <v>129</v>
      </c>
      <c r="D22" s="6" t="s">
        <v>64</v>
      </c>
      <c r="E22" s="6" t="s">
        <v>11</v>
      </c>
      <c r="F22" s="9">
        <v>5</v>
      </c>
      <c r="G22" s="9">
        <v>5</v>
      </c>
      <c r="H22" s="10">
        <v>101</v>
      </c>
      <c r="I22" s="11">
        <v>0.08</v>
      </c>
      <c r="J22" s="11">
        <v>0.04</v>
      </c>
      <c r="K22" s="12">
        <f t="shared" si="0"/>
        <v>7.1287128712871295E-2</v>
      </c>
      <c r="L22" s="12">
        <f t="shared" si="1"/>
        <v>3.5643564356435647E-2</v>
      </c>
      <c r="M22" s="10">
        <v>0</v>
      </c>
      <c r="N22" s="10">
        <v>0</v>
      </c>
      <c r="O22" s="10">
        <v>7</v>
      </c>
      <c r="P22" s="10">
        <v>1</v>
      </c>
      <c r="Q22" s="10">
        <v>1</v>
      </c>
      <c r="R22" s="11">
        <v>14.26</v>
      </c>
      <c r="S22" s="6"/>
      <c r="T22" s="6"/>
      <c r="U22" s="6"/>
      <c r="V22" s="7" t="b">
        <v>0</v>
      </c>
      <c r="W22" s="8">
        <f>IFERROR(VLOOKUP(D22,Teams!$B$2:$I$21,6,FALSE),"")</f>
        <v>0</v>
      </c>
      <c r="X22" s="2" t="s">
        <v>65</v>
      </c>
      <c r="Y22" s="13"/>
      <c r="Z22" s="14"/>
      <c r="AA22" s="15">
        <f>IFERROR(H22/(H22+Priors!$G$3),0)</f>
        <v>9.1734786557674836E-2</v>
      </c>
      <c r="AB22" s="16">
        <f>VLOOKUP(E22,Priors!$A$3:$C$6,2,FALSE)</f>
        <v>0.15714383234350468</v>
      </c>
      <c r="AC22" s="16">
        <f>VLOOKUP(E22,Priors!$A$3:$C$6,3,FALSE)</f>
        <v>0.13222062939449797</v>
      </c>
      <c r="AD22" s="12">
        <f t="shared" si="2"/>
        <v>0.149267785961403</v>
      </c>
      <c r="AE22" s="12">
        <f t="shared" si="3"/>
        <v>0.12336115294686464</v>
      </c>
      <c r="AF22" s="17">
        <v>1</v>
      </c>
      <c r="AG22" s="17">
        <v>1</v>
      </c>
      <c r="AH22" s="16">
        <f>IFERROR(VLOOKUP(D22,Teams!$B$2:$I$21,7,FALSE),1)</f>
        <v>1</v>
      </c>
      <c r="AI22" s="12">
        <f t="shared" si="4"/>
        <v>0.149267785961403</v>
      </c>
      <c r="AJ22" s="12">
        <f t="shared" si="5"/>
        <v>0.12336115294686464</v>
      </c>
      <c r="AK22" s="6" t="s">
        <v>66</v>
      </c>
      <c r="AL22" s="18"/>
      <c r="AM22" s="23"/>
      <c r="AN22" s="24">
        <v>3.0000000000000001E-3</v>
      </c>
      <c r="AO22" s="25" t="b">
        <v>1</v>
      </c>
      <c r="AP22" s="23" t="s">
        <v>130</v>
      </c>
      <c r="AQ22" s="25" t="b">
        <v>0</v>
      </c>
      <c r="AR22" s="23"/>
      <c r="AS22" s="23" t="s">
        <v>68</v>
      </c>
    </row>
    <row r="23" spans="1:45" ht="60">
      <c r="A23" s="6">
        <v>22</v>
      </c>
      <c r="B23" s="6" t="s">
        <v>131</v>
      </c>
      <c r="C23" s="6" t="s">
        <v>132</v>
      </c>
      <c r="D23" s="6" t="s">
        <v>64</v>
      </c>
      <c r="E23" s="6" t="s">
        <v>11</v>
      </c>
      <c r="F23" s="9">
        <v>5.5</v>
      </c>
      <c r="G23" s="9">
        <v>5.5</v>
      </c>
      <c r="H23" s="10">
        <v>165</v>
      </c>
      <c r="I23" s="11">
        <v>0.23</v>
      </c>
      <c r="J23" s="11">
        <v>0.08</v>
      </c>
      <c r="K23" s="12">
        <f t="shared" si="0"/>
        <v>0.12545454545454546</v>
      </c>
      <c r="L23" s="12">
        <f t="shared" si="1"/>
        <v>4.363636363636364E-2</v>
      </c>
      <c r="M23" s="10">
        <v>0</v>
      </c>
      <c r="N23" s="10">
        <v>0</v>
      </c>
      <c r="O23" s="10">
        <v>8</v>
      </c>
      <c r="P23" s="10">
        <v>1.3</v>
      </c>
      <c r="Q23" s="10">
        <v>0</v>
      </c>
      <c r="R23" s="11">
        <v>7.09</v>
      </c>
      <c r="S23" s="6"/>
      <c r="T23" s="6"/>
      <c r="U23" s="6"/>
      <c r="V23" s="7" t="b">
        <v>0</v>
      </c>
      <c r="W23" s="8">
        <f>IFERROR(VLOOKUP(D23,Teams!$B$2:$I$21,6,FALSE),"")</f>
        <v>0</v>
      </c>
      <c r="X23" s="2" t="s">
        <v>65</v>
      </c>
      <c r="Y23" s="13"/>
      <c r="Z23" s="14"/>
      <c r="AA23" s="15">
        <f>IFERROR(H23/(H23+Priors!$G$3),0)</f>
        <v>0.14163090128755365</v>
      </c>
      <c r="AB23" s="16">
        <f>VLOOKUP(E23,Priors!$A$3:$C$6,2,FALSE)</f>
        <v>0.15714383234350468</v>
      </c>
      <c r="AC23" s="16">
        <f>VLOOKUP(E23,Priors!$A$3:$C$6,3,FALSE)</f>
        <v>0.13222062939449797</v>
      </c>
      <c r="AD23" s="12">
        <f t="shared" si="2"/>
        <v>0.15265565008026155</v>
      </c>
      <c r="AE23" s="12">
        <f t="shared" si="3"/>
        <v>0.11967435999527723</v>
      </c>
      <c r="AF23" s="17">
        <v>1</v>
      </c>
      <c r="AG23" s="17">
        <v>1</v>
      </c>
      <c r="AH23" s="16">
        <f>IFERROR(VLOOKUP(D23,Teams!$B$2:$I$21,7,FALSE),1)</f>
        <v>1</v>
      </c>
      <c r="AI23" s="12">
        <f t="shared" si="4"/>
        <v>0.15265565008026155</v>
      </c>
      <c r="AJ23" s="12">
        <f t="shared" si="5"/>
        <v>0.11967435999527723</v>
      </c>
      <c r="AK23" s="6" t="s">
        <v>66</v>
      </c>
      <c r="AL23" s="18"/>
      <c r="AM23" s="23"/>
      <c r="AN23" s="24">
        <v>0</v>
      </c>
      <c r="AO23" s="25" t="b">
        <v>1</v>
      </c>
      <c r="AP23" s="23" t="s">
        <v>133</v>
      </c>
      <c r="AQ23" s="25" t="b">
        <v>0</v>
      </c>
      <c r="AR23" s="23"/>
      <c r="AS23" s="23" t="s">
        <v>68</v>
      </c>
    </row>
    <row r="24" spans="1:45" ht="60">
      <c r="A24" s="6">
        <v>23</v>
      </c>
      <c r="B24" s="6" t="s">
        <v>134</v>
      </c>
      <c r="C24" s="6" t="s">
        <v>134</v>
      </c>
      <c r="D24" s="6" t="s">
        <v>64</v>
      </c>
      <c r="E24" s="6" t="s">
        <v>11</v>
      </c>
      <c r="F24" s="9">
        <v>5.5</v>
      </c>
      <c r="G24" s="9">
        <v>5.5</v>
      </c>
      <c r="H24" s="10">
        <v>0</v>
      </c>
      <c r="I24" s="11">
        <v>0</v>
      </c>
      <c r="J24" s="11">
        <v>0</v>
      </c>
      <c r="K24" s="12">
        <f t="shared" si="0"/>
        <v>0</v>
      </c>
      <c r="L24" s="12">
        <f t="shared" si="1"/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>
        <v>0</v>
      </c>
      <c r="S24" s="6"/>
      <c r="T24" s="6"/>
      <c r="U24" s="6"/>
      <c r="V24" s="7" t="b">
        <v>0</v>
      </c>
      <c r="W24" s="8">
        <f>IFERROR(VLOOKUP(D24,Teams!$B$2:$I$21,6,FALSE),"")</f>
        <v>0</v>
      </c>
      <c r="X24" s="2" t="s">
        <v>65</v>
      </c>
      <c r="Y24" s="13"/>
      <c r="Z24" s="14"/>
      <c r="AA24" s="15">
        <f>IFERROR(H24/(H24+Priors!$G$3),0)</f>
        <v>0</v>
      </c>
      <c r="AB24" s="16">
        <f>VLOOKUP(E24,Priors!$A$3:$C$6,2,FALSE)</f>
        <v>0.15714383234350468</v>
      </c>
      <c r="AC24" s="16">
        <f>VLOOKUP(E24,Priors!$A$3:$C$6,3,FALSE)</f>
        <v>0.13222062939449797</v>
      </c>
      <c r="AD24" s="12">
        <f t="shared" si="2"/>
        <v>0.15714383234350468</v>
      </c>
      <c r="AE24" s="12">
        <f t="shared" si="3"/>
        <v>0.13222062939449797</v>
      </c>
      <c r="AF24" s="17">
        <v>1</v>
      </c>
      <c r="AG24" s="17">
        <v>1</v>
      </c>
      <c r="AH24" s="16">
        <f>IFERROR(VLOOKUP(D24,Teams!$B$2:$I$21,7,FALSE),1)</f>
        <v>1</v>
      </c>
      <c r="AI24" s="12">
        <f t="shared" si="4"/>
        <v>0.15714383234350468</v>
      </c>
      <c r="AJ24" s="12">
        <f t="shared" si="5"/>
        <v>0.13222062939449797</v>
      </c>
      <c r="AK24" s="6" t="s">
        <v>66</v>
      </c>
      <c r="AL24" s="18"/>
      <c r="AM24" s="23"/>
      <c r="AN24" s="24">
        <v>0</v>
      </c>
      <c r="AO24" s="25" t="b">
        <v>1</v>
      </c>
      <c r="AP24" s="23" t="s">
        <v>135</v>
      </c>
      <c r="AQ24" s="25" t="b">
        <v>0</v>
      </c>
      <c r="AR24" s="23"/>
      <c r="AS24" s="23" t="s">
        <v>68</v>
      </c>
    </row>
    <row r="25" spans="1:45" ht="60">
      <c r="A25" s="6">
        <v>24</v>
      </c>
      <c r="B25" s="6" t="s">
        <v>136</v>
      </c>
      <c r="C25" s="6" t="s">
        <v>137</v>
      </c>
      <c r="D25" s="6" t="s">
        <v>64</v>
      </c>
      <c r="E25" s="6" t="s">
        <v>11</v>
      </c>
      <c r="F25" s="9">
        <v>5.5</v>
      </c>
      <c r="G25" s="9">
        <v>5.5</v>
      </c>
      <c r="H25" s="10">
        <v>118</v>
      </c>
      <c r="I25" s="11">
        <v>0.71</v>
      </c>
      <c r="J25" s="11">
        <v>0.11</v>
      </c>
      <c r="K25" s="12">
        <f t="shared" si="0"/>
        <v>0.54152542372881352</v>
      </c>
      <c r="L25" s="12">
        <f t="shared" si="1"/>
        <v>8.3898305084745772E-2</v>
      </c>
      <c r="M25" s="10">
        <v>0</v>
      </c>
      <c r="N25" s="10">
        <v>1</v>
      </c>
      <c r="O25" s="10">
        <v>13</v>
      </c>
      <c r="P25" s="10">
        <v>1.3</v>
      </c>
      <c r="Q25" s="10">
        <v>0</v>
      </c>
      <c r="R25" s="11">
        <v>17.54</v>
      </c>
      <c r="S25" s="6"/>
      <c r="T25" s="6"/>
      <c r="U25" s="6"/>
      <c r="V25" s="7" t="b">
        <v>0</v>
      </c>
      <c r="W25" s="8">
        <f>IFERROR(VLOOKUP(D25,Teams!$B$2:$I$21,6,FALSE),"")</f>
        <v>0</v>
      </c>
      <c r="X25" s="2" t="s">
        <v>65</v>
      </c>
      <c r="Y25" s="13"/>
      <c r="Z25" s="14"/>
      <c r="AA25" s="15">
        <f>IFERROR(H25/(H25+Priors!$G$3),0)</f>
        <v>0.10554561717352415</v>
      </c>
      <c r="AB25" s="16">
        <f>VLOOKUP(E25,Priors!$A$3:$C$6,2,FALSE)</f>
        <v>0.15714383234350468</v>
      </c>
      <c r="AC25" s="16">
        <f>VLOOKUP(E25,Priors!$A$3:$C$6,3,FALSE)</f>
        <v>0.13222062939449797</v>
      </c>
      <c r="AD25" s="12">
        <f t="shared" si="2"/>
        <v>0.19771362463640846</v>
      </c>
      <c r="AE25" s="12">
        <f t="shared" si="3"/>
        <v>0.12712041985196598</v>
      </c>
      <c r="AF25" s="17">
        <v>1</v>
      </c>
      <c r="AG25" s="17">
        <v>1</v>
      </c>
      <c r="AH25" s="16">
        <f>IFERROR(VLOOKUP(D25,Teams!$B$2:$I$21,7,FALSE),1)</f>
        <v>1</v>
      </c>
      <c r="AI25" s="12">
        <f t="shared" si="4"/>
        <v>0.19771362463640846</v>
      </c>
      <c r="AJ25" s="12">
        <f t="shared" si="5"/>
        <v>0.12712041985196598</v>
      </c>
      <c r="AK25" s="6" t="s">
        <v>66</v>
      </c>
      <c r="AL25" s="18"/>
      <c r="AM25" s="23"/>
      <c r="AN25" s="24">
        <v>0</v>
      </c>
      <c r="AO25" s="25" t="b">
        <v>1</v>
      </c>
      <c r="AP25" s="23" t="s">
        <v>138</v>
      </c>
      <c r="AQ25" s="25" t="b">
        <v>0</v>
      </c>
      <c r="AR25" s="23"/>
      <c r="AS25" s="23" t="s">
        <v>68</v>
      </c>
    </row>
    <row r="26" spans="1:45" ht="60">
      <c r="A26" s="6">
        <v>25</v>
      </c>
      <c r="B26" s="6" t="s">
        <v>139</v>
      </c>
      <c r="C26" s="6" t="s">
        <v>140</v>
      </c>
      <c r="D26" s="6" t="s">
        <v>64</v>
      </c>
      <c r="E26" s="6" t="s">
        <v>14</v>
      </c>
      <c r="F26" s="9">
        <v>7.5</v>
      </c>
      <c r="G26" s="9">
        <v>7.5</v>
      </c>
      <c r="H26" s="10">
        <v>2217</v>
      </c>
      <c r="I26" s="11">
        <v>12.26</v>
      </c>
      <c r="J26" s="11">
        <v>1.94</v>
      </c>
      <c r="K26" s="12">
        <f t="shared" si="0"/>
        <v>0.49769959404600816</v>
      </c>
      <c r="L26" s="12">
        <f t="shared" si="1"/>
        <v>7.8755074424898514E-2</v>
      </c>
      <c r="M26" s="10">
        <v>14</v>
      </c>
      <c r="N26" s="10">
        <v>1</v>
      </c>
      <c r="O26" s="10">
        <v>128</v>
      </c>
      <c r="P26" s="10">
        <v>3.6</v>
      </c>
      <c r="Q26" s="10">
        <v>26</v>
      </c>
      <c r="R26" s="11">
        <v>3.45</v>
      </c>
      <c r="S26" s="6">
        <v>2</v>
      </c>
      <c r="T26" s="6"/>
      <c r="U26" s="6"/>
      <c r="V26" s="7" t="b">
        <v>0</v>
      </c>
      <c r="W26" s="8">
        <f>IFERROR(VLOOKUP(D26,Teams!$B$2:$I$21,6,FALSE),"")</f>
        <v>0</v>
      </c>
      <c r="X26" s="2" t="s">
        <v>65</v>
      </c>
      <c r="Y26" s="13"/>
      <c r="Z26" s="14"/>
      <c r="AA26" s="15">
        <f>IFERROR(H26/(H26+Priors!$G$3),0)</f>
        <v>0.6891513832763444</v>
      </c>
      <c r="AB26" s="16">
        <f>VLOOKUP(E26,Priors!$A$3:$C$6,2,FALSE)</f>
        <v>0.44625207326425426</v>
      </c>
      <c r="AC26" s="16">
        <f>VLOOKUP(E26,Priors!$A$3:$C$6,3,FALSE)</f>
        <v>5.8217260259314105E-2</v>
      </c>
      <c r="AD26" s="12">
        <f t="shared" si="2"/>
        <v>0.48170720337713846</v>
      </c>
      <c r="AE26" s="12">
        <f t="shared" si="3"/>
        <v>7.2370923300999104E-2</v>
      </c>
      <c r="AF26" s="17">
        <v>1</v>
      </c>
      <c r="AG26" s="17">
        <v>1</v>
      </c>
      <c r="AH26" s="16">
        <f>IFERROR(VLOOKUP(D26,Teams!$B$2:$I$21,7,FALSE),1)</f>
        <v>1</v>
      </c>
      <c r="AI26" s="12">
        <f t="shared" si="4"/>
        <v>0.48170720337713846</v>
      </c>
      <c r="AJ26" s="12">
        <f t="shared" si="5"/>
        <v>7.2370923300999104E-2</v>
      </c>
      <c r="AK26" s="6" t="s">
        <v>66</v>
      </c>
      <c r="AL26" s="18"/>
      <c r="AM26" s="23"/>
      <c r="AN26" s="24">
        <v>0.13</v>
      </c>
      <c r="AO26" s="25" t="b">
        <v>1</v>
      </c>
      <c r="AP26" s="23" t="s">
        <v>141</v>
      </c>
      <c r="AQ26" s="25" t="b">
        <v>0</v>
      </c>
      <c r="AR26" s="23"/>
      <c r="AS26" s="23" t="s">
        <v>68</v>
      </c>
    </row>
    <row r="27" spans="1:45" ht="60">
      <c r="A27" s="6">
        <v>26</v>
      </c>
      <c r="B27" s="6" t="s">
        <v>142</v>
      </c>
      <c r="C27" s="6" t="s">
        <v>143</v>
      </c>
      <c r="D27" s="6" t="s">
        <v>64</v>
      </c>
      <c r="E27" s="6" t="s">
        <v>14</v>
      </c>
      <c r="F27" s="9">
        <v>7.5</v>
      </c>
      <c r="G27" s="9">
        <v>7.5</v>
      </c>
      <c r="H27" s="10">
        <v>577</v>
      </c>
      <c r="I27" s="11">
        <v>3.31</v>
      </c>
      <c r="J27" s="11">
        <v>0.64</v>
      </c>
      <c r="K27" s="12">
        <f t="shared" si="0"/>
        <v>0.51629116117850948</v>
      </c>
      <c r="L27" s="12">
        <f t="shared" si="1"/>
        <v>9.9826689774696706E-2</v>
      </c>
      <c r="M27" s="10">
        <v>2</v>
      </c>
      <c r="N27" s="10">
        <v>3</v>
      </c>
      <c r="O27" s="10">
        <v>36</v>
      </c>
      <c r="P27" s="10">
        <v>3</v>
      </c>
      <c r="Q27" s="10">
        <v>7</v>
      </c>
      <c r="R27" s="11">
        <v>4.99</v>
      </c>
      <c r="S27" s="6"/>
      <c r="T27" s="6"/>
      <c r="U27" s="6"/>
      <c r="V27" s="7" t="b">
        <v>0</v>
      </c>
      <c r="W27" s="8">
        <f>IFERROR(VLOOKUP(D27,Teams!$B$2:$I$21,6,FALSE),"")</f>
        <v>0</v>
      </c>
      <c r="X27" s="2" t="s">
        <v>65</v>
      </c>
      <c r="Y27" s="13"/>
      <c r="Z27" s="14"/>
      <c r="AA27" s="15">
        <f>IFERROR(H27/(H27+Priors!$G$3),0)</f>
        <v>0.3658845909955612</v>
      </c>
      <c r="AB27" s="16">
        <f>VLOOKUP(E27,Priors!$A$3:$C$6,2,FALSE)</f>
        <v>0.44625207326425426</v>
      </c>
      <c r="AC27" s="16">
        <f>VLOOKUP(E27,Priors!$A$3:$C$6,3,FALSE)</f>
        <v>5.8217260259314105E-2</v>
      </c>
      <c r="AD27" s="12">
        <f t="shared" si="2"/>
        <v>0.47187829629946365</v>
      </c>
      <c r="AE27" s="12">
        <f t="shared" si="3"/>
        <v>7.3441509359108495E-2</v>
      </c>
      <c r="AF27" s="17">
        <v>1</v>
      </c>
      <c r="AG27" s="17">
        <v>1</v>
      </c>
      <c r="AH27" s="16">
        <f>IFERROR(VLOOKUP(D27,Teams!$B$2:$I$21,7,FALSE),1)</f>
        <v>1</v>
      </c>
      <c r="AI27" s="12">
        <f t="shared" si="4"/>
        <v>0.47187829629946365</v>
      </c>
      <c r="AJ27" s="12">
        <f t="shared" si="5"/>
        <v>7.3441509359108495E-2</v>
      </c>
      <c r="AK27" s="6" t="s">
        <v>66</v>
      </c>
      <c r="AL27" s="18"/>
      <c r="AM27" s="23"/>
      <c r="AN27" s="24">
        <v>0.04</v>
      </c>
      <c r="AO27" s="25" t="b">
        <v>1</v>
      </c>
      <c r="AP27" s="23" t="s">
        <v>144</v>
      </c>
      <c r="AQ27" s="25" t="b">
        <v>0</v>
      </c>
      <c r="AR27" s="23"/>
      <c r="AS27" s="23" t="s">
        <v>68</v>
      </c>
    </row>
    <row r="28" spans="1:45" ht="60">
      <c r="A28" s="6">
        <v>27</v>
      </c>
      <c r="B28" s="6" t="s">
        <v>145</v>
      </c>
      <c r="C28" s="6" t="s">
        <v>146</v>
      </c>
      <c r="D28" s="6" t="s">
        <v>64</v>
      </c>
      <c r="E28" s="6" t="s">
        <v>14</v>
      </c>
      <c r="F28" s="9">
        <v>6</v>
      </c>
      <c r="G28" s="9">
        <v>6</v>
      </c>
      <c r="H28" s="10">
        <v>418</v>
      </c>
      <c r="I28" s="11">
        <v>2.71</v>
      </c>
      <c r="J28" s="11">
        <v>0.26</v>
      </c>
      <c r="K28" s="12">
        <f t="shared" si="0"/>
        <v>0.58349282296650717</v>
      </c>
      <c r="L28" s="12">
        <f t="shared" si="1"/>
        <v>5.5980861244019145E-2</v>
      </c>
      <c r="M28" s="10">
        <v>3</v>
      </c>
      <c r="N28" s="10">
        <v>0</v>
      </c>
      <c r="O28" s="10">
        <v>24</v>
      </c>
      <c r="P28" s="10">
        <v>1.7</v>
      </c>
      <c r="Q28" s="10">
        <v>3</v>
      </c>
      <c r="R28" s="11">
        <v>6.46</v>
      </c>
      <c r="S28" s="6"/>
      <c r="T28" s="6"/>
      <c r="U28" s="6"/>
      <c r="V28" s="7" t="b">
        <v>0</v>
      </c>
      <c r="W28" s="8">
        <f>IFERROR(VLOOKUP(D28,Teams!$B$2:$I$21,6,FALSE),"")</f>
        <v>0</v>
      </c>
      <c r="X28" s="2" t="s">
        <v>65</v>
      </c>
      <c r="Y28" s="13"/>
      <c r="Z28" s="14"/>
      <c r="AA28" s="15">
        <f>IFERROR(H28/(H28+Priors!$G$3),0)</f>
        <v>0.29478138222849082</v>
      </c>
      <c r="AB28" s="16">
        <f>VLOOKUP(E28,Priors!$A$3:$C$6,2,FALSE)</f>
        <v>0.44625207326425426</v>
      </c>
      <c r="AC28" s="16">
        <f>VLOOKUP(E28,Priors!$A$3:$C$6,3,FALSE)</f>
        <v>5.8217260259314105E-2</v>
      </c>
      <c r="AD28" s="12">
        <f t="shared" si="2"/>
        <v>0.48670809115955871</v>
      </c>
      <c r="AE28" s="12">
        <f t="shared" si="3"/>
        <v>5.7558011466371017E-2</v>
      </c>
      <c r="AF28" s="17">
        <v>1</v>
      </c>
      <c r="AG28" s="17">
        <v>1</v>
      </c>
      <c r="AH28" s="16">
        <f>IFERROR(VLOOKUP(D28,Teams!$B$2:$I$21,7,FALSE),1)</f>
        <v>1</v>
      </c>
      <c r="AI28" s="12">
        <f t="shared" si="4"/>
        <v>0.48670809115955871</v>
      </c>
      <c r="AJ28" s="12">
        <f t="shared" si="5"/>
        <v>5.7558011466371017E-2</v>
      </c>
      <c r="AK28" s="6" t="s">
        <v>66</v>
      </c>
      <c r="AL28" s="18"/>
      <c r="AM28" s="23"/>
      <c r="AN28" s="24">
        <v>4.0000000000000001E-3</v>
      </c>
      <c r="AO28" s="25" t="b">
        <v>1</v>
      </c>
      <c r="AP28" s="23" t="s">
        <v>147</v>
      </c>
      <c r="AQ28" s="25" t="b">
        <v>0</v>
      </c>
      <c r="AR28" s="23"/>
      <c r="AS28" s="23" t="s">
        <v>68</v>
      </c>
    </row>
    <row r="29" spans="1:45" ht="60">
      <c r="A29" s="6">
        <v>557</v>
      </c>
      <c r="B29" s="6" t="s">
        <v>148</v>
      </c>
      <c r="C29" s="6" t="s">
        <v>149</v>
      </c>
      <c r="D29" s="6" t="s">
        <v>64</v>
      </c>
      <c r="E29" s="6" t="s">
        <v>11</v>
      </c>
      <c r="F29" s="9">
        <v>6.5</v>
      </c>
      <c r="G29" s="9">
        <v>6.5</v>
      </c>
      <c r="H29" s="10">
        <v>0</v>
      </c>
      <c r="I29" s="11">
        <v>0</v>
      </c>
      <c r="J29" s="11">
        <v>0</v>
      </c>
      <c r="K29" s="12">
        <f t="shared" si="0"/>
        <v>0</v>
      </c>
      <c r="L29" s="12">
        <f t="shared" si="1"/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1">
        <v>0</v>
      </c>
      <c r="S29" s="6"/>
      <c r="T29" s="6"/>
      <c r="U29" s="6"/>
      <c r="V29" s="7" t="b">
        <v>1</v>
      </c>
      <c r="W29" s="8">
        <f>IFERROR(VLOOKUP(D29,Teams!$B$2:$I$21,6,FALSE),"")</f>
        <v>0</v>
      </c>
      <c r="X29" s="2" t="s">
        <v>65</v>
      </c>
      <c r="Y29" s="13"/>
      <c r="Z29" s="14"/>
      <c r="AA29" s="15">
        <f>IFERROR(H29/(H29+Priors!$G$3),0)</f>
        <v>0</v>
      </c>
      <c r="AB29" s="16">
        <f>VLOOKUP(E29,Priors!$A$3:$C$6,2,FALSE)</f>
        <v>0.15714383234350468</v>
      </c>
      <c r="AC29" s="16">
        <f>VLOOKUP(E29,Priors!$A$3:$C$6,3,FALSE)</f>
        <v>0.13222062939449797</v>
      </c>
      <c r="AD29" s="12">
        <f t="shared" si="2"/>
        <v>0.15714383234350468</v>
      </c>
      <c r="AE29" s="12">
        <f t="shared" si="3"/>
        <v>0.13222062939449797</v>
      </c>
      <c r="AF29" s="17">
        <v>1</v>
      </c>
      <c r="AG29" s="17">
        <v>1</v>
      </c>
      <c r="AH29" s="16">
        <f>IFERROR(VLOOKUP(D29,Teams!$B$2:$I$21,7,FALSE),1)</f>
        <v>1</v>
      </c>
      <c r="AI29" s="12">
        <f t="shared" si="4"/>
        <v>0.15714383234350468</v>
      </c>
      <c r="AJ29" s="12">
        <f t="shared" si="5"/>
        <v>0.13222062939449797</v>
      </c>
      <c r="AK29" s="6" t="s">
        <v>66</v>
      </c>
      <c r="AL29" s="18"/>
      <c r="AM29" s="23"/>
      <c r="AN29" s="24">
        <v>1.7000000000000001E-2</v>
      </c>
      <c r="AO29" s="25" t="b">
        <v>1</v>
      </c>
      <c r="AP29" s="23" t="s">
        <v>150</v>
      </c>
      <c r="AQ29" s="25" t="b">
        <v>1</v>
      </c>
      <c r="AR29" s="23"/>
      <c r="AS29" s="23" t="s">
        <v>68</v>
      </c>
    </row>
    <row r="30" spans="1:45" ht="60">
      <c r="A30" s="6">
        <v>28</v>
      </c>
      <c r="B30" s="6" t="s">
        <v>151</v>
      </c>
      <c r="C30" s="6" t="s">
        <v>152</v>
      </c>
      <c r="D30" s="6" t="s">
        <v>153</v>
      </c>
      <c r="E30" s="6" t="s">
        <v>7</v>
      </c>
      <c r="F30" s="9">
        <v>5</v>
      </c>
      <c r="G30" s="9">
        <v>5</v>
      </c>
      <c r="H30" s="10">
        <v>2835</v>
      </c>
      <c r="I30" s="11">
        <v>0</v>
      </c>
      <c r="J30" s="11">
        <v>0.08</v>
      </c>
      <c r="K30" s="12">
        <f t="shared" si="0"/>
        <v>0</v>
      </c>
      <c r="L30" s="12">
        <f t="shared" si="1"/>
        <v>2.5396825396825397E-3</v>
      </c>
      <c r="M30" s="10">
        <v>0</v>
      </c>
      <c r="N30" s="10">
        <v>1</v>
      </c>
      <c r="O30" s="10">
        <v>120</v>
      </c>
      <c r="P30" s="10">
        <v>3.8</v>
      </c>
      <c r="Q30" s="10">
        <v>32</v>
      </c>
      <c r="R30" s="11">
        <v>0</v>
      </c>
      <c r="S30" s="6"/>
      <c r="T30" s="6"/>
      <c r="U30" s="6"/>
      <c r="V30" s="7" t="b">
        <v>0</v>
      </c>
      <c r="W30" s="8">
        <f>IFERROR(VLOOKUP(D30,Teams!$B$2:$I$21,6,FALSE),"")</f>
        <v>0</v>
      </c>
      <c r="X30" s="2" t="s">
        <v>65</v>
      </c>
      <c r="Y30" s="13"/>
      <c r="Z30" s="14"/>
      <c r="AA30" s="15">
        <f>IFERROR(H30/(H30+Priors!$G$3),0)</f>
        <v>0.73924380704041726</v>
      </c>
      <c r="AB30" s="16">
        <f>VLOOKUP(E30,Priors!$A$3:$C$6,2,FALSE)</f>
        <v>2.4013207263995197E-4</v>
      </c>
      <c r="AC30" s="16">
        <f>VLOOKUP(E30,Priors!$A$3:$C$6,3,FALSE)</f>
        <v>1.9810895992796044E-3</v>
      </c>
      <c r="AD30" s="12">
        <f t="shared" si="2"/>
        <v>6.2615925069087856E-5</v>
      </c>
      <c r="AE30" s="12">
        <f t="shared" si="3"/>
        <v>2.3940259711289712E-3</v>
      </c>
      <c r="AF30" s="17">
        <v>1</v>
      </c>
      <c r="AG30" s="17">
        <v>1</v>
      </c>
      <c r="AH30" s="16">
        <f>IFERROR(VLOOKUP(D30,Teams!$B$2:$I$21,7,FALSE),1)</f>
        <v>1</v>
      </c>
      <c r="AI30" s="12">
        <f t="shared" si="4"/>
        <v>6.2615925069087856E-5</v>
      </c>
      <c r="AJ30" s="12">
        <f t="shared" si="5"/>
        <v>2.3940259711289712E-3</v>
      </c>
      <c r="AK30" s="6" t="s">
        <v>66</v>
      </c>
      <c r="AL30" s="18"/>
      <c r="AM30" s="23"/>
      <c r="AN30" s="24">
        <v>4.5999999999999999E-2</v>
      </c>
      <c r="AO30" s="25" t="b">
        <v>1</v>
      </c>
      <c r="AP30" s="23" t="s">
        <v>154</v>
      </c>
      <c r="AQ30" s="25" t="b">
        <v>0</v>
      </c>
      <c r="AR30" s="23"/>
      <c r="AS30" s="23" t="s">
        <v>68</v>
      </c>
    </row>
    <row r="31" spans="1:45" ht="60">
      <c r="A31" s="6">
        <v>29</v>
      </c>
      <c r="B31" s="6" t="s">
        <v>155</v>
      </c>
      <c r="C31" s="6" t="s">
        <v>156</v>
      </c>
      <c r="D31" s="6" t="s">
        <v>153</v>
      </c>
      <c r="E31" s="6" t="s">
        <v>7</v>
      </c>
      <c r="F31" s="9">
        <v>4.5</v>
      </c>
      <c r="G31" s="9">
        <v>4.5</v>
      </c>
      <c r="H31" s="10">
        <v>585</v>
      </c>
      <c r="I31" s="11">
        <v>0</v>
      </c>
      <c r="J31" s="11">
        <v>0</v>
      </c>
      <c r="K31" s="12">
        <f t="shared" si="0"/>
        <v>0</v>
      </c>
      <c r="L31" s="12">
        <f t="shared" si="1"/>
        <v>0</v>
      </c>
      <c r="M31" s="10">
        <v>0</v>
      </c>
      <c r="N31" s="10">
        <v>0</v>
      </c>
      <c r="O31" s="10">
        <v>16</v>
      </c>
      <c r="P31" s="10">
        <v>2.2999999999999998</v>
      </c>
      <c r="Q31" s="10">
        <v>6</v>
      </c>
      <c r="R31" s="11">
        <v>0</v>
      </c>
      <c r="S31" s="6"/>
      <c r="T31" s="6"/>
      <c r="U31" s="6"/>
      <c r="V31" s="7" t="b">
        <v>0</v>
      </c>
      <c r="W31" s="8">
        <f>IFERROR(VLOOKUP(D31,Teams!$B$2:$I$21,6,FALSE),"")</f>
        <v>0</v>
      </c>
      <c r="X31" s="2" t="s">
        <v>65</v>
      </c>
      <c r="Y31" s="13"/>
      <c r="Z31" s="14"/>
      <c r="AA31" s="15">
        <f>IFERROR(H31/(H31+Priors!$G$3),0)</f>
        <v>0.36908517350157727</v>
      </c>
      <c r="AB31" s="16">
        <f>VLOOKUP(E31,Priors!$A$3:$C$6,2,FALSE)</f>
        <v>2.4013207263995197E-4</v>
      </c>
      <c r="AC31" s="16">
        <f>VLOOKUP(E31,Priors!$A$3:$C$6,3,FALSE)</f>
        <v>1.9810895992796044E-3</v>
      </c>
      <c r="AD31" s="12">
        <f t="shared" si="2"/>
        <v>1.5150288494634196E-4</v>
      </c>
      <c r="AE31" s="12">
        <f t="shared" si="3"/>
        <v>1.2498988008073214E-3</v>
      </c>
      <c r="AF31" s="17">
        <v>1</v>
      </c>
      <c r="AG31" s="17">
        <v>1</v>
      </c>
      <c r="AH31" s="16">
        <f>IFERROR(VLOOKUP(D31,Teams!$B$2:$I$21,7,FALSE),1)</f>
        <v>1</v>
      </c>
      <c r="AI31" s="12">
        <f t="shared" si="4"/>
        <v>1.5150288494634196E-4</v>
      </c>
      <c r="AJ31" s="12">
        <f t="shared" si="5"/>
        <v>1.2498988008073214E-3</v>
      </c>
      <c r="AK31" s="6" t="s">
        <v>66</v>
      </c>
      <c r="AL31" s="18"/>
      <c r="AM31" s="23"/>
      <c r="AN31" s="24">
        <v>1E-3</v>
      </c>
      <c r="AO31" s="25" t="b">
        <v>1</v>
      </c>
      <c r="AP31" s="23" t="s">
        <v>157</v>
      </c>
      <c r="AQ31" s="25" t="b">
        <v>0</v>
      </c>
      <c r="AR31" s="23"/>
      <c r="AS31" s="23" t="s">
        <v>68</v>
      </c>
    </row>
    <row r="32" spans="1:45" ht="60">
      <c r="A32" s="6">
        <v>30</v>
      </c>
      <c r="B32" s="6" t="s">
        <v>158</v>
      </c>
      <c r="C32" s="6" t="s">
        <v>159</v>
      </c>
      <c r="D32" s="6" t="s">
        <v>153</v>
      </c>
      <c r="E32" s="6" t="s">
        <v>9</v>
      </c>
      <c r="F32" s="9">
        <v>4.5</v>
      </c>
      <c r="G32" s="9">
        <v>4.5</v>
      </c>
      <c r="H32" s="10">
        <v>1842</v>
      </c>
      <c r="I32" s="11">
        <v>0.67</v>
      </c>
      <c r="J32" s="11">
        <v>3.28</v>
      </c>
      <c r="K32" s="12">
        <f t="shared" si="0"/>
        <v>3.2736156351791536E-2</v>
      </c>
      <c r="L32" s="12">
        <f t="shared" si="1"/>
        <v>0.16026058631921825</v>
      </c>
      <c r="M32" s="10">
        <v>0</v>
      </c>
      <c r="N32" s="10">
        <v>7</v>
      </c>
      <c r="O32" s="10">
        <v>97</v>
      </c>
      <c r="P32" s="10">
        <v>3.1</v>
      </c>
      <c r="Q32" s="10">
        <v>21</v>
      </c>
      <c r="R32" s="11">
        <v>5.52</v>
      </c>
      <c r="S32" s="6"/>
      <c r="T32" s="6"/>
      <c r="U32" s="6">
        <v>4</v>
      </c>
      <c r="V32" s="7" t="b">
        <v>0</v>
      </c>
      <c r="W32" s="8">
        <f>IFERROR(VLOOKUP(D32,Teams!$B$2:$I$21,6,FALSE),"")</f>
        <v>0</v>
      </c>
      <c r="X32" s="2" t="s">
        <v>65</v>
      </c>
      <c r="Y32" s="13"/>
      <c r="Z32" s="14"/>
      <c r="AA32" s="15">
        <f>IFERROR(H32/(H32+Priors!$G$3),0)</f>
        <v>0.64813511611541164</v>
      </c>
      <c r="AB32" s="16">
        <f>VLOOKUP(E32,Priors!$A$3:$C$6,2,FALSE)</f>
        <v>6.0081391379341341E-2</v>
      </c>
      <c r="AC32" s="16">
        <f>VLOOKUP(E32,Priors!$A$3:$C$6,3,FALSE)</f>
        <v>5.9588191961478354E-2</v>
      </c>
      <c r="AD32" s="12">
        <f t="shared" si="2"/>
        <v>4.2357984299557123E-2</v>
      </c>
      <c r="AE32" s="12">
        <f t="shared" si="3"/>
        <v>0.12483750596814862</v>
      </c>
      <c r="AF32" s="17">
        <v>1</v>
      </c>
      <c r="AG32" s="17">
        <v>1</v>
      </c>
      <c r="AH32" s="16">
        <f>IFERROR(VLOOKUP(D32,Teams!$B$2:$I$21,7,FALSE),1)</f>
        <v>1</v>
      </c>
      <c r="AI32" s="12">
        <f t="shared" si="4"/>
        <v>4.2357984299557123E-2</v>
      </c>
      <c r="AJ32" s="12">
        <f t="shared" si="5"/>
        <v>0.12483750596814862</v>
      </c>
      <c r="AK32" s="6" t="s">
        <v>66</v>
      </c>
      <c r="AL32" s="18"/>
      <c r="AM32" s="23"/>
      <c r="AN32" s="24">
        <v>1.3999999999999999E-2</v>
      </c>
      <c r="AO32" s="25" t="b">
        <v>1</v>
      </c>
      <c r="AP32" s="23" t="s">
        <v>160</v>
      </c>
      <c r="AQ32" s="25" t="b">
        <v>0</v>
      </c>
      <c r="AR32" s="23"/>
      <c r="AS32" s="23" t="s">
        <v>68</v>
      </c>
    </row>
    <row r="33" spans="1:45" ht="60">
      <c r="A33" s="6">
        <v>31</v>
      </c>
      <c r="B33" s="6" t="s">
        <v>161</v>
      </c>
      <c r="C33" s="6" t="s">
        <v>162</v>
      </c>
      <c r="D33" s="6" t="s">
        <v>153</v>
      </c>
      <c r="E33" s="6" t="s">
        <v>9</v>
      </c>
      <c r="F33" s="9">
        <v>4.5</v>
      </c>
      <c r="G33" s="9">
        <v>4.5</v>
      </c>
      <c r="H33" s="10">
        <v>3035</v>
      </c>
      <c r="I33" s="11">
        <v>1.27</v>
      </c>
      <c r="J33" s="11">
        <v>0.59</v>
      </c>
      <c r="K33" s="12">
        <f t="shared" si="0"/>
        <v>3.7660626029654039E-2</v>
      </c>
      <c r="L33" s="12">
        <f t="shared" si="1"/>
        <v>1.7495881383855022E-2</v>
      </c>
      <c r="M33" s="10">
        <v>0</v>
      </c>
      <c r="N33" s="10">
        <v>1</v>
      </c>
      <c r="O33" s="10">
        <v>100</v>
      </c>
      <c r="P33" s="10">
        <v>2.9</v>
      </c>
      <c r="Q33" s="10">
        <v>34</v>
      </c>
      <c r="R33" s="11">
        <v>5.81</v>
      </c>
      <c r="S33" s="6"/>
      <c r="T33" s="6"/>
      <c r="U33" s="6"/>
      <c r="V33" s="7" t="b">
        <v>0</v>
      </c>
      <c r="W33" s="8">
        <f>IFERROR(VLOOKUP(D33,Teams!$B$2:$I$21,6,FALSE),"")</f>
        <v>0</v>
      </c>
      <c r="X33" s="2" t="s">
        <v>65</v>
      </c>
      <c r="Y33" s="13"/>
      <c r="Z33" s="14"/>
      <c r="AA33" s="15">
        <f>IFERROR(H33/(H33+Priors!$G$3),0)</f>
        <v>0.75216852540272616</v>
      </c>
      <c r="AB33" s="16">
        <f>VLOOKUP(E33,Priors!$A$3:$C$6,2,FALSE)</f>
        <v>6.0081391379341341E-2</v>
      </c>
      <c r="AC33" s="16">
        <f>VLOOKUP(E33,Priors!$A$3:$C$6,3,FALSE)</f>
        <v>5.9588191961478354E-2</v>
      </c>
      <c r="AD33" s="12">
        <f t="shared" si="2"/>
        <v>4.3217197367866507E-2</v>
      </c>
      <c r="AE33" s="12">
        <f t="shared" si="3"/>
        <v>2.792768078351384E-2</v>
      </c>
      <c r="AF33" s="17">
        <v>1</v>
      </c>
      <c r="AG33" s="17">
        <v>1</v>
      </c>
      <c r="AH33" s="16">
        <f>IFERROR(VLOOKUP(D33,Teams!$B$2:$I$21,7,FALSE),1)</f>
        <v>1</v>
      </c>
      <c r="AI33" s="12">
        <f t="shared" si="4"/>
        <v>4.3217197367866507E-2</v>
      </c>
      <c r="AJ33" s="12">
        <f t="shared" si="5"/>
        <v>2.792768078351384E-2</v>
      </c>
      <c r="AK33" s="6" t="s">
        <v>66</v>
      </c>
      <c r="AL33" s="18"/>
      <c r="AM33" s="23"/>
      <c r="AN33" s="24">
        <v>0.17399999999999999</v>
      </c>
      <c r="AO33" s="25" t="b">
        <v>1</v>
      </c>
      <c r="AP33" s="23" t="s">
        <v>163</v>
      </c>
      <c r="AQ33" s="25" t="b">
        <v>0</v>
      </c>
      <c r="AR33" s="23"/>
      <c r="AS33" s="23" t="s">
        <v>68</v>
      </c>
    </row>
    <row r="34" spans="1:45" ht="60">
      <c r="A34" s="6">
        <v>32</v>
      </c>
      <c r="B34" s="6" t="s">
        <v>164</v>
      </c>
      <c r="C34" s="6" t="s">
        <v>165</v>
      </c>
      <c r="D34" s="6" t="s">
        <v>153</v>
      </c>
      <c r="E34" s="6" t="s">
        <v>9</v>
      </c>
      <c r="F34" s="9">
        <v>4.5</v>
      </c>
      <c r="G34" s="9">
        <v>4.5</v>
      </c>
      <c r="H34" s="10">
        <v>3016</v>
      </c>
      <c r="I34" s="11">
        <v>1.1399999999999999</v>
      </c>
      <c r="J34" s="11">
        <v>2.94</v>
      </c>
      <c r="K34" s="12">
        <f t="shared" si="0"/>
        <v>3.4018567639257292E-2</v>
      </c>
      <c r="L34" s="12">
        <f t="shared" si="1"/>
        <v>8.7732095490716186E-2</v>
      </c>
      <c r="M34" s="10">
        <v>3</v>
      </c>
      <c r="N34" s="10">
        <v>3</v>
      </c>
      <c r="O34" s="10">
        <v>117</v>
      </c>
      <c r="P34" s="10">
        <v>3.3</v>
      </c>
      <c r="Q34" s="10">
        <v>34</v>
      </c>
      <c r="R34" s="11">
        <v>5.55</v>
      </c>
      <c r="S34" s="6"/>
      <c r="T34" s="6"/>
      <c r="U34" s="6">
        <v>5</v>
      </c>
      <c r="V34" s="7" t="b">
        <v>0</v>
      </c>
      <c r="W34" s="8">
        <f>IFERROR(VLOOKUP(D34,Teams!$B$2:$I$21,6,FALSE),"")</f>
        <v>0</v>
      </c>
      <c r="X34" s="2" t="s">
        <v>65</v>
      </c>
      <c r="Y34" s="13"/>
      <c r="Z34" s="14"/>
      <c r="AA34" s="15">
        <f>IFERROR(H34/(H34+Priors!$G$3),0)</f>
        <v>0.75099601593625498</v>
      </c>
      <c r="AB34" s="16">
        <f>VLOOKUP(E34,Priors!$A$3:$C$6,2,FALSE)</f>
        <v>6.0081391379341341E-2</v>
      </c>
      <c r="AC34" s="16">
        <f>VLOOKUP(E34,Priors!$A$3:$C$6,3,FALSE)</f>
        <v>5.9588191961478354E-2</v>
      </c>
      <c r="AD34" s="12">
        <f t="shared" si="2"/>
        <v>4.0508314586489375E-2</v>
      </c>
      <c r="AE34" s="12">
        <f t="shared" si="3"/>
        <v>8.0724151384830273E-2</v>
      </c>
      <c r="AF34" s="17">
        <v>1</v>
      </c>
      <c r="AG34" s="17">
        <v>1</v>
      </c>
      <c r="AH34" s="16">
        <f>IFERROR(VLOOKUP(D34,Teams!$B$2:$I$21,7,FALSE),1)</f>
        <v>1</v>
      </c>
      <c r="AI34" s="12">
        <f t="shared" si="4"/>
        <v>4.0508314586489375E-2</v>
      </c>
      <c r="AJ34" s="12">
        <f t="shared" si="5"/>
        <v>8.0724151384830273E-2</v>
      </c>
      <c r="AK34" s="6" t="s">
        <v>66</v>
      </c>
      <c r="AL34" s="18"/>
      <c r="AM34" s="23"/>
      <c r="AN34" s="24">
        <v>7.8E-2</v>
      </c>
      <c r="AO34" s="25" t="b">
        <v>1</v>
      </c>
      <c r="AP34" s="23" t="s">
        <v>166</v>
      </c>
      <c r="AQ34" s="25" t="b">
        <v>1</v>
      </c>
      <c r="AR34" s="23"/>
      <c r="AS34" s="23" t="s">
        <v>68</v>
      </c>
    </row>
    <row r="35" spans="1:45" ht="60">
      <c r="A35" s="6">
        <v>33</v>
      </c>
      <c r="B35" s="6" t="s">
        <v>167</v>
      </c>
      <c r="C35" s="6" t="s">
        <v>168</v>
      </c>
      <c r="D35" s="6" t="s">
        <v>153</v>
      </c>
      <c r="E35" s="6" t="s">
        <v>9</v>
      </c>
      <c r="F35" s="9">
        <v>4.5</v>
      </c>
      <c r="G35" s="9">
        <v>4.5</v>
      </c>
      <c r="H35" s="10">
        <v>1322</v>
      </c>
      <c r="I35" s="11">
        <v>1.3</v>
      </c>
      <c r="J35" s="11">
        <v>0.42</v>
      </c>
      <c r="K35" s="12">
        <f t="shared" si="0"/>
        <v>8.8502269288956131E-2</v>
      </c>
      <c r="L35" s="12">
        <f t="shared" si="1"/>
        <v>2.8593040847201209E-2</v>
      </c>
      <c r="M35" s="10">
        <v>0</v>
      </c>
      <c r="N35" s="10">
        <v>1</v>
      </c>
      <c r="O35" s="10">
        <v>50</v>
      </c>
      <c r="P35" s="10">
        <v>2.9</v>
      </c>
      <c r="Q35" s="10">
        <v>15</v>
      </c>
      <c r="R35" s="11">
        <v>7.28</v>
      </c>
      <c r="S35" s="6"/>
      <c r="T35" s="6"/>
      <c r="U35" s="6"/>
      <c r="V35" s="7" t="b">
        <v>0</v>
      </c>
      <c r="W35" s="8">
        <f>IFERROR(VLOOKUP(D35,Teams!$B$2:$I$21,6,FALSE),"")</f>
        <v>0</v>
      </c>
      <c r="X35" s="2" t="s">
        <v>65</v>
      </c>
      <c r="Y35" s="13"/>
      <c r="Z35" s="14"/>
      <c r="AA35" s="15">
        <f>IFERROR(H35/(H35+Priors!$G$3),0)</f>
        <v>0.56933677863910426</v>
      </c>
      <c r="AB35" s="16">
        <f>VLOOKUP(E35,Priors!$A$3:$C$6,2,FALSE)</f>
        <v>6.0081391379341341E-2</v>
      </c>
      <c r="AC35" s="16">
        <f>VLOOKUP(E35,Priors!$A$3:$C$6,3,FALSE)</f>
        <v>5.9588191961478354E-2</v>
      </c>
      <c r="AD35" s="12">
        <f t="shared" si="2"/>
        <v>7.6262442454496704E-2</v>
      </c>
      <c r="AE35" s="12">
        <f t="shared" si="3"/>
        <v>4.1941512472643563E-2</v>
      </c>
      <c r="AF35" s="17">
        <v>1</v>
      </c>
      <c r="AG35" s="17">
        <v>1</v>
      </c>
      <c r="AH35" s="16">
        <f>IFERROR(VLOOKUP(D35,Teams!$B$2:$I$21,7,FALSE),1)</f>
        <v>1</v>
      </c>
      <c r="AI35" s="12">
        <f t="shared" si="4"/>
        <v>7.6262442454496704E-2</v>
      </c>
      <c r="AJ35" s="12">
        <f t="shared" si="5"/>
        <v>4.1941512472643563E-2</v>
      </c>
      <c r="AK35" s="6" t="s">
        <v>66</v>
      </c>
      <c r="AL35" s="18"/>
      <c r="AM35" s="23"/>
      <c r="AN35" s="24">
        <v>2E-3</v>
      </c>
      <c r="AO35" s="25" t="b">
        <v>1</v>
      </c>
      <c r="AP35" s="23" t="s">
        <v>169</v>
      </c>
      <c r="AQ35" s="25" t="b">
        <v>0</v>
      </c>
      <c r="AR35" s="23"/>
      <c r="AS35" s="23" t="s">
        <v>68</v>
      </c>
    </row>
    <row r="36" spans="1:45" ht="60">
      <c r="A36" s="6">
        <v>34</v>
      </c>
      <c r="B36" s="6" t="s">
        <v>170</v>
      </c>
      <c r="C36" s="6" t="s">
        <v>171</v>
      </c>
      <c r="D36" s="6" t="s">
        <v>153</v>
      </c>
      <c r="E36" s="6" t="s">
        <v>9</v>
      </c>
      <c r="F36" s="9">
        <v>4.5</v>
      </c>
      <c r="G36" s="9">
        <v>4.5</v>
      </c>
      <c r="H36" s="10">
        <v>1673</v>
      </c>
      <c r="I36" s="11">
        <v>1.33</v>
      </c>
      <c r="J36" s="11">
        <v>0.39</v>
      </c>
      <c r="K36" s="12">
        <f t="shared" si="0"/>
        <v>7.1548117154811713E-2</v>
      </c>
      <c r="L36" s="12">
        <f t="shared" si="1"/>
        <v>2.0980274955170353E-2</v>
      </c>
      <c r="M36" s="10">
        <v>0</v>
      </c>
      <c r="N36" s="10">
        <v>2</v>
      </c>
      <c r="O36" s="10">
        <v>64</v>
      </c>
      <c r="P36" s="10">
        <v>3</v>
      </c>
      <c r="Q36" s="10">
        <v>18</v>
      </c>
      <c r="R36" s="11">
        <v>6.03</v>
      </c>
      <c r="S36" s="6"/>
      <c r="T36" s="6"/>
      <c r="U36" s="6"/>
      <c r="V36" s="7" t="b">
        <v>0</v>
      </c>
      <c r="W36" s="8">
        <f>IFERROR(VLOOKUP(D36,Teams!$B$2:$I$21,6,FALSE),"")</f>
        <v>0</v>
      </c>
      <c r="X36" s="2" t="s">
        <v>65</v>
      </c>
      <c r="Y36" s="13"/>
      <c r="Z36" s="14"/>
      <c r="AA36" s="15">
        <f>IFERROR(H36/(H36+Priors!$G$3),0)</f>
        <v>0.6258885147774037</v>
      </c>
      <c r="AB36" s="16">
        <f>VLOOKUP(E36,Priors!$A$3:$C$6,2,FALSE)</f>
        <v>6.0081391379341341E-2</v>
      </c>
      <c r="AC36" s="16">
        <f>VLOOKUP(E36,Priors!$A$3:$C$6,3,FALSE)</f>
        <v>5.9588191961478354E-2</v>
      </c>
      <c r="AD36" s="12">
        <f t="shared" si="2"/>
        <v>6.7258283344310263E-2</v>
      </c>
      <c r="AE36" s="12">
        <f t="shared" si="3"/>
        <v>3.5423940127750977E-2</v>
      </c>
      <c r="AF36" s="17">
        <v>1</v>
      </c>
      <c r="AG36" s="17">
        <v>1</v>
      </c>
      <c r="AH36" s="16">
        <f>IFERROR(VLOOKUP(D36,Teams!$B$2:$I$21,7,FALSE),1)</f>
        <v>1</v>
      </c>
      <c r="AI36" s="12">
        <f t="shared" si="4"/>
        <v>6.7258283344310263E-2</v>
      </c>
      <c r="AJ36" s="12">
        <f t="shared" si="5"/>
        <v>3.5423940127750977E-2</v>
      </c>
      <c r="AK36" s="6" t="s">
        <v>66</v>
      </c>
      <c r="AL36" s="18"/>
      <c r="AM36" s="23"/>
      <c r="AN36" s="24">
        <v>2E-3</v>
      </c>
      <c r="AO36" s="25" t="b">
        <v>1</v>
      </c>
      <c r="AP36" s="23" t="s">
        <v>172</v>
      </c>
      <c r="AQ36" s="25" t="b">
        <v>0</v>
      </c>
      <c r="AR36" s="23"/>
      <c r="AS36" s="23" t="s">
        <v>68</v>
      </c>
    </row>
    <row r="37" spans="1:45" ht="60">
      <c r="A37" s="6">
        <v>35</v>
      </c>
      <c r="B37" s="6" t="s">
        <v>173</v>
      </c>
      <c r="C37" s="6" t="s">
        <v>174</v>
      </c>
      <c r="D37" s="6" t="s">
        <v>153</v>
      </c>
      <c r="E37" s="6" t="s">
        <v>11</v>
      </c>
      <c r="F37" s="9">
        <v>5</v>
      </c>
      <c r="G37" s="9">
        <v>5</v>
      </c>
      <c r="H37" s="10">
        <v>1042</v>
      </c>
      <c r="I37" s="11">
        <v>0</v>
      </c>
      <c r="J37" s="11">
        <v>0.2</v>
      </c>
      <c r="K37" s="12">
        <f t="shared" si="0"/>
        <v>0</v>
      </c>
      <c r="L37" s="12">
        <f t="shared" si="1"/>
        <v>1.7274472168905951E-2</v>
      </c>
      <c r="M37" s="10">
        <v>0</v>
      </c>
      <c r="N37" s="10">
        <v>0</v>
      </c>
      <c r="O37" s="10">
        <v>40</v>
      </c>
      <c r="P37" s="10">
        <v>1.4</v>
      </c>
      <c r="Q37" s="10">
        <v>11</v>
      </c>
      <c r="R37" s="11">
        <v>5.18</v>
      </c>
      <c r="S37" s="6"/>
      <c r="T37" s="6"/>
      <c r="U37" s="6"/>
      <c r="V37" s="7" t="b">
        <v>0</v>
      </c>
      <c r="W37" s="8">
        <f>IFERROR(VLOOKUP(D37,Teams!$B$2:$I$21,6,FALSE),"")</f>
        <v>0</v>
      </c>
      <c r="X37" s="2" t="s">
        <v>65</v>
      </c>
      <c r="Y37" s="13"/>
      <c r="Z37" s="14"/>
      <c r="AA37" s="15">
        <f>IFERROR(H37/(H37+Priors!$G$3),0)</f>
        <v>0.51028403525954946</v>
      </c>
      <c r="AB37" s="16">
        <f>VLOOKUP(E37,Priors!$A$3:$C$6,2,FALSE)</f>
        <v>0.15714383234350468</v>
      </c>
      <c r="AC37" s="16">
        <f>VLOOKUP(E37,Priors!$A$3:$C$6,3,FALSE)</f>
        <v>0.13222062939449797</v>
      </c>
      <c r="AD37" s="12">
        <f t="shared" si="2"/>
        <v>7.6955843459111009E-2</v>
      </c>
      <c r="AE37" s="12">
        <f t="shared" si="3"/>
        <v>7.3565440447844258E-2</v>
      </c>
      <c r="AF37" s="17">
        <v>1</v>
      </c>
      <c r="AG37" s="17">
        <v>1</v>
      </c>
      <c r="AH37" s="16">
        <f>IFERROR(VLOOKUP(D37,Teams!$B$2:$I$21,7,FALSE),1)</f>
        <v>1</v>
      </c>
      <c r="AI37" s="12">
        <f t="shared" si="4"/>
        <v>7.6955843459111009E-2</v>
      </c>
      <c r="AJ37" s="12">
        <f t="shared" si="5"/>
        <v>7.3565440447844258E-2</v>
      </c>
      <c r="AK37" s="6" t="s">
        <v>66</v>
      </c>
      <c r="AL37" s="18"/>
      <c r="AM37" s="23"/>
      <c r="AN37" s="24">
        <v>1E-3</v>
      </c>
      <c r="AO37" s="25" t="b">
        <v>1</v>
      </c>
      <c r="AP37" s="23" t="s">
        <v>175</v>
      </c>
      <c r="AQ37" s="25" t="b">
        <v>0</v>
      </c>
      <c r="AR37" s="23"/>
      <c r="AS37" s="23" t="s">
        <v>68</v>
      </c>
    </row>
    <row r="38" spans="1:45" ht="60">
      <c r="A38" s="6">
        <v>36</v>
      </c>
      <c r="B38" s="6" t="s">
        <v>176</v>
      </c>
      <c r="C38" s="6" t="s">
        <v>177</v>
      </c>
      <c r="D38" s="6" t="s">
        <v>153</v>
      </c>
      <c r="E38" s="6" t="s">
        <v>9</v>
      </c>
      <c r="F38" s="9">
        <v>4.5</v>
      </c>
      <c r="G38" s="9">
        <v>4.5</v>
      </c>
      <c r="H38" s="10">
        <v>1590</v>
      </c>
      <c r="I38" s="11">
        <v>1.26</v>
      </c>
      <c r="J38" s="11">
        <v>2.39</v>
      </c>
      <c r="K38" s="12">
        <f t="shared" si="0"/>
        <v>7.1320754716981141E-2</v>
      </c>
      <c r="L38" s="12">
        <f t="shared" si="1"/>
        <v>0.13528301886792454</v>
      </c>
      <c r="M38" s="10">
        <v>0</v>
      </c>
      <c r="N38" s="10">
        <v>1</v>
      </c>
      <c r="O38" s="10">
        <v>54</v>
      </c>
      <c r="P38" s="10">
        <v>1.8</v>
      </c>
      <c r="Q38" s="10">
        <v>17</v>
      </c>
      <c r="R38" s="11">
        <v>7.25</v>
      </c>
      <c r="S38" s="6"/>
      <c r="T38" s="6"/>
      <c r="U38" s="6"/>
      <c r="V38" s="7" t="b">
        <v>0</v>
      </c>
      <c r="W38" s="8">
        <f>IFERROR(VLOOKUP(D38,Teams!$B$2:$I$21,6,FALSE),"")</f>
        <v>0</v>
      </c>
      <c r="X38" s="2" t="s">
        <v>65</v>
      </c>
      <c r="Y38" s="13"/>
      <c r="Z38" s="14"/>
      <c r="AA38" s="15">
        <f>IFERROR(H38/(H38+Priors!$G$3),0)</f>
        <v>0.61389961389961389</v>
      </c>
      <c r="AB38" s="16">
        <f>VLOOKUP(E38,Priors!$A$3:$C$6,2,FALSE)</f>
        <v>6.0081391379341341E-2</v>
      </c>
      <c r="AC38" s="16">
        <f>VLOOKUP(E38,Priors!$A$3:$C$6,3,FALSE)</f>
        <v>5.9588191961478354E-2</v>
      </c>
      <c r="AD38" s="12">
        <f t="shared" si="2"/>
        <v>6.6981232192795892E-2</v>
      </c>
      <c r="AE38" s="12">
        <f t="shared" si="3"/>
        <v>0.10605721697354377</v>
      </c>
      <c r="AF38" s="17">
        <v>1</v>
      </c>
      <c r="AG38" s="17">
        <v>1</v>
      </c>
      <c r="AH38" s="16">
        <f>IFERROR(VLOOKUP(D38,Teams!$B$2:$I$21,7,FALSE),1)</f>
        <v>1</v>
      </c>
      <c r="AI38" s="12">
        <f t="shared" si="4"/>
        <v>6.6981232192795892E-2</v>
      </c>
      <c r="AJ38" s="12">
        <f t="shared" si="5"/>
        <v>0.10605721697354377</v>
      </c>
      <c r="AK38" s="6" t="s">
        <v>66</v>
      </c>
      <c r="AL38" s="18"/>
      <c r="AM38" s="23"/>
      <c r="AN38" s="24">
        <v>6.0000000000000001E-3</v>
      </c>
      <c r="AO38" s="25" t="b">
        <v>1</v>
      </c>
      <c r="AP38" s="23" t="s">
        <v>178</v>
      </c>
      <c r="AQ38" s="25" t="b">
        <v>0</v>
      </c>
      <c r="AR38" s="23"/>
      <c r="AS38" s="23" t="s">
        <v>68</v>
      </c>
    </row>
    <row r="39" spans="1:45" ht="60">
      <c r="A39" s="6">
        <v>37</v>
      </c>
      <c r="B39" s="6" t="s">
        <v>179</v>
      </c>
      <c r="C39" s="6" t="s">
        <v>180</v>
      </c>
      <c r="D39" s="6" t="s">
        <v>153</v>
      </c>
      <c r="E39" s="6" t="s">
        <v>9</v>
      </c>
      <c r="F39" s="9">
        <v>4.5</v>
      </c>
      <c r="G39" s="9">
        <v>4.5</v>
      </c>
      <c r="H39" s="10">
        <v>942</v>
      </c>
      <c r="I39" s="11">
        <v>0.28000000000000003</v>
      </c>
      <c r="J39" s="11">
        <v>0.1</v>
      </c>
      <c r="K39" s="12">
        <f t="shared" si="0"/>
        <v>2.6751592356687903E-2</v>
      </c>
      <c r="L39" s="12">
        <f t="shared" si="1"/>
        <v>9.5541401273885346E-3</v>
      </c>
      <c r="M39" s="10">
        <v>0</v>
      </c>
      <c r="N39" s="10">
        <v>1</v>
      </c>
      <c r="O39" s="10">
        <v>29</v>
      </c>
      <c r="P39" s="10">
        <v>1.7</v>
      </c>
      <c r="Q39" s="10">
        <v>11</v>
      </c>
      <c r="R39" s="11">
        <v>5.16</v>
      </c>
      <c r="S39" s="6"/>
      <c r="T39" s="6"/>
      <c r="U39" s="6"/>
      <c r="V39" s="7" t="b">
        <v>0</v>
      </c>
      <c r="W39" s="8">
        <f>IFERROR(VLOOKUP(D39,Teams!$B$2:$I$21,6,FALSE),"")</f>
        <v>0</v>
      </c>
      <c r="X39" s="2" t="s">
        <v>65</v>
      </c>
      <c r="Y39" s="13"/>
      <c r="Z39" s="14"/>
      <c r="AA39" s="15">
        <f>IFERROR(H39/(H39+Priors!$G$3),0)</f>
        <v>0.48506694129763128</v>
      </c>
      <c r="AB39" s="16">
        <f>VLOOKUP(E39,Priors!$A$3:$C$6,2,FALSE)</f>
        <v>6.0081391379341341E-2</v>
      </c>
      <c r="AC39" s="16">
        <f>VLOOKUP(E39,Priors!$A$3:$C$6,3,FALSE)</f>
        <v>5.9588191961478354E-2</v>
      </c>
      <c r="AD39" s="12">
        <f t="shared" si="2"/>
        <v>4.3914207713358057E-2</v>
      </c>
      <c r="AE39" s="12">
        <f t="shared" si="3"/>
        <v>3.5318327477589263E-2</v>
      </c>
      <c r="AF39" s="17">
        <v>1</v>
      </c>
      <c r="AG39" s="17">
        <v>1</v>
      </c>
      <c r="AH39" s="16">
        <f>IFERROR(VLOOKUP(D39,Teams!$B$2:$I$21,7,FALSE),1)</f>
        <v>1</v>
      </c>
      <c r="AI39" s="12">
        <f t="shared" si="4"/>
        <v>4.3914207713358057E-2</v>
      </c>
      <c r="AJ39" s="12">
        <f t="shared" si="5"/>
        <v>3.5318327477589263E-2</v>
      </c>
      <c r="AK39" s="6" t="s">
        <v>66</v>
      </c>
      <c r="AL39" s="18"/>
      <c r="AM39" s="23"/>
      <c r="AN39" s="24">
        <v>2E-3</v>
      </c>
      <c r="AO39" s="25" t="b">
        <v>1</v>
      </c>
      <c r="AP39" s="23" t="s">
        <v>181</v>
      </c>
      <c r="AQ39" s="25" t="b">
        <v>0</v>
      </c>
      <c r="AR39" s="23"/>
      <c r="AS39" s="23" t="s">
        <v>68</v>
      </c>
    </row>
    <row r="40" spans="1:45" ht="60">
      <c r="A40" s="6">
        <v>38</v>
      </c>
      <c r="B40" s="6" t="s">
        <v>182</v>
      </c>
      <c r="C40" s="6" t="s">
        <v>183</v>
      </c>
      <c r="D40" s="6" t="s">
        <v>153</v>
      </c>
      <c r="E40" s="6" t="s">
        <v>9</v>
      </c>
      <c r="F40" s="9">
        <v>4</v>
      </c>
      <c r="G40" s="9">
        <v>4</v>
      </c>
      <c r="H40" s="10">
        <v>83</v>
      </c>
      <c r="I40" s="11">
        <v>0</v>
      </c>
      <c r="J40" s="11">
        <v>0.01</v>
      </c>
      <c r="K40" s="12">
        <f t="shared" si="0"/>
        <v>0</v>
      </c>
      <c r="L40" s="12">
        <f t="shared" si="1"/>
        <v>1.0843373493975903E-2</v>
      </c>
      <c r="M40" s="10">
        <v>0</v>
      </c>
      <c r="N40" s="10">
        <v>0</v>
      </c>
      <c r="O40" s="10">
        <v>5</v>
      </c>
      <c r="P40" s="10">
        <v>0.8</v>
      </c>
      <c r="Q40" s="10">
        <v>1</v>
      </c>
      <c r="R40" s="11">
        <v>10.84</v>
      </c>
      <c r="S40" s="6"/>
      <c r="T40" s="6"/>
      <c r="U40" s="6"/>
      <c r="V40" s="7" t="b">
        <v>1</v>
      </c>
      <c r="W40" s="8">
        <f>IFERROR(VLOOKUP(D40,Teams!$B$2:$I$21,6,FALSE),"")</f>
        <v>0</v>
      </c>
      <c r="X40" s="2" t="s">
        <v>65</v>
      </c>
      <c r="Y40" s="13"/>
      <c r="Z40" s="14"/>
      <c r="AA40" s="15">
        <f>IFERROR(H40/(H40+Priors!$G$3),0)</f>
        <v>7.663896583564174E-2</v>
      </c>
      <c r="AB40" s="16">
        <f>VLOOKUP(E40,Priors!$A$3:$C$6,2,FALSE)</f>
        <v>6.0081391379341341E-2</v>
      </c>
      <c r="AC40" s="16">
        <f>VLOOKUP(E40,Priors!$A$3:$C$6,3,FALSE)</f>
        <v>5.9588191961478354E-2</v>
      </c>
      <c r="AD40" s="12">
        <f t="shared" si="2"/>
        <v>5.5476815678062175E-2</v>
      </c>
      <c r="AE40" s="12">
        <f t="shared" si="3"/>
        <v>5.5852439484282874E-2</v>
      </c>
      <c r="AF40" s="17">
        <v>1</v>
      </c>
      <c r="AG40" s="17">
        <v>1</v>
      </c>
      <c r="AH40" s="16">
        <f>IFERROR(VLOOKUP(D40,Teams!$B$2:$I$21,7,FALSE),1)</f>
        <v>1</v>
      </c>
      <c r="AI40" s="12">
        <f t="shared" si="4"/>
        <v>5.5476815678062175E-2</v>
      </c>
      <c r="AJ40" s="12">
        <f t="shared" si="5"/>
        <v>5.5852439484282874E-2</v>
      </c>
      <c r="AK40" s="6" t="s">
        <v>66</v>
      </c>
      <c r="AL40" s="18"/>
      <c r="AM40" s="23"/>
      <c r="AN40" s="24">
        <v>1.4999999999999999E-2</v>
      </c>
      <c r="AO40" s="25" t="b">
        <v>1</v>
      </c>
      <c r="AP40" s="23" t="s">
        <v>65</v>
      </c>
      <c r="AQ40" s="25" t="b">
        <v>0</v>
      </c>
      <c r="AR40" s="23"/>
      <c r="AS40" s="23" t="s">
        <v>68</v>
      </c>
    </row>
    <row r="41" spans="1:45" ht="60">
      <c r="A41" s="6">
        <v>39</v>
      </c>
      <c r="B41" s="6" t="s">
        <v>184</v>
      </c>
      <c r="C41" s="6" t="s">
        <v>185</v>
      </c>
      <c r="D41" s="6" t="s">
        <v>153</v>
      </c>
      <c r="E41" s="6" t="s">
        <v>9</v>
      </c>
      <c r="F41" s="9">
        <v>4</v>
      </c>
      <c r="G41" s="9">
        <v>4</v>
      </c>
      <c r="H41" s="10">
        <v>0</v>
      </c>
      <c r="I41" s="11">
        <v>0</v>
      </c>
      <c r="J41" s="11">
        <v>0</v>
      </c>
      <c r="K41" s="12">
        <f t="shared" si="0"/>
        <v>0</v>
      </c>
      <c r="L41" s="12">
        <f t="shared" si="1"/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1">
        <v>0</v>
      </c>
      <c r="S41" s="6"/>
      <c r="T41" s="6"/>
      <c r="U41" s="6"/>
      <c r="V41" s="7" t="b">
        <v>0</v>
      </c>
      <c r="W41" s="8">
        <f>IFERROR(VLOOKUP(D41,Teams!$B$2:$I$21,6,FALSE),"")</f>
        <v>0</v>
      </c>
      <c r="X41" s="2" t="s">
        <v>65</v>
      </c>
      <c r="Y41" s="13"/>
      <c r="Z41" s="14"/>
      <c r="AA41" s="15">
        <f>IFERROR(H41/(H41+Priors!$G$3),0)</f>
        <v>0</v>
      </c>
      <c r="AB41" s="16">
        <f>VLOOKUP(E41,Priors!$A$3:$C$6,2,FALSE)</f>
        <v>6.0081391379341341E-2</v>
      </c>
      <c r="AC41" s="16">
        <f>VLOOKUP(E41,Priors!$A$3:$C$6,3,FALSE)</f>
        <v>5.9588191961478354E-2</v>
      </c>
      <c r="AD41" s="12">
        <f t="shared" si="2"/>
        <v>6.0081391379341341E-2</v>
      </c>
      <c r="AE41" s="12">
        <f t="shared" si="3"/>
        <v>5.9588191961478354E-2</v>
      </c>
      <c r="AF41" s="17">
        <v>1</v>
      </c>
      <c r="AG41" s="17">
        <v>1</v>
      </c>
      <c r="AH41" s="16">
        <f>IFERROR(VLOOKUP(D41,Teams!$B$2:$I$21,7,FALSE),1)</f>
        <v>1</v>
      </c>
      <c r="AI41" s="12">
        <f t="shared" si="4"/>
        <v>6.0081391379341341E-2</v>
      </c>
      <c r="AJ41" s="12">
        <f t="shared" si="5"/>
        <v>5.9588191961478354E-2</v>
      </c>
      <c r="AK41" s="6" t="s">
        <v>66</v>
      </c>
      <c r="AL41" s="18"/>
      <c r="AM41" s="23"/>
      <c r="AN41" s="24">
        <v>4.0000000000000001E-3</v>
      </c>
      <c r="AO41" s="25" t="b">
        <v>1</v>
      </c>
      <c r="AP41" s="23" t="s">
        <v>186</v>
      </c>
      <c r="AQ41" s="25" t="b">
        <v>0</v>
      </c>
      <c r="AR41" s="23"/>
      <c r="AS41" s="23" t="s">
        <v>68</v>
      </c>
    </row>
    <row r="42" spans="1:45" ht="60">
      <c r="A42" s="6">
        <v>41</v>
      </c>
      <c r="B42" s="6" t="s">
        <v>187</v>
      </c>
      <c r="C42" s="6" t="s">
        <v>188</v>
      </c>
      <c r="D42" s="6" t="s">
        <v>153</v>
      </c>
      <c r="E42" s="6" t="s">
        <v>11</v>
      </c>
      <c r="F42" s="9">
        <v>6</v>
      </c>
      <c r="G42" s="9">
        <v>6</v>
      </c>
      <c r="H42" s="10">
        <v>1753</v>
      </c>
      <c r="I42" s="11">
        <v>3.38</v>
      </c>
      <c r="J42" s="11">
        <v>2.23</v>
      </c>
      <c r="K42" s="12">
        <f t="shared" si="0"/>
        <v>0.173531089560753</v>
      </c>
      <c r="L42" s="12">
        <f t="shared" si="1"/>
        <v>0.11448944666286366</v>
      </c>
      <c r="M42" s="10">
        <v>6</v>
      </c>
      <c r="N42" s="10">
        <v>2</v>
      </c>
      <c r="O42" s="10">
        <v>102</v>
      </c>
      <c r="P42" s="10">
        <v>2.8</v>
      </c>
      <c r="Q42" s="10">
        <v>21</v>
      </c>
      <c r="R42" s="11">
        <v>10.11</v>
      </c>
      <c r="S42" s="6">
        <v>1</v>
      </c>
      <c r="T42" s="6">
        <v>1</v>
      </c>
      <c r="U42" s="6"/>
      <c r="V42" s="7" t="b">
        <v>0</v>
      </c>
      <c r="W42" s="8">
        <f>IFERROR(VLOOKUP(D42,Teams!$B$2:$I$21,6,FALSE),"")</f>
        <v>0</v>
      </c>
      <c r="X42" s="2" t="s">
        <v>65</v>
      </c>
      <c r="Y42" s="13"/>
      <c r="Z42" s="14"/>
      <c r="AA42" s="15">
        <f>IFERROR(H42/(H42+Priors!$G$3),0)</f>
        <v>0.63675989829277158</v>
      </c>
      <c r="AB42" s="16">
        <f>VLOOKUP(E42,Priors!$A$3:$C$6,2,FALSE)</f>
        <v>0.15714383234350468</v>
      </c>
      <c r="AC42" s="16">
        <f>VLOOKUP(E42,Priors!$A$3:$C$6,3,FALSE)</f>
        <v>0.13222062939449797</v>
      </c>
      <c r="AD42" s="12">
        <f t="shared" si="2"/>
        <v>0.16757858058245723</v>
      </c>
      <c r="AE42" s="12">
        <f t="shared" si="3"/>
        <v>0.12093012328169196</v>
      </c>
      <c r="AF42" s="17">
        <v>1</v>
      </c>
      <c r="AG42" s="17">
        <v>1</v>
      </c>
      <c r="AH42" s="16">
        <f>IFERROR(VLOOKUP(D42,Teams!$B$2:$I$21,7,FALSE),1)</f>
        <v>1</v>
      </c>
      <c r="AI42" s="12">
        <f t="shared" si="4"/>
        <v>0.16757858058245723</v>
      </c>
      <c r="AJ42" s="12">
        <f t="shared" si="5"/>
        <v>0.12093012328169196</v>
      </c>
      <c r="AK42" s="6" t="s">
        <v>66</v>
      </c>
      <c r="AL42" s="18"/>
      <c r="AM42" s="23"/>
      <c r="AN42" s="24">
        <v>8.0000000000000002E-3</v>
      </c>
      <c r="AO42" s="25" t="b">
        <v>1</v>
      </c>
      <c r="AP42" s="23" t="s">
        <v>189</v>
      </c>
      <c r="AQ42" s="25" t="b">
        <v>0</v>
      </c>
      <c r="AR42" s="23"/>
      <c r="AS42" s="23" t="s">
        <v>68</v>
      </c>
    </row>
    <row r="43" spans="1:45" ht="60">
      <c r="A43" s="6">
        <v>42</v>
      </c>
      <c r="B43" s="6" t="s">
        <v>190</v>
      </c>
      <c r="C43" s="6" t="s">
        <v>191</v>
      </c>
      <c r="D43" s="6" t="s">
        <v>153</v>
      </c>
      <c r="E43" s="6" t="s">
        <v>11</v>
      </c>
      <c r="F43" s="9">
        <v>5.5</v>
      </c>
      <c r="G43" s="9">
        <v>5.5</v>
      </c>
      <c r="H43" s="10">
        <v>909</v>
      </c>
      <c r="I43" s="11">
        <v>1.56</v>
      </c>
      <c r="J43" s="11">
        <v>0.85</v>
      </c>
      <c r="K43" s="12">
        <f t="shared" si="0"/>
        <v>0.15445544554455445</v>
      </c>
      <c r="L43" s="12">
        <f t="shared" si="1"/>
        <v>8.4158415841584164E-2</v>
      </c>
      <c r="M43" s="10">
        <v>1</v>
      </c>
      <c r="N43" s="10">
        <v>3</v>
      </c>
      <c r="O43" s="10">
        <v>44</v>
      </c>
      <c r="P43" s="10">
        <v>2.1</v>
      </c>
      <c r="Q43" s="10">
        <v>9</v>
      </c>
      <c r="R43" s="11">
        <v>8.2200000000000006</v>
      </c>
      <c r="S43" s="6"/>
      <c r="T43" s="6"/>
      <c r="U43" s="6"/>
      <c r="V43" s="7" t="b">
        <v>0</v>
      </c>
      <c r="W43" s="8">
        <f>IFERROR(VLOOKUP(D43,Teams!$B$2:$I$21,6,FALSE),"")</f>
        <v>0</v>
      </c>
      <c r="X43" s="2" t="s">
        <v>65</v>
      </c>
      <c r="Y43" s="13"/>
      <c r="Z43" s="14"/>
      <c r="AA43" s="15">
        <f>IFERROR(H43/(H43+Priors!$G$3),0)</f>
        <v>0.47616553169198533</v>
      </c>
      <c r="AB43" s="16">
        <f>VLOOKUP(E43,Priors!$A$3:$C$6,2,FALSE)</f>
        <v>0.15714383234350468</v>
      </c>
      <c r="AC43" s="16">
        <f>VLOOKUP(E43,Priors!$A$3:$C$6,3,FALSE)</f>
        <v>0.13222062939449797</v>
      </c>
      <c r="AD43" s="12">
        <f t="shared" si="2"/>
        <v>0.15586371521398884</v>
      </c>
      <c r="AE43" s="12">
        <f t="shared" si="3"/>
        <v>0.10933505992378104</v>
      </c>
      <c r="AF43" s="17">
        <v>1</v>
      </c>
      <c r="AG43" s="17">
        <v>1</v>
      </c>
      <c r="AH43" s="16">
        <f>IFERROR(VLOOKUP(D43,Teams!$B$2:$I$21,7,FALSE),1)</f>
        <v>1</v>
      </c>
      <c r="AI43" s="12">
        <f t="shared" si="4"/>
        <v>0.15586371521398884</v>
      </c>
      <c r="AJ43" s="12">
        <f t="shared" si="5"/>
        <v>0.10933505992378104</v>
      </c>
      <c r="AK43" s="6" t="s">
        <v>66</v>
      </c>
      <c r="AL43" s="18"/>
      <c r="AM43" s="23"/>
      <c r="AN43" s="24">
        <v>0</v>
      </c>
      <c r="AO43" s="25" t="b">
        <v>1</v>
      </c>
      <c r="AP43" s="23" t="s">
        <v>192</v>
      </c>
      <c r="AQ43" s="25" t="b">
        <v>0</v>
      </c>
      <c r="AR43" s="23"/>
      <c r="AS43" s="23" t="s">
        <v>68</v>
      </c>
    </row>
    <row r="44" spans="1:45" ht="60">
      <c r="A44" s="6">
        <v>44</v>
      </c>
      <c r="B44" s="6" t="s">
        <v>193</v>
      </c>
      <c r="C44" s="6" t="s">
        <v>194</v>
      </c>
      <c r="D44" s="6" t="s">
        <v>153</v>
      </c>
      <c r="E44" s="6" t="s">
        <v>11</v>
      </c>
      <c r="F44" s="9">
        <v>5.5</v>
      </c>
      <c r="G44" s="9">
        <v>5.5</v>
      </c>
      <c r="H44" s="10">
        <v>450</v>
      </c>
      <c r="I44" s="11">
        <v>0.5</v>
      </c>
      <c r="J44" s="11">
        <v>1.46</v>
      </c>
      <c r="K44" s="12">
        <f t="shared" si="0"/>
        <v>0.1</v>
      </c>
      <c r="L44" s="12">
        <f t="shared" si="1"/>
        <v>0.29200000000000004</v>
      </c>
      <c r="M44" s="10">
        <v>0</v>
      </c>
      <c r="N44" s="10">
        <v>2</v>
      </c>
      <c r="O44" s="10">
        <v>21</v>
      </c>
      <c r="P44" s="10">
        <v>1.6</v>
      </c>
      <c r="Q44" s="10">
        <v>3</v>
      </c>
      <c r="R44" s="11">
        <v>9.6</v>
      </c>
      <c r="S44" s="6"/>
      <c r="T44" s="6"/>
      <c r="U44" s="6"/>
      <c r="V44" s="7" t="b">
        <v>0</v>
      </c>
      <c r="W44" s="8">
        <f>IFERROR(VLOOKUP(D44,Teams!$B$2:$I$21,6,FALSE),"")</f>
        <v>0</v>
      </c>
      <c r="X44" s="2" t="s">
        <v>65</v>
      </c>
      <c r="Y44" s="13"/>
      <c r="Z44" s="14"/>
      <c r="AA44" s="15">
        <f>IFERROR(H44/(H44+Priors!$G$3),0)</f>
        <v>0.31034482758620691</v>
      </c>
      <c r="AB44" s="16">
        <f>VLOOKUP(E44,Priors!$A$3:$C$6,2,FALSE)</f>
        <v>0.15714383234350468</v>
      </c>
      <c r="AC44" s="16">
        <f>VLOOKUP(E44,Priors!$A$3:$C$6,3,FALSE)</f>
        <v>0.13222062939449797</v>
      </c>
      <c r="AD44" s="12">
        <f t="shared" si="2"/>
        <v>0.13940953954724461</v>
      </c>
      <c r="AE44" s="12">
        <f t="shared" si="3"/>
        <v>0.18180733061689519</v>
      </c>
      <c r="AF44" s="17">
        <v>1</v>
      </c>
      <c r="AG44" s="17">
        <v>1</v>
      </c>
      <c r="AH44" s="16">
        <f>IFERROR(VLOOKUP(D44,Teams!$B$2:$I$21,7,FALSE),1)</f>
        <v>1</v>
      </c>
      <c r="AI44" s="12">
        <f t="shared" si="4"/>
        <v>0.13940953954724461</v>
      </c>
      <c r="AJ44" s="12">
        <f t="shared" si="5"/>
        <v>0.18180733061689519</v>
      </c>
      <c r="AK44" s="6" t="s">
        <v>66</v>
      </c>
      <c r="AL44" s="18"/>
      <c r="AM44" s="23"/>
      <c r="AN44" s="24">
        <v>1E-3</v>
      </c>
      <c r="AO44" s="25" t="b">
        <v>1</v>
      </c>
      <c r="AP44" s="23" t="s">
        <v>195</v>
      </c>
      <c r="AQ44" s="25" t="b">
        <v>0</v>
      </c>
      <c r="AR44" s="23"/>
      <c r="AS44" s="23" t="s">
        <v>68</v>
      </c>
    </row>
    <row r="45" spans="1:45" ht="60">
      <c r="A45" s="6">
        <v>45</v>
      </c>
      <c r="B45" s="6" t="s">
        <v>196</v>
      </c>
      <c r="C45" s="6" t="s">
        <v>197</v>
      </c>
      <c r="D45" s="6" t="s">
        <v>153</v>
      </c>
      <c r="E45" s="6" t="s">
        <v>11</v>
      </c>
      <c r="F45" s="9">
        <v>5.5</v>
      </c>
      <c r="G45" s="9">
        <v>5.5</v>
      </c>
      <c r="H45" s="10">
        <v>2136</v>
      </c>
      <c r="I45" s="11">
        <v>3</v>
      </c>
      <c r="J45" s="11">
        <v>4.1100000000000003</v>
      </c>
      <c r="K45" s="12">
        <f t="shared" si="0"/>
        <v>0.12640449438202248</v>
      </c>
      <c r="L45" s="12">
        <f t="shared" si="1"/>
        <v>0.1731741573033708</v>
      </c>
      <c r="M45" s="10">
        <v>5</v>
      </c>
      <c r="N45" s="10">
        <v>4</v>
      </c>
      <c r="O45" s="10">
        <v>103</v>
      </c>
      <c r="P45" s="10">
        <v>3.4</v>
      </c>
      <c r="Q45" s="10">
        <v>28</v>
      </c>
      <c r="R45" s="11">
        <v>6.32</v>
      </c>
      <c r="S45" s="6"/>
      <c r="T45" s="6"/>
      <c r="U45" s="6">
        <v>6</v>
      </c>
      <c r="V45" s="7" t="b">
        <v>0</v>
      </c>
      <c r="W45" s="8">
        <f>IFERROR(VLOOKUP(D45,Teams!$B$2:$I$21,6,FALSE),"")</f>
        <v>0</v>
      </c>
      <c r="X45" s="2" t="s">
        <v>65</v>
      </c>
      <c r="Y45" s="13"/>
      <c r="Z45" s="14"/>
      <c r="AA45" s="15">
        <f>IFERROR(H45/(H45+Priors!$G$3),0)</f>
        <v>0.68112244897959184</v>
      </c>
      <c r="AB45" s="16">
        <f>VLOOKUP(E45,Priors!$A$3:$C$6,2,FALSE)</f>
        <v>0.15714383234350468</v>
      </c>
      <c r="AC45" s="16">
        <f>VLOOKUP(E45,Priors!$A$3:$C$6,3,FALSE)</f>
        <v>0.13222062939449797</v>
      </c>
      <c r="AD45" s="12">
        <f t="shared" si="2"/>
        <v>0.13620657919116858</v>
      </c>
      <c r="AE45" s="12">
        <f t="shared" si="3"/>
        <v>0.16011499661814349</v>
      </c>
      <c r="AF45" s="17">
        <v>1</v>
      </c>
      <c r="AG45" s="17">
        <v>1</v>
      </c>
      <c r="AH45" s="16">
        <f>IFERROR(VLOOKUP(D45,Teams!$B$2:$I$21,7,FALSE),1)</f>
        <v>1</v>
      </c>
      <c r="AI45" s="12">
        <f t="shared" si="4"/>
        <v>0.13620657919116858</v>
      </c>
      <c r="AJ45" s="12">
        <f t="shared" si="5"/>
        <v>0.16011499661814349</v>
      </c>
      <c r="AK45" s="6" t="s">
        <v>66</v>
      </c>
      <c r="AL45" s="18"/>
      <c r="AM45" s="23"/>
      <c r="AN45" s="24">
        <v>2.7000000000000003E-2</v>
      </c>
      <c r="AO45" s="25" t="b">
        <v>1</v>
      </c>
      <c r="AP45" s="23" t="s">
        <v>198</v>
      </c>
      <c r="AQ45" s="25" t="b">
        <v>0</v>
      </c>
      <c r="AR45" s="23"/>
      <c r="AS45" s="23" t="s">
        <v>68</v>
      </c>
    </row>
    <row r="46" spans="1:45" ht="60">
      <c r="A46" s="6">
        <v>46</v>
      </c>
      <c r="B46" s="6" t="s">
        <v>199</v>
      </c>
      <c r="C46" s="6" t="s">
        <v>200</v>
      </c>
      <c r="D46" s="6" t="s">
        <v>153</v>
      </c>
      <c r="E46" s="6" t="s">
        <v>11</v>
      </c>
      <c r="F46" s="9">
        <v>5</v>
      </c>
      <c r="G46" s="9">
        <v>5</v>
      </c>
      <c r="H46" s="10">
        <v>844</v>
      </c>
      <c r="I46" s="11">
        <v>1.58</v>
      </c>
      <c r="J46" s="11">
        <v>1.26</v>
      </c>
      <c r="K46" s="12">
        <f t="shared" si="0"/>
        <v>0.1684834123222749</v>
      </c>
      <c r="L46" s="12">
        <f t="shared" si="1"/>
        <v>0.13436018957345972</v>
      </c>
      <c r="M46" s="10">
        <v>3</v>
      </c>
      <c r="N46" s="10">
        <v>2</v>
      </c>
      <c r="O46" s="10">
        <v>56</v>
      </c>
      <c r="P46" s="10">
        <v>2.7</v>
      </c>
      <c r="Q46" s="10">
        <v>7</v>
      </c>
      <c r="R46" s="11">
        <v>7.89</v>
      </c>
      <c r="S46" s="6"/>
      <c r="T46" s="6"/>
      <c r="U46" s="6"/>
      <c r="V46" s="7" t="b">
        <v>0</v>
      </c>
      <c r="W46" s="8">
        <f>IFERROR(VLOOKUP(D46,Teams!$B$2:$I$21,6,FALSE),"")</f>
        <v>0</v>
      </c>
      <c r="X46" s="2" t="s">
        <v>65</v>
      </c>
      <c r="Y46" s="13"/>
      <c r="Z46" s="14"/>
      <c r="AA46" s="15">
        <f>IFERROR(H46/(H46+Priors!$G$3),0)</f>
        <v>0.45770065075921906</v>
      </c>
      <c r="AB46" s="16">
        <f>VLOOKUP(E46,Priors!$A$3:$C$6,2,FALSE)</f>
        <v>0.15714383234350468</v>
      </c>
      <c r="AC46" s="16">
        <f>VLOOKUP(E46,Priors!$A$3:$C$6,3,FALSE)</f>
        <v>0.13222062939449797</v>
      </c>
      <c r="AD46" s="12">
        <f t="shared" si="2"/>
        <v>0.16233396547912404</v>
      </c>
      <c r="AE46" s="12">
        <f t="shared" si="3"/>
        <v>0.13319990748074728</v>
      </c>
      <c r="AF46" s="17">
        <v>1</v>
      </c>
      <c r="AG46" s="17">
        <v>1</v>
      </c>
      <c r="AH46" s="16">
        <f>IFERROR(VLOOKUP(D46,Teams!$B$2:$I$21,7,FALSE),1)</f>
        <v>1</v>
      </c>
      <c r="AI46" s="12">
        <f t="shared" si="4"/>
        <v>0.16233396547912404</v>
      </c>
      <c r="AJ46" s="12">
        <f t="shared" si="5"/>
        <v>0.13319990748074728</v>
      </c>
      <c r="AK46" s="6" t="s">
        <v>66</v>
      </c>
      <c r="AL46" s="18"/>
      <c r="AM46" s="23"/>
      <c r="AN46" s="24">
        <v>2E-3</v>
      </c>
      <c r="AO46" s="25" t="b">
        <v>1</v>
      </c>
      <c r="AP46" s="23" t="s">
        <v>201</v>
      </c>
      <c r="AQ46" s="25" t="b">
        <v>0</v>
      </c>
      <c r="AR46" s="23"/>
      <c r="AS46" s="23" t="s">
        <v>68</v>
      </c>
    </row>
    <row r="47" spans="1:45" ht="60">
      <c r="A47" s="6">
        <v>47</v>
      </c>
      <c r="B47" s="6" t="s">
        <v>202</v>
      </c>
      <c r="C47" s="6" t="s">
        <v>203</v>
      </c>
      <c r="D47" s="6" t="s">
        <v>153</v>
      </c>
      <c r="E47" s="6" t="s">
        <v>11</v>
      </c>
      <c r="F47" s="9">
        <v>5</v>
      </c>
      <c r="G47" s="9">
        <v>5</v>
      </c>
      <c r="H47" s="10">
        <v>1410</v>
      </c>
      <c r="I47" s="11">
        <v>0.53</v>
      </c>
      <c r="J47" s="11">
        <v>0.84</v>
      </c>
      <c r="K47" s="12">
        <f t="shared" si="0"/>
        <v>3.3829787234042556E-2</v>
      </c>
      <c r="L47" s="12">
        <f t="shared" si="1"/>
        <v>5.361702127659574E-2</v>
      </c>
      <c r="M47" s="10">
        <v>1</v>
      </c>
      <c r="N47" s="10">
        <v>3</v>
      </c>
      <c r="O47" s="10">
        <v>61</v>
      </c>
      <c r="P47" s="10">
        <v>3.4</v>
      </c>
      <c r="Q47" s="10">
        <v>17</v>
      </c>
      <c r="R47" s="11">
        <v>9.51</v>
      </c>
      <c r="S47" s="6"/>
      <c r="T47" s="6"/>
      <c r="U47" s="6"/>
      <c r="V47" s="7" t="b">
        <v>0</v>
      </c>
      <c r="W47" s="8">
        <f>IFERROR(VLOOKUP(D47,Teams!$B$2:$I$21,6,FALSE),"")</f>
        <v>0</v>
      </c>
      <c r="X47" s="2" t="s">
        <v>65</v>
      </c>
      <c r="Y47" s="13"/>
      <c r="Z47" s="14"/>
      <c r="AA47" s="15">
        <f>IFERROR(H47/(H47+Priors!$G$3),0)</f>
        <v>0.58506224066390045</v>
      </c>
      <c r="AB47" s="16">
        <f>VLOOKUP(E47,Priors!$A$3:$C$6,2,FALSE)</f>
        <v>0.15714383234350468</v>
      </c>
      <c r="AC47" s="16">
        <f>VLOOKUP(E47,Priors!$A$3:$C$6,3,FALSE)</f>
        <v>0.13222062939449797</v>
      </c>
      <c r="AD47" s="12">
        <f t="shared" si="2"/>
        <v>8.4997440806433483E-2</v>
      </c>
      <c r="AE47" s="12">
        <f t="shared" si="3"/>
        <v>8.6232626304770937E-2</v>
      </c>
      <c r="AF47" s="17">
        <v>1</v>
      </c>
      <c r="AG47" s="17">
        <v>1</v>
      </c>
      <c r="AH47" s="16">
        <f>IFERROR(VLOOKUP(D47,Teams!$B$2:$I$21,7,FALSE),1)</f>
        <v>1</v>
      </c>
      <c r="AI47" s="12">
        <f t="shared" si="4"/>
        <v>8.4997440806433483E-2</v>
      </c>
      <c r="AJ47" s="12">
        <f t="shared" si="5"/>
        <v>8.6232626304770937E-2</v>
      </c>
      <c r="AK47" s="6" t="s">
        <v>204</v>
      </c>
      <c r="AL47" s="18">
        <v>75</v>
      </c>
      <c r="AM47" s="23" t="s">
        <v>205</v>
      </c>
      <c r="AN47" s="24">
        <v>1E-3</v>
      </c>
      <c r="AO47" s="25" t="b">
        <v>1</v>
      </c>
      <c r="AP47" s="23" t="s">
        <v>206</v>
      </c>
      <c r="AQ47" s="25" t="b">
        <v>0</v>
      </c>
      <c r="AR47" s="23"/>
      <c r="AS47" s="23" t="s">
        <v>68</v>
      </c>
    </row>
    <row r="48" spans="1:45" ht="60">
      <c r="A48" s="6">
        <v>48</v>
      </c>
      <c r="B48" s="6" t="s">
        <v>207</v>
      </c>
      <c r="C48" s="6" t="s">
        <v>208</v>
      </c>
      <c r="D48" s="6" t="s">
        <v>153</v>
      </c>
      <c r="E48" s="6" t="s">
        <v>11</v>
      </c>
      <c r="F48" s="9">
        <v>5</v>
      </c>
      <c r="G48" s="9">
        <v>5</v>
      </c>
      <c r="H48" s="10">
        <v>1755</v>
      </c>
      <c r="I48" s="11">
        <v>1.68</v>
      </c>
      <c r="J48" s="11">
        <v>0.69</v>
      </c>
      <c r="K48" s="12">
        <f t="shared" si="0"/>
        <v>8.615384615384615E-2</v>
      </c>
      <c r="L48" s="12">
        <f t="shared" si="1"/>
        <v>3.5384615384615382E-2</v>
      </c>
      <c r="M48" s="10">
        <v>2</v>
      </c>
      <c r="N48" s="10">
        <v>0</v>
      </c>
      <c r="O48" s="10">
        <v>76</v>
      </c>
      <c r="P48" s="10">
        <v>3</v>
      </c>
      <c r="Q48" s="10">
        <v>21</v>
      </c>
      <c r="R48" s="11">
        <v>11.23</v>
      </c>
      <c r="S48" s="6"/>
      <c r="T48" s="6"/>
      <c r="U48" s="6"/>
      <c r="V48" s="7" t="b">
        <v>0</v>
      </c>
      <c r="W48" s="8">
        <f>IFERROR(VLOOKUP(D48,Teams!$B$2:$I$21,6,FALSE),"")</f>
        <v>0</v>
      </c>
      <c r="X48" s="2" t="s">
        <v>65</v>
      </c>
      <c r="Y48" s="13"/>
      <c r="Z48" s="14"/>
      <c r="AA48" s="15">
        <f>IFERROR(H48/(H48+Priors!$G$3),0)</f>
        <v>0.63702359346642468</v>
      </c>
      <c r="AB48" s="16">
        <f>VLOOKUP(E48,Priors!$A$3:$C$6,2,FALSE)</f>
        <v>0.15714383234350468</v>
      </c>
      <c r="AC48" s="16">
        <f>VLOOKUP(E48,Priors!$A$3:$C$6,3,FALSE)</f>
        <v>0.13222062939449797</v>
      </c>
      <c r="AD48" s="12">
        <f t="shared" si="2"/>
        <v>0.11192153624083653</v>
      </c>
      <c r="AE48" s="12">
        <f t="shared" si="3"/>
        <v>7.0533803772957523E-2</v>
      </c>
      <c r="AF48" s="17">
        <v>1</v>
      </c>
      <c r="AG48" s="17">
        <v>1</v>
      </c>
      <c r="AH48" s="16">
        <f>IFERROR(VLOOKUP(D48,Teams!$B$2:$I$21,7,FALSE),1)</f>
        <v>1</v>
      </c>
      <c r="AI48" s="12">
        <f t="shared" si="4"/>
        <v>0.11192153624083653</v>
      </c>
      <c r="AJ48" s="12">
        <f t="shared" si="5"/>
        <v>7.0533803772957523E-2</v>
      </c>
      <c r="AK48" s="6" t="s">
        <v>80</v>
      </c>
      <c r="AL48" s="18">
        <v>0</v>
      </c>
      <c r="AM48" s="23" t="s">
        <v>209</v>
      </c>
      <c r="AN48" s="24">
        <v>0</v>
      </c>
      <c r="AO48" s="25" t="b">
        <v>1</v>
      </c>
      <c r="AP48" s="23" t="s">
        <v>210</v>
      </c>
      <c r="AQ48" s="25" t="b">
        <v>0</v>
      </c>
      <c r="AR48" s="23"/>
      <c r="AS48" s="23" t="s">
        <v>68</v>
      </c>
    </row>
    <row r="49" spans="1:45" ht="60">
      <c r="A49" s="6">
        <v>49</v>
      </c>
      <c r="B49" s="6" t="s">
        <v>211</v>
      </c>
      <c r="C49" s="6" t="s">
        <v>212</v>
      </c>
      <c r="D49" s="6" t="s">
        <v>153</v>
      </c>
      <c r="E49" s="6" t="s">
        <v>11</v>
      </c>
      <c r="F49" s="9">
        <v>5</v>
      </c>
      <c r="G49" s="9">
        <v>5</v>
      </c>
      <c r="H49" s="10">
        <v>0</v>
      </c>
      <c r="I49" s="11">
        <v>0</v>
      </c>
      <c r="J49" s="11">
        <v>0</v>
      </c>
      <c r="K49" s="12">
        <f t="shared" si="0"/>
        <v>0</v>
      </c>
      <c r="L49" s="12">
        <f t="shared" si="1"/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1">
        <v>0</v>
      </c>
      <c r="S49" s="6"/>
      <c r="T49" s="6"/>
      <c r="U49" s="6"/>
      <c r="V49" s="7" t="b">
        <v>0</v>
      </c>
      <c r="W49" s="8">
        <f>IFERROR(VLOOKUP(D49,Teams!$B$2:$I$21,6,FALSE),"")</f>
        <v>0</v>
      </c>
      <c r="X49" s="2" t="s">
        <v>65</v>
      </c>
      <c r="Y49" s="13"/>
      <c r="Z49" s="14"/>
      <c r="AA49" s="15">
        <f>IFERROR(H49/(H49+Priors!$G$3),0)</f>
        <v>0</v>
      </c>
      <c r="AB49" s="16">
        <f>VLOOKUP(E49,Priors!$A$3:$C$6,2,FALSE)</f>
        <v>0.15714383234350468</v>
      </c>
      <c r="AC49" s="16">
        <f>VLOOKUP(E49,Priors!$A$3:$C$6,3,FALSE)</f>
        <v>0.13222062939449797</v>
      </c>
      <c r="AD49" s="12">
        <f t="shared" si="2"/>
        <v>0.15714383234350468</v>
      </c>
      <c r="AE49" s="12">
        <f t="shared" si="3"/>
        <v>0.13222062939449797</v>
      </c>
      <c r="AF49" s="17">
        <v>1</v>
      </c>
      <c r="AG49" s="17">
        <v>1</v>
      </c>
      <c r="AH49" s="16">
        <f>IFERROR(VLOOKUP(D49,Teams!$B$2:$I$21,7,FALSE),1)</f>
        <v>1</v>
      </c>
      <c r="AI49" s="12">
        <f t="shared" si="4"/>
        <v>0.15714383234350468</v>
      </c>
      <c r="AJ49" s="12">
        <f t="shared" si="5"/>
        <v>0.13222062939449797</v>
      </c>
      <c r="AK49" s="6" t="s">
        <v>66</v>
      </c>
      <c r="AL49" s="18"/>
      <c r="AM49" s="23"/>
      <c r="AN49" s="24">
        <v>0</v>
      </c>
      <c r="AO49" s="25" t="b">
        <v>1</v>
      </c>
      <c r="AP49" s="23" t="s">
        <v>201</v>
      </c>
      <c r="AQ49" s="25" t="b">
        <v>0</v>
      </c>
      <c r="AR49" s="23"/>
      <c r="AS49" s="23" t="s">
        <v>68</v>
      </c>
    </row>
    <row r="50" spans="1:45" ht="60">
      <c r="A50" s="6">
        <v>50</v>
      </c>
      <c r="B50" s="6" t="s">
        <v>213</v>
      </c>
      <c r="C50" s="6" t="s">
        <v>214</v>
      </c>
      <c r="D50" s="6" t="s">
        <v>153</v>
      </c>
      <c r="E50" s="6" t="s">
        <v>11</v>
      </c>
      <c r="F50" s="9">
        <v>4.5</v>
      </c>
      <c r="G50" s="9">
        <v>4.5</v>
      </c>
      <c r="H50" s="10">
        <v>16</v>
      </c>
      <c r="I50" s="11">
        <v>0</v>
      </c>
      <c r="J50" s="11">
        <v>0</v>
      </c>
      <c r="K50" s="12">
        <f t="shared" si="0"/>
        <v>0</v>
      </c>
      <c r="L50" s="12">
        <f t="shared" si="1"/>
        <v>0</v>
      </c>
      <c r="M50" s="10">
        <v>0</v>
      </c>
      <c r="N50" s="10">
        <v>0</v>
      </c>
      <c r="O50" s="10">
        <v>1</v>
      </c>
      <c r="P50" s="10">
        <v>1</v>
      </c>
      <c r="Q50" s="10">
        <v>0</v>
      </c>
      <c r="R50" s="11">
        <v>5.62</v>
      </c>
      <c r="S50" s="6"/>
      <c r="T50" s="6"/>
      <c r="U50" s="6"/>
      <c r="V50" s="7" t="b">
        <v>1</v>
      </c>
      <c r="W50" s="8">
        <f>IFERROR(VLOOKUP(D50,Teams!$B$2:$I$21,6,FALSE),"")</f>
        <v>0</v>
      </c>
      <c r="X50" s="2" t="s">
        <v>65</v>
      </c>
      <c r="Y50" s="13"/>
      <c r="Z50" s="14"/>
      <c r="AA50" s="15">
        <f>IFERROR(H50/(H50+Priors!$G$3),0)</f>
        <v>1.5748031496062992E-2</v>
      </c>
      <c r="AB50" s="16">
        <f>VLOOKUP(E50,Priors!$A$3:$C$6,2,FALSE)</f>
        <v>0.15714383234350468</v>
      </c>
      <c r="AC50" s="16">
        <f>VLOOKUP(E50,Priors!$A$3:$C$6,3,FALSE)</f>
        <v>0.13222062939449797</v>
      </c>
      <c r="AD50" s="12">
        <f t="shared" si="2"/>
        <v>0.15466912632234714</v>
      </c>
      <c r="AE50" s="12">
        <f t="shared" si="3"/>
        <v>0.13013841475836416</v>
      </c>
      <c r="AF50" s="17">
        <v>1</v>
      </c>
      <c r="AG50" s="17">
        <v>1</v>
      </c>
      <c r="AH50" s="16">
        <f>IFERROR(VLOOKUP(D50,Teams!$B$2:$I$21,7,FALSE),1)</f>
        <v>1</v>
      </c>
      <c r="AI50" s="12">
        <f t="shared" si="4"/>
        <v>0.15466912632234714</v>
      </c>
      <c r="AJ50" s="12">
        <f t="shared" si="5"/>
        <v>0.13013841475836416</v>
      </c>
      <c r="AK50" s="6" t="s">
        <v>66</v>
      </c>
      <c r="AL50" s="18"/>
      <c r="AM50" s="23"/>
      <c r="AN50" s="24">
        <v>9.0000000000000011E-3</v>
      </c>
      <c r="AO50" s="25" t="b">
        <v>1</v>
      </c>
      <c r="AP50" s="23" t="s">
        <v>65</v>
      </c>
      <c r="AQ50" s="25" t="b">
        <v>0</v>
      </c>
      <c r="AR50" s="23"/>
      <c r="AS50" s="23" t="s">
        <v>68</v>
      </c>
    </row>
    <row r="51" spans="1:45" ht="60">
      <c r="A51" s="6">
        <v>51</v>
      </c>
      <c r="B51" s="6" t="s">
        <v>215</v>
      </c>
      <c r="C51" s="6" t="s">
        <v>215</v>
      </c>
      <c r="D51" s="6" t="s">
        <v>153</v>
      </c>
      <c r="E51" s="6" t="s">
        <v>11</v>
      </c>
      <c r="F51" s="9">
        <v>4.5</v>
      </c>
      <c r="G51" s="9">
        <v>4.5</v>
      </c>
      <c r="H51" s="10">
        <v>25</v>
      </c>
      <c r="I51" s="11">
        <v>0.04</v>
      </c>
      <c r="J51" s="11">
        <v>0.01</v>
      </c>
      <c r="K51" s="12">
        <f t="shared" si="0"/>
        <v>0.14400000000000002</v>
      </c>
      <c r="L51" s="12">
        <f t="shared" si="1"/>
        <v>3.6000000000000004E-2</v>
      </c>
      <c r="M51" s="10">
        <v>0</v>
      </c>
      <c r="N51" s="10">
        <v>0</v>
      </c>
      <c r="O51" s="10">
        <v>2</v>
      </c>
      <c r="P51" s="10">
        <v>1</v>
      </c>
      <c r="Q51" s="10">
        <v>0</v>
      </c>
      <c r="R51" s="11">
        <v>3.6</v>
      </c>
      <c r="S51" s="6"/>
      <c r="T51" s="6"/>
      <c r="U51" s="6"/>
      <c r="V51" s="7" t="b">
        <v>1</v>
      </c>
      <c r="W51" s="8">
        <f>IFERROR(VLOOKUP(D51,Teams!$B$2:$I$21,6,FALSE),"")</f>
        <v>0</v>
      </c>
      <c r="X51" s="2" t="s">
        <v>65</v>
      </c>
      <c r="Y51" s="13"/>
      <c r="Z51" s="14"/>
      <c r="AA51" s="15">
        <f>IFERROR(H51/(H51+Priors!$G$3),0)</f>
        <v>2.4390243902439025E-2</v>
      </c>
      <c r="AB51" s="16">
        <f>VLOOKUP(E51,Priors!$A$3:$C$6,2,FALSE)</f>
        <v>0.15714383234350468</v>
      </c>
      <c r="AC51" s="16">
        <f>VLOOKUP(E51,Priors!$A$3:$C$6,3,FALSE)</f>
        <v>0.13222062939449797</v>
      </c>
      <c r="AD51" s="12">
        <f t="shared" si="2"/>
        <v>0.15682325106683384</v>
      </c>
      <c r="AE51" s="12">
        <f t="shared" si="3"/>
        <v>0.12987378477511996</v>
      </c>
      <c r="AF51" s="17">
        <v>1</v>
      </c>
      <c r="AG51" s="17">
        <v>1</v>
      </c>
      <c r="AH51" s="16">
        <f>IFERROR(VLOOKUP(D51,Teams!$B$2:$I$21,7,FALSE),1)</f>
        <v>1</v>
      </c>
      <c r="AI51" s="12">
        <f t="shared" si="4"/>
        <v>0.15682325106683384</v>
      </c>
      <c r="AJ51" s="12">
        <f t="shared" si="5"/>
        <v>0.12987378477511996</v>
      </c>
      <c r="AK51" s="6" t="s">
        <v>66</v>
      </c>
      <c r="AL51" s="18"/>
      <c r="AM51" s="23"/>
      <c r="AN51" s="24">
        <v>3.0000000000000001E-3</v>
      </c>
      <c r="AO51" s="25" t="b">
        <v>1</v>
      </c>
      <c r="AP51" s="23" t="s">
        <v>65</v>
      </c>
      <c r="AQ51" s="25" t="b">
        <v>0</v>
      </c>
      <c r="AR51" s="23"/>
      <c r="AS51" s="23" t="s">
        <v>68</v>
      </c>
    </row>
    <row r="52" spans="1:45" ht="60">
      <c r="A52" s="6">
        <v>52</v>
      </c>
      <c r="B52" s="6" t="s">
        <v>216</v>
      </c>
      <c r="C52" s="6" t="s">
        <v>217</v>
      </c>
      <c r="D52" s="6" t="s">
        <v>153</v>
      </c>
      <c r="E52" s="6" t="s">
        <v>11</v>
      </c>
      <c r="F52" s="9">
        <v>5</v>
      </c>
      <c r="G52" s="9">
        <v>5</v>
      </c>
      <c r="H52" s="10">
        <v>47</v>
      </c>
      <c r="I52" s="11">
        <v>0.05</v>
      </c>
      <c r="J52" s="11">
        <v>0.05</v>
      </c>
      <c r="K52" s="12">
        <f t="shared" si="0"/>
        <v>9.5744680851063829E-2</v>
      </c>
      <c r="L52" s="12">
        <f t="shared" si="1"/>
        <v>9.5744680851063829E-2</v>
      </c>
      <c r="M52" s="10">
        <v>0</v>
      </c>
      <c r="N52" s="10">
        <v>0</v>
      </c>
      <c r="O52" s="10">
        <v>3</v>
      </c>
      <c r="P52" s="10">
        <v>1</v>
      </c>
      <c r="Q52" s="10">
        <v>0</v>
      </c>
      <c r="R52" s="11">
        <v>7.66</v>
      </c>
      <c r="S52" s="6"/>
      <c r="T52" s="6"/>
      <c r="U52" s="6"/>
      <c r="V52" s="7" t="b">
        <v>0</v>
      </c>
      <c r="W52" s="8">
        <f>IFERROR(VLOOKUP(D52,Teams!$B$2:$I$21,6,FALSE),"")</f>
        <v>0</v>
      </c>
      <c r="X52" s="2" t="s">
        <v>65</v>
      </c>
      <c r="Y52" s="13"/>
      <c r="Z52" s="14"/>
      <c r="AA52" s="15">
        <f>IFERROR(H52/(H52+Priors!$G$3),0)</f>
        <v>4.4890162368672396E-2</v>
      </c>
      <c r="AB52" s="16">
        <f>VLOOKUP(E52,Priors!$A$3:$C$6,2,FALSE)</f>
        <v>0.15714383234350468</v>
      </c>
      <c r="AC52" s="16">
        <f>VLOOKUP(E52,Priors!$A$3:$C$6,3,FALSE)</f>
        <v>0.13222062939449797</v>
      </c>
      <c r="AD52" s="12">
        <f t="shared" si="2"/>
        <v>0.1543876144637103</v>
      </c>
      <c r="AE52" s="12">
        <f t="shared" si="3"/>
        <v>0.13058321814183185</v>
      </c>
      <c r="AF52" s="17">
        <v>1</v>
      </c>
      <c r="AG52" s="17">
        <v>1</v>
      </c>
      <c r="AH52" s="16">
        <f>IFERROR(VLOOKUP(D52,Teams!$B$2:$I$21,7,FALSE),1)</f>
        <v>1</v>
      </c>
      <c r="AI52" s="12">
        <f t="shared" si="4"/>
        <v>0.1543876144637103</v>
      </c>
      <c r="AJ52" s="12">
        <f t="shared" si="5"/>
        <v>0.13058321814183185</v>
      </c>
      <c r="AK52" s="6" t="s">
        <v>66</v>
      </c>
      <c r="AL52" s="18"/>
      <c r="AM52" s="23"/>
      <c r="AN52" s="24">
        <v>0</v>
      </c>
      <c r="AO52" s="25" t="b">
        <v>1</v>
      </c>
      <c r="AP52" s="23" t="s">
        <v>218</v>
      </c>
      <c r="AQ52" s="25" t="b">
        <v>0</v>
      </c>
      <c r="AR52" s="23"/>
      <c r="AS52" s="23" t="s">
        <v>68</v>
      </c>
    </row>
    <row r="53" spans="1:45" ht="60">
      <c r="A53" s="6">
        <v>53</v>
      </c>
      <c r="B53" s="6" t="s">
        <v>219</v>
      </c>
      <c r="C53" s="6" t="s">
        <v>220</v>
      </c>
      <c r="D53" s="6" t="s">
        <v>153</v>
      </c>
      <c r="E53" s="6" t="s">
        <v>11</v>
      </c>
      <c r="F53" s="9">
        <v>6</v>
      </c>
      <c r="G53" s="9">
        <v>6</v>
      </c>
      <c r="H53" s="10">
        <v>0</v>
      </c>
      <c r="I53" s="11">
        <v>0</v>
      </c>
      <c r="J53" s="11">
        <v>0</v>
      </c>
      <c r="K53" s="12">
        <f t="shared" si="0"/>
        <v>0</v>
      </c>
      <c r="L53" s="12">
        <f t="shared" si="1"/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>
        <v>0</v>
      </c>
      <c r="S53" s="6"/>
      <c r="T53" s="6"/>
      <c r="U53" s="6"/>
      <c r="V53" s="7" t="b">
        <v>1</v>
      </c>
      <c r="W53" s="8">
        <f>IFERROR(VLOOKUP(D53,Teams!$B$2:$I$21,6,FALSE),"")</f>
        <v>0</v>
      </c>
      <c r="X53" s="2" t="s">
        <v>65</v>
      </c>
      <c r="Y53" s="13"/>
      <c r="Z53" s="14"/>
      <c r="AA53" s="15">
        <f>IFERROR(H53/(H53+Priors!$G$3),0)</f>
        <v>0</v>
      </c>
      <c r="AB53" s="16">
        <f>VLOOKUP(E53,Priors!$A$3:$C$6,2,FALSE)</f>
        <v>0.15714383234350468</v>
      </c>
      <c r="AC53" s="16">
        <f>VLOOKUP(E53,Priors!$A$3:$C$6,3,FALSE)</f>
        <v>0.13222062939449797</v>
      </c>
      <c r="AD53" s="12">
        <f t="shared" si="2"/>
        <v>0.15714383234350468</v>
      </c>
      <c r="AE53" s="12">
        <f t="shared" si="3"/>
        <v>0.13222062939449797</v>
      </c>
      <c r="AF53" s="17">
        <v>1</v>
      </c>
      <c r="AG53" s="17">
        <v>1</v>
      </c>
      <c r="AH53" s="16">
        <f>IFERROR(VLOOKUP(D53,Teams!$B$2:$I$21,7,FALSE),1)</f>
        <v>1</v>
      </c>
      <c r="AI53" s="12">
        <f t="shared" si="4"/>
        <v>0.15714383234350468</v>
      </c>
      <c r="AJ53" s="12">
        <f t="shared" si="5"/>
        <v>0.13222062939449797</v>
      </c>
      <c r="AK53" s="6" t="s">
        <v>66</v>
      </c>
      <c r="AL53" s="18"/>
      <c r="AM53" s="23"/>
      <c r="AN53" s="24">
        <v>2.5000000000000001E-2</v>
      </c>
      <c r="AO53" s="25" t="b">
        <v>1</v>
      </c>
      <c r="AP53" s="23" t="s">
        <v>221</v>
      </c>
      <c r="AQ53" s="25" t="b">
        <v>0</v>
      </c>
      <c r="AR53" s="23"/>
      <c r="AS53" s="23" t="s">
        <v>68</v>
      </c>
    </row>
    <row r="54" spans="1:45" ht="60">
      <c r="A54" s="6">
        <v>54</v>
      </c>
      <c r="B54" s="6" t="s">
        <v>222</v>
      </c>
      <c r="C54" s="6" t="s">
        <v>223</v>
      </c>
      <c r="D54" s="6" t="s">
        <v>153</v>
      </c>
      <c r="E54" s="6" t="s">
        <v>11</v>
      </c>
      <c r="F54" s="9">
        <v>5.5</v>
      </c>
      <c r="G54" s="9">
        <v>5.5</v>
      </c>
      <c r="H54" s="10">
        <v>2207</v>
      </c>
      <c r="I54" s="11">
        <v>1.1499999999999999</v>
      </c>
      <c r="J54" s="11">
        <v>1.34</v>
      </c>
      <c r="K54" s="12">
        <f t="shared" si="0"/>
        <v>4.6896239238785678E-2</v>
      </c>
      <c r="L54" s="12">
        <f t="shared" si="1"/>
        <v>5.4644313547802449E-2</v>
      </c>
      <c r="M54" s="10">
        <v>1</v>
      </c>
      <c r="N54" s="10">
        <v>1</v>
      </c>
      <c r="O54" s="10">
        <v>85</v>
      </c>
      <c r="P54" s="10">
        <v>3</v>
      </c>
      <c r="Q54" s="10">
        <v>25</v>
      </c>
      <c r="R54" s="11">
        <v>15.78</v>
      </c>
      <c r="S54" s="6"/>
      <c r="T54" s="6"/>
      <c r="U54" s="6"/>
      <c r="V54" s="7" t="b">
        <v>1</v>
      </c>
      <c r="W54" s="8">
        <f>IFERROR(VLOOKUP(D54,Teams!$B$2:$I$21,6,FALSE),"")</f>
        <v>0</v>
      </c>
      <c r="X54" s="2" t="s">
        <v>65</v>
      </c>
      <c r="Y54" s="13"/>
      <c r="Z54" s="14"/>
      <c r="AA54" s="15">
        <f>IFERROR(H54/(H54+Priors!$G$3),0)</f>
        <v>0.68818210165263483</v>
      </c>
      <c r="AB54" s="16">
        <f>VLOOKUP(E54,Priors!$A$3:$C$6,2,FALSE)</f>
        <v>0.15714383234350468</v>
      </c>
      <c r="AC54" s="16">
        <f>VLOOKUP(E54,Priors!$A$3:$C$6,3,FALSE)</f>
        <v>0.13222062939449797</v>
      </c>
      <c r="AD54" s="12">
        <f t="shared" si="2"/>
        <v>8.1273412018554619E-2</v>
      </c>
      <c r="AE54" s="12">
        <f t="shared" si="3"/>
        <v>7.8833997316650445E-2</v>
      </c>
      <c r="AF54" s="17">
        <v>1</v>
      </c>
      <c r="AG54" s="17">
        <v>1</v>
      </c>
      <c r="AH54" s="16">
        <f>IFERROR(VLOOKUP(D54,Teams!$B$2:$I$21,7,FALSE),1)</f>
        <v>1</v>
      </c>
      <c r="AI54" s="12">
        <f t="shared" si="4"/>
        <v>8.1273412018554619E-2</v>
      </c>
      <c r="AJ54" s="12">
        <f t="shared" si="5"/>
        <v>7.8833997316650445E-2</v>
      </c>
      <c r="AK54" s="6" t="s">
        <v>66</v>
      </c>
      <c r="AL54" s="18"/>
      <c r="AM54" s="23"/>
      <c r="AN54" s="24">
        <v>3.0000000000000001E-3</v>
      </c>
      <c r="AO54" s="25" t="b">
        <v>1</v>
      </c>
      <c r="AP54" s="23" t="s">
        <v>224</v>
      </c>
      <c r="AQ54" s="25" t="b">
        <v>0</v>
      </c>
      <c r="AR54" s="23"/>
      <c r="AS54" s="23" t="s">
        <v>68</v>
      </c>
    </row>
    <row r="55" spans="1:45" ht="60">
      <c r="A55" s="6">
        <v>55</v>
      </c>
      <c r="B55" s="6" t="s">
        <v>225</v>
      </c>
      <c r="C55" s="6" t="s">
        <v>226</v>
      </c>
      <c r="D55" s="6" t="s">
        <v>153</v>
      </c>
      <c r="E55" s="6" t="s">
        <v>14</v>
      </c>
      <c r="F55" s="9">
        <v>8</v>
      </c>
      <c r="G55" s="9">
        <v>8</v>
      </c>
      <c r="H55" s="10">
        <v>2833</v>
      </c>
      <c r="I55" s="11">
        <v>15.4</v>
      </c>
      <c r="J55" s="11">
        <v>1.18</v>
      </c>
      <c r="K55" s="12">
        <f t="shared" si="0"/>
        <v>0.48923402753265088</v>
      </c>
      <c r="L55" s="12">
        <f t="shared" si="1"/>
        <v>3.7486763148605717E-2</v>
      </c>
      <c r="M55" s="10">
        <v>16</v>
      </c>
      <c r="N55" s="10">
        <v>4</v>
      </c>
      <c r="O55" s="10">
        <v>167</v>
      </c>
      <c r="P55" s="10">
        <v>4.5</v>
      </c>
      <c r="Q55" s="10">
        <v>33</v>
      </c>
      <c r="R55" s="11">
        <v>2.99</v>
      </c>
      <c r="S55" s="6">
        <v>2</v>
      </c>
      <c r="T55" s="6"/>
      <c r="U55" s="6"/>
      <c r="V55" s="7" t="b">
        <v>0</v>
      </c>
      <c r="W55" s="8">
        <f>IFERROR(VLOOKUP(D55,Teams!$B$2:$I$21,6,FALSE),"")</f>
        <v>0</v>
      </c>
      <c r="X55" s="2" t="s">
        <v>65</v>
      </c>
      <c r="Y55" s="13"/>
      <c r="Z55" s="14"/>
      <c r="AA55" s="15">
        <f>IFERROR(H55/(H55+Priors!$G$3),0)</f>
        <v>0.7391077484998696</v>
      </c>
      <c r="AB55" s="16">
        <f>VLOOKUP(E55,Priors!$A$3:$C$6,2,FALSE)</f>
        <v>0.44625207326425426</v>
      </c>
      <c r="AC55" s="16">
        <f>VLOOKUP(E55,Priors!$A$3:$C$6,3,FALSE)</f>
        <v>5.8217260259314105E-2</v>
      </c>
      <c r="AD55" s="12">
        <f t="shared" si="2"/>
        <v>0.47802036870969328</v>
      </c>
      <c r="AE55" s="12">
        <f t="shared" si="3"/>
        <v>4.2895189214535376E-2</v>
      </c>
      <c r="AF55" s="17">
        <v>1</v>
      </c>
      <c r="AG55" s="17">
        <v>1</v>
      </c>
      <c r="AH55" s="16">
        <f>IFERROR(VLOOKUP(D55,Teams!$B$2:$I$21,7,FALSE),1)</f>
        <v>1</v>
      </c>
      <c r="AI55" s="12">
        <f t="shared" si="4"/>
        <v>0.47802036870969328</v>
      </c>
      <c r="AJ55" s="12">
        <f t="shared" si="5"/>
        <v>4.2895189214535376E-2</v>
      </c>
      <c r="AK55" s="6" t="s">
        <v>66</v>
      </c>
      <c r="AL55" s="18"/>
      <c r="AM55" s="23"/>
      <c r="AN55" s="24">
        <v>0.124</v>
      </c>
      <c r="AO55" s="25" t="b">
        <v>1</v>
      </c>
      <c r="AP55" s="23" t="s">
        <v>227</v>
      </c>
      <c r="AQ55" s="25" t="b">
        <v>0</v>
      </c>
      <c r="AR55" s="23"/>
      <c r="AS55" s="23" t="s">
        <v>68</v>
      </c>
    </row>
    <row r="56" spans="1:45" ht="60">
      <c r="A56" s="6">
        <v>56</v>
      </c>
      <c r="B56" s="6" t="s">
        <v>228</v>
      </c>
      <c r="C56" s="6" t="s">
        <v>229</v>
      </c>
      <c r="D56" s="6" t="s">
        <v>153</v>
      </c>
      <c r="E56" s="6" t="s">
        <v>14</v>
      </c>
      <c r="F56" s="9">
        <v>5.5</v>
      </c>
      <c r="G56" s="9">
        <v>5.5</v>
      </c>
      <c r="H56" s="10">
        <v>278</v>
      </c>
      <c r="I56" s="11">
        <v>2.0499999999999998</v>
      </c>
      <c r="J56" s="11">
        <v>0.36</v>
      </c>
      <c r="K56" s="12">
        <f t="shared" si="0"/>
        <v>0.66366906474820131</v>
      </c>
      <c r="L56" s="12">
        <f t="shared" si="1"/>
        <v>0.11654676258992805</v>
      </c>
      <c r="M56" s="10">
        <v>2</v>
      </c>
      <c r="N56" s="10">
        <v>0</v>
      </c>
      <c r="O56" s="10">
        <v>23</v>
      </c>
      <c r="P56" s="10">
        <v>1.9</v>
      </c>
      <c r="Q56" s="10">
        <v>2</v>
      </c>
      <c r="R56" s="11">
        <v>4.21</v>
      </c>
      <c r="S56" s="6"/>
      <c r="T56" s="6"/>
      <c r="U56" s="6"/>
      <c r="V56" s="7" t="b">
        <v>0</v>
      </c>
      <c r="W56" s="8">
        <f>IFERROR(VLOOKUP(D56,Teams!$B$2:$I$21,6,FALSE),"")</f>
        <v>0</v>
      </c>
      <c r="X56" s="2" t="s">
        <v>65</v>
      </c>
      <c r="Y56" s="13"/>
      <c r="Z56" s="14"/>
      <c r="AA56" s="15">
        <f>IFERROR(H56/(H56+Priors!$G$3),0)</f>
        <v>0.21752738654147105</v>
      </c>
      <c r="AB56" s="16">
        <f>VLOOKUP(E56,Priors!$A$3:$C$6,2,FALSE)</f>
        <v>0.44625207326425426</v>
      </c>
      <c r="AC56" s="16">
        <f>VLOOKUP(E56,Priors!$A$3:$C$6,3,FALSE)</f>
        <v>5.8217260259314105E-2</v>
      </c>
      <c r="AD56" s="12">
        <f t="shared" si="2"/>
        <v>0.49354622321146652</v>
      </c>
      <c r="AE56" s="12">
        <f t="shared" si="3"/>
        <v>7.0905524459557195E-2</v>
      </c>
      <c r="AF56" s="17">
        <v>1</v>
      </c>
      <c r="AG56" s="17">
        <v>1</v>
      </c>
      <c r="AH56" s="16">
        <f>IFERROR(VLOOKUP(D56,Teams!$B$2:$I$21,7,FALSE),1)</f>
        <v>1</v>
      </c>
      <c r="AI56" s="12">
        <f t="shared" si="4"/>
        <v>0.49354622321146652</v>
      </c>
      <c r="AJ56" s="12">
        <f t="shared" si="5"/>
        <v>7.0905524459557195E-2</v>
      </c>
      <c r="AK56" s="6" t="s">
        <v>80</v>
      </c>
      <c r="AL56" s="18">
        <v>0</v>
      </c>
      <c r="AM56" s="23" t="s">
        <v>230</v>
      </c>
      <c r="AN56" s="24">
        <v>0</v>
      </c>
      <c r="AO56" s="25" t="b">
        <v>1</v>
      </c>
      <c r="AP56" s="23" t="s">
        <v>231</v>
      </c>
      <c r="AQ56" s="25" t="b">
        <v>0</v>
      </c>
      <c r="AR56" s="23"/>
      <c r="AS56" s="23" t="s">
        <v>68</v>
      </c>
    </row>
    <row r="57" spans="1:45" ht="60">
      <c r="A57" s="6">
        <v>160</v>
      </c>
      <c r="B57" s="6" t="s">
        <v>232</v>
      </c>
      <c r="C57" s="6" t="s">
        <v>233</v>
      </c>
      <c r="D57" s="6" t="s">
        <v>153</v>
      </c>
      <c r="E57" s="6" t="s">
        <v>11</v>
      </c>
      <c r="F57" s="9">
        <v>6</v>
      </c>
      <c r="G57" s="9">
        <v>6</v>
      </c>
      <c r="H57" s="10">
        <v>1261</v>
      </c>
      <c r="I57" s="11">
        <v>3.44</v>
      </c>
      <c r="J57" s="11">
        <v>3.68</v>
      </c>
      <c r="K57" s="12">
        <f t="shared" si="0"/>
        <v>0.24551942902458368</v>
      </c>
      <c r="L57" s="12">
        <f t="shared" si="1"/>
        <v>0.26264869151467091</v>
      </c>
      <c r="M57" s="10">
        <v>1</v>
      </c>
      <c r="N57" s="10">
        <v>4</v>
      </c>
      <c r="O57" s="10">
        <v>56</v>
      </c>
      <c r="P57" s="10">
        <v>2.2999999999999998</v>
      </c>
      <c r="Q57" s="10">
        <v>14</v>
      </c>
      <c r="R57" s="11">
        <v>5.07</v>
      </c>
      <c r="S57" s="6"/>
      <c r="T57" s="6"/>
      <c r="U57" s="6"/>
      <c r="V57" s="7" t="b">
        <v>1</v>
      </c>
      <c r="W57" s="8">
        <f>IFERROR(VLOOKUP(D57,Teams!$B$2:$I$21,6,FALSE),"")</f>
        <v>0</v>
      </c>
      <c r="X57" s="2" t="s">
        <v>65</v>
      </c>
      <c r="Y57" s="13"/>
      <c r="Z57" s="14"/>
      <c r="AA57" s="15">
        <f>IFERROR(H57/(H57+Priors!$G$3),0)</f>
        <v>0.55771782397169389</v>
      </c>
      <c r="AB57" s="16">
        <f>VLOOKUP(E57,Priors!$A$3:$C$6,2,FALSE)</f>
        <v>0.15714383234350468</v>
      </c>
      <c r="AC57" s="16">
        <f>VLOOKUP(E57,Priors!$A$3:$C$6,3,FALSE)</f>
        <v>0.13222062939449797</v>
      </c>
      <c r="AD57" s="12">
        <f t="shared" si="2"/>
        <v>0.20643247781667612</v>
      </c>
      <c r="AE57" s="12">
        <f t="shared" si="3"/>
        <v>0.20496268438500573</v>
      </c>
      <c r="AF57" s="17">
        <v>1</v>
      </c>
      <c r="AG57" s="17">
        <v>1</v>
      </c>
      <c r="AH57" s="16">
        <f>IFERROR(VLOOKUP(D57,Teams!$B$2:$I$21,7,FALSE),1)</f>
        <v>1</v>
      </c>
      <c r="AI57" s="12">
        <f t="shared" si="4"/>
        <v>0.20643247781667612</v>
      </c>
      <c r="AJ57" s="12">
        <f t="shared" si="5"/>
        <v>0.20496268438500573</v>
      </c>
      <c r="AK57" s="6" t="s">
        <v>66</v>
      </c>
      <c r="AL57" s="18"/>
      <c r="AM57" s="23"/>
      <c r="AN57" s="24">
        <v>1.1000000000000001E-2</v>
      </c>
      <c r="AO57" s="25" t="b">
        <v>1</v>
      </c>
      <c r="AP57" s="23" t="s">
        <v>150</v>
      </c>
      <c r="AQ57" s="25" t="b">
        <v>0</v>
      </c>
      <c r="AR57" s="23"/>
      <c r="AS57" s="23" t="s">
        <v>68</v>
      </c>
    </row>
    <row r="58" spans="1:45" ht="60">
      <c r="A58" s="6">
        <v>57</v>
      </c>
      <c r="B58" s="6" t="s">
        <v>234</v>
      </c>
      <c r="C58" s="6" t="s">
        <v>235</v>
      </c>
      <c r="D58" s="6" t="s">
        <v>236</v>
      </c>
      <c r="E58" s="6" t="s">
        <v>7</v>
      </c>
      <c r="F58" s="9">
        <v>4.5</v>
      </c>
      <c r="G58" s="9">
        <v>4.5</v>
      </c>
      <c r="H58" s="10">
        <v>3420</v>
      </c>
      <c r="I58" s="11">
        <v>0</v>
      </c>
      <c r="J58" s="11">
        <v>0</v>
      </c>
      <c r="K58" s="12">
        <f t="shared" si="0"/>
        <v>0</v>
      </c>
      <c r="L58" s="12">
        <f t="shared" si="1"/>
        <v>0</v>
      </c>
      <c r="M58" s="10">
        <v>0</v>
      </c>
      <c r="N58" s="10">
        <v>0</v>
      </c>
      <c r="O58" s="10">
        <v>124</v>
      </c>
      <c r="P58" s="10">
        <v>3.3</v>
      </c>
      <c r="Q58" s="10">
        <v>38</v>
      </c>
      <c r="R58" s="11">
        <v>0</v>
      </c>
      <c r="S58" s="6"/>
      <c r="T58" s="6"/>
      <c r="U58" s="6"/>
      <c r="V58" s="7" t="b">
        <v>0</v>
      </c>
      <c r="W58" s="8">
        <f>IFERROR(VLOOKUP(D58,Teams!$B$2:$I$21,6,FALSE),"")</f>
        <v>0</v>
      </c>
      <c r="X58" s="2" t="s">
        <v>65</v>
      </c>
      <c r="Y58" s="13"/>
      <c r="Z58" s="14"/>
      <c r="AA58" s="15">
        <f>IFERROR(H58/(H58+Priors!$G$3),0)</f>
        <v>0.77375565610859731</v>
      </c>
      <c r="AB58" s="16">
        <f>VLOOKUP(E58,Priors!$A$3:$C$6,2,FALSE)</f>
        <v>2.4013207263995197E-4</v>
      </c>
      <c r="AC58" s="16">
        <f>VLOOKUP(E58,Priors!$A$3:$C$6,3,FALSE)</f>
        <v>1.9810895992796044E-3</v>
      </c>
      <c r="AD58" s="12">
        <f t="shared" si="2"/>
        <v>5.4328523221708587E-5</v>
      </c>
      <c r="AE58" s="12">
        <f t="shared" si="3"/>
        <v>4.4821031657909594E-4</v>
      </c>
      <c r="AF58" s="17">
        <v>1</v>
      </c>
      <c r="AG58" s="17">
        <v>1</v>
      </c>
      <c r="AH58" s="16">
        <f>IFERROR(VLOOKUP(D58,Teams!$B$2:$I$21,7,FALSE),1)</f>
        <v>1</v>
      </c>
      <c r="AI58" s="12">
        <f t="shared" si="4"/>
        <v>5.4328523221708587E-5</v>
      </c>
      <c r="AJ58" s="12">
        <f t="shared" si="5"/>
        <v>4.4821031657909594E-4</v>
      </c>
      <c r="AK58" s="6" t="s">
        <v>66</v>
      </c>
      <c r="AL58" s="18"/>
      <c r="AM58" s="23"/>
      <c r="AN58" s="24">
        <v>3.6000000000000004E-2</v>
      </c>
      <c r="AO58" s="25" t="b">
        <v>1</v>
      </c>
      <c r="AP58" s="23" t="s">
        <v>237</v>
      </c>
      <c r="AQ58" s="25" t="b">
        <v>0</v>
      </c>
      <c r="AR58" s="23"/>
      <c r="AS58" s="23" t="s">
        <v>68</v>
      </c>
    </row>
    <row r="59" spans="1:45" ht="60">
      <c r="A59" s="6">
        <v>58</v>
      </c>
      <c r="B59" s="6" t="s">
        <v>238</v>
      </c>
      <c r="C59" s="6" t="s">
        <v>239</v>
      </c>
      <c r="D59" s="6" t="s">
        <v>236</v>
      </c>
      <c r="E59" s="6" t="s">
        <v>7</v>
      </c>
      <c r="F59" s="9">
        <v>4</v>
      </c>
      <c r="G59" s="9">
        <v>4</v>
      </c>
      <c r="H59" s="10">
        <v>0</v>
      </c>
      <c r="I59" s="11">
        <v>0</v>
      </c>
      <c r="J59" s="11">
        <v>0</v>
      </c>
      <c r="K59" s="12">
        <f t="shared" si="0"/>
        <v>0</v>
      </c>
      <c r="L59" s="12">
        <f t="shared" si="1"/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>
        <v>0</v>
      </c>
      <c r="S59" s="6"/>
      <c r="T59" s="6"/>
      <c r="U59" s="6"/>
      <c r="V59" s="7" t="b">
        <v>0</v>
      </c>
      <c r="W59" s="8">
        <f>IFERROR(VLOOKUP(D59,Teams!$B$2:$I$21,6,FALSE),"")</f>
        <v>0</v>
      </c>
      <c r="X59" s="2" t="s">
        <v>65</v>
      </c>
      <c r="Y59" s="13"/>
      <c r="Z59" s="14"/>
      <c r="AA59" s="15">
        <f>IFERROR(H59/(H59+Priors!$G$3),0)</f>
        <v>0</v>
      </c>
      <c r="AB59" s="16">
        <f>VLOOKUP(E59,Priors!$A$3:$C$6,2,FALSE)</f>
        <v>2.4013207263995197E-4</v>
      </c>
      <c r="AC59" s="16">
        <f>VLOOKUP(E59,Priors!$A$3:$C$6,3,FALSE)</f>
        <v>1.9810895992796044E-3</v>
      </c>
      <c r="AD59" s="12">
        <f t="shared" si="2"/>
        <v>2.4013207263995197E-4</v>
      </c>
      <c r="AE59" s="12">
        <f t="shared" si="3"/>
        <v>1.9810895992796044E-3</v>
      </c>
      <c r="AF59" s="17">
        <v>1</v>
      </c>
      <c r="AG59" s="17">
        <v>1</v>
      </c>
      <c r="AH59" s="16">
        <f>IFERROR(VLOOKUP(D59,Teams!$B$2:$I$21,7,FALSE),1)</f>
        <v>1</v>
      </c>
      <c r="AI59" s="12">
        <f t="shared" si="4"/>
        <v>2.4013207263995197E-4</v>
      </c>
      <c r="AJ59" s="12">
        <f t="shared" si="5"/>
        <v>1.9810895992796044E-3</v>
      </c>
      <c r="AK59" s="6" t="s">
        <v>66</v>
      </c>
      <c r="AL59" s="18"/>
      <c r="AM59" s="23"/>
      <c r="AN59" s="24">
        <v>3.1E-2</v>
      </c>
      <c r="AO59" s="25" t="b">
        <v>1</v>
      </c>
      <c r="AP59" s="23" t="s">
        <v>240</v>
      </c>
      <c r="AQ59" s="25" t="b">
        <v>0</v>
      </c>
      <c r="AR59" s="23"/>
      <c r="AS59" s="23" t="s">
        <v>68</v>
      </c>
    </row>
    <row r="60" spans="1:45" ht="60">
      <c r="A60" s="6">
        <v>59</v>
      </c>
      <c r="B60" s="6" t="s">
        <v>241</v>
      </c>
      <c r="C60" s="6" t="s">
        <v>242</v>
      </c>
      <c r="D60" s="6" t="s">
        <v>236</v>
      </c>
      <c r="E60" s="6" t="s">
        <v>7</v>
      </c>
      <c r="F60" s="9">
        <v>4</v>
      </c>
      <c r="G60" s="9">
        <v>4</v>
      </c>
      <c r="H60" s="10">
        <v>0</v>
      </c>
      <c r="I60" s="11">
        <v>0</v>
      </c>
      <c r="J60" s="11">
        <v>0</v>
      </c>
      <c r="K60" s="12">
        <f t="shared" si="0"/>
        <v>0</v>
      </c>
      <c r="L60" s="12">
        <f t="shared" si="1"/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>
        <v>0</v>
      </c>
      <c r="S60" s="6"/>
      <c r="T60" s="6"/>
      <c r="U60" s="6"/>
      <c r="V60" s="7" t="b">
        <v>0</v>
      </c>
      <c r="W60" s="8">
        <f>IFERROR(VLOOKUP(D60,Teams!$B$2:$I$21,6,FALSE),"")</f>
        <v>0</v>
      </c>
      <c r="X60" s="2" t="s">
        <v>65</v>
      </c>
      <c r="Y60" s="13"/>
      <c r="Z60" s="14"/>
      <c r="AA60" s="15">
        <f>IFERROR(H60/(H60+Priors!$G$3),0)</f>
        <v>0</v>
      </c>
      <c r="AB60" s="16">
        <f>VLOOKUP(E60,Priors!$A$3:$C$6,2,FALSE)</f>
        <v>2.4013207263995197E-4</v>
      </c>
      <c r="AC60" s="16">
        <f>VLOOKUP(E60,Priors!$A$3:$C$6,3,FALSE)</f>
        <v>1.9810895992796044E-3</v>
      </c>
      <c r="AD60" s="12">
        <f t="shared" si="2"/>
        <v>2.4013207263995197E-4</v>
      </c>
      <c r="AE60" s="12">
        <f t="shared" si="3"/>
        <v>1.9810895992796044E-3</v>
      </c>
      <c r="AF60" s="17">
        <v>1</v>
      </c>
      <c r="AG60" s="17">
        <v>1</v>
      </c>
      <c r="AH60" s="16">
        <f>IFERROR(VLOOKUP(D60,Teams!$B$2:$I$21,7,FALSE),1)</f>
        <v>1</v>
      </c>
      <c r="AI60" s="12">
        <f t="shared" si="4"/>
        <v>2.4013207263995197E-4</v>
      </c>
      <c r="AJ60" s="12">
        <f t="shared" si="5"/>
        <v>1.9810895992796044E-3</v>
      </c>
      <c r="AK60" s="6" t="s">
        <v>66</v>
      </c>
      <c r="AL60" s="18"/>
      <c r="AM60" s="23"/>
      <c r="AN60" s="24">
        <v>2E-3</v>
      </c>
      <c r="AO60" s="25" t="b">
        <v>1</v>
      </c>
      <c r="AP60" s="23" t="s">
        <v>243</v>
      </c>
      <c r="AQ60" s="25" t="b">
        <v>0</v>
      </c>
      <c r="AR60" s="23"/>
      <c r="AS60" s="23" t="s">
        <v>68</v>
      </c>
    </row>
    <row r="61" spans="1:45" ht="60">
      <c r="A61" s="6">
        <v>60</v>
      </c>
      <c r="B61" s="6" t="s">
        <v>244</v>
      </c>
      <c r="C61" s="6" t="s">
        <v>245</v>
      </c>
      <c r="D61" s="6" t="s">
        <v>236</v>
      </c>
      <c r="E61" s="6" t="s">
        <v>9</v>
      </c>
      <c r="F61" s="9">
        <v>5.5</v>
      </c>
      <c r="G61" s="9">
        <v>5.5</v>
      </c>
      <c r="H61" s="10">
        <v>2102</v>
      </c>
      <c r="I61" s="11">
        <v>0.89</v>
      </c>
      <c r="J61" s="11">
        <v>1.1599999999999999</v>
      </c>
      <c r="K61" s="12">
        <f t="shared" si="0"/>
        <v>3.810656517602283E-2</v>
      </c>
      <c r="L61" s="12">
        <f t="shared" si="1"/>
        <v>4.9666983824928637E-2</v>
      </c>
      <c r="M61" s="10">
        <v>0</v>
      </c>
      <c r="N61" s="10">
        <v>3</v>
      </c>
      <c r="O61" s="10">
        <v>110</v>
      </c>
      <c r="P61" s="10">
        <v>3.8</v>
      </c>
      <c r="Q61" s="10">
        <v>22</v>
      </c>
      <c r="R61" s="11">
        <v>11.13</v>
      </c>
      <c r="S61" s="6"/>
      <c r="T61" s="6"/>
      <c r="U61" s="6"/>
      <c r="V61" s="7" t="b">
        <v>0</v>
      </c>
      <c r="W61" s="8">
        <f>IFERROR(VLOOKUP(D61,Teams!$B$2:$I$21,6,FALSE),"")</f>
        <v>0</v>
      </c>
      <c r="X61" s="2" t="s">
        <v>65</v>
      </c>
      <c r="Y61" s="13"/>
      <c r="Z61" s="14"/>
      <c r="AA61" s="15">
        <f>IFERROR(H61/(H61+Priors!$G$3),0)</f>
        <v>0.67762733720180524</v>
      </c>
      <c r="AB61" s="16">
        <f>VLOOKUP(E61,Priors!$A$3:$C$6,2,FALSE)</f>
        <v>6.0081391379341341E-2</v>
      </c>
      <c r="AC61" s="16">
        <f>VLOOKUP(E61,Priors!$A$3:$C$6,3,FALSE)</f>
        <v>5.9588191961478354E-2</v>
      </c>
      <c r="AD61" s="12">
        <f t="shared" si="2"/>
        <v>4.519064841371416E-2</v>
      </c>
      <c r="AE61" s="12">
        <f t="shared" si="3"/>
        <v>5.2865310110083288E-2</v>
      </c>
      <c r="AF61" s="17">
        <v>1</v>
      </c>
      <c r="AG61" s="17">
        <v>1</v>
      </c>
      <c r="AH61" s="16">
        <f>IFERROR(VLOOKUP(D61,Teams!$B$2:$I$21,7,FALSE),1)</f>
        <v>1</v>
      </c>
      <c r="AI61" s="12">
        <f t="shared" si="4"/>
        <v>4.519064841371416E-2</v>
      </c>
      <c r="AJ61" s="12">
        <f t="shared" si="5"/>
        <v>5.2865310110083288E-2</v>
      </c>
      <c r="AK61" s="6" t="s">
        <v>66</v>
      </c>
      <c r="AL61" s="18"/>
      <c r="AM61" s="23"/>
      <c r="AN61" s="24">
        <v>1.3000000000000001E-2</v>
      </c>
      <c r="AO61" s="25" t="b">
        <v>1</v>
      </c>
      <c r="AP61" s="23" t="s">
        <v>246</v>
      </c>
      <c r="AQ61" s="25" t="b">
        <v>0</v>
      </c>
      <c r="AR61" s="23"/>
      <c r="AS61" s="23" t="s">
        <v>68</v>
      </c>
    </row>
    <row r="62" spans="1:45" ht="60">
      <c r="A62" s="6">
        <v>61</v>
      </c>
      <c r="B62" s="6" t="s">
        <v>247</v>
      </c>
      <c r="C62" s="6" t="s">
        <v>248</v>
      </c>
      <c r="D62" s="6" t="s">
        <v>236</v>
      </c>
      <c r="E62" s="6" t="s">
        <v>9</v>
      </c>
      <c r="F62" s="9">
        <v>5.5</v>
      </c>
      <c r="G62" s="9">
        <v>5.5</v>
      </c>
      <c r="H62" s="10">
        <v>3378</v>
      </c>
      <c r="I62" s="11">
        <v>1.35</v>
      </c>
      <c r="J62" s="11">
        <v>3.07</v>
      </c>
      <c r="K62" s="12">
        <f t="shared" si="0"/>
        <v>3.5968028419182951E-2</v>
      </c>
      <c r="L62" s="12">
        <f t="shared" si="1"/>
        <v>8.1793960923623454E-2</v>
      </c>
      <c r="M62" s="10">
        <v>1</v>
      </c>
      <c r="N62" s="10">
        <v>6</v>
      </c>
      <c r="O62" s="10">
        <v>165</v>
      </c>
      <c r="P62" s="10">
        <v>4.3</v>
      </c>
      <c r="Q62" s="10">
        <v>38</v>
      </c>
      <c r="R62" s="11">
        <v>8.02</v>
      </c>
      <c r="S62" s="6"/>
      <c r="T62" s="6"/>
      <c r="U62" s="6"/>
      <c r="V62" s="7" t="b">
        <v>0</v>
      </c>
      <c r="W62" s="8">
        <f>IFERROR(VLOOKUP(D62,Teams!$B$2:$I$21,6,FALSE),"")</f>
        <v>0</v>
      </c>
      <c r="X62" s="2" t="s">
        <v>65</v>
      </c>
      <c r="Y62" s="13"/>
      <c r="Z62" s="14"/>
      <c r="AA62" s="15">
        <f>IFERROR(H62/(H62+Priors!$G$3),0)</f>
        <v>0.77158519872087716</v>
      </c>
      <c r="AB62" s="16">
        <f>VLOOKUP(E62,Priors!$A$3:$C$6,2,FALSE)</f>
        <v>6.0081391379341341E-2</v>
      </c>
      <c r="AC62" s="16">
        <f>VLOOKUP(E62,Priors!$A$3:$C$6,3,FALSE)</f>
        <v>5.9588191961478354E-2</v>
      </c>
      <c r="AD62" s="12">
        <f t="shared" si="2"/>
        <v>4.1475877427898891E-2</v>
      </c>
      <c r="AE62" s="12">
        <f t="shared" si="3"/>
        <v>7.6721834618884974E-2</v>
      </c>
      <c r="AF62" s="17">
        <v>1</v>
      </c>
      <c r="AG62" s="17">
        <v>1</v>
      </c>
      <c r="AH62" s="16">
        <f>IFERROR(VLOOKUP(D62,Teams!$B$2:$I$21,7,FALSE),1)</f>
        <v>1</v>
      </c>
      <c r="AI62" s="12">
        <f t="shared" si="4"/>
        <v>4.1475877427898891E-2</v>
      </c>
      <c r="AJ62" s="12">
        <f t="shared" si="5"/>
        <v>7.6721834618884974E-2</v>
      </c>
      <c r="AK62" s="6" t="s">
        <v>66</v>
      </c>
      <c r="AL62" s="18"/>
      <c r="AM62" s="23"/>
      <c r="AN62" s="24">
        <v>4.5999999999999999E-2</v>
      </c>
      <c r="AO62" s="25" t="b">
        <v>1</v>
      </c>
      <c r="AP62" s="23" t="s">
        <v>249</v>
      </c>
      <c r="AQ62" s="25" t="b">
        <v>0</v>
      </c>
      <c r="AR62" s="23"/>
      <c r="AS62" s="23" t="s">
        <v>68</v>
      </c>
    </row>
    <row r="63" spans="1:45" ht="60">
      <c r="A63" s="6">
        <v>62</v>
      </c>
      <c r="B63" s="6" t="s">
        <v>250</v>
      </c>
      <c r="C63" s="6" t="s">
        <v>251</v>
      </c>
      <c r="D63" s="6" t="s">
        <v>236</v>
      </c>
      <c r="E63" s="6" t="s">
        <v>9</v>
      </c>
      <c r="F63" s="9">
        <v>5</v>
      </c>
      <c r="G63" s="9">
        <v>5</v>
      </c>
      <c r="H63" s="10">
        <v>1275</v>
      </c>
      <c r="I63" s="11">
        <v>0.02</v>
      </c>
      <c r="J63" s="11">
        <v>0.19</v>
      </c>
      <c r="K63" s="12">
        <f t="shared" si="0"/>
        <v>1.411764705882353E-3</v>
      </c>
      <c r="L63" s="12">
        <f t="shared" si="1"/>
        <v>1.3411764705882354E-2</v>
      </c>
      <c r="M63" s="10">
        <v>0</v>
      </c>
      <c r="N63" s="10">
        <v>0</v>
      </c>
      <c r="O63" s="10">
        <v>46</v>
      </c>
      <c r="P63" s="10">
        <v>2.6</v>
      </c>
      <c r="Q63" s="10">
        <v>15</v>
      </c>
      <c r="R63" s="11">
        <v>8.26</v>
      </c>
      <c r="S63" s="6"/>
      <c r="T63" s="6"/>
      <c r="U63" s="6"/>
      <c r="V63" s="7" t="b">
        <v>0</v>
      </c>
      <c r="W63" s="8">
        <f>IFERROR(VLOOKUP(D63,Teams!$B$2:$I$21,6,FALSE),"")</f>
        <v>0</v>
      </c>
      <c r="X63" s="2" t="s">
        <v>65</v>
      </c>
      <c r="Y63" s="13"/>
      <c r="Z63" s="14"/>
      <c r="AA63" s="15">
        <f>IFERROR(H63/(H63+Priors!$G$3),0)</f>
        <v>0.56043956043956045</v>
      </c>
      <c r="AB63" s="16">
        <f>VLOOKUP(E63,Priors!$A$3:$C$6,2,FALSE)</f>
        <v>6.0081391379341341E-2</v>
      </c>
      <c r="AC63" s="16">
        <f>VLOOKUP(E63,Priors!$A$3:$C$6,3,FALSE)</f>
        <v>5.9588191961478354E-2</v>
      </c>
      <c r="AD63" s="12">
        <f t="shared" si="2"/>
        <v>2.7200611595314873E-2</v>
      </c>
      <c r="AE63" s="12">
        <f t="shared" si="3"/>
        <v>3.3709095367682795E-2</v>
      </c>
      <c r="AF63" s="17">
        <v>1</v>
      </c>
      <c r="AG63" s="17">
        <v>1</v>
      </c>
      <c r="AH63" s="16">
        <f>IFERROR(VLOOKUP(D63,Teams!$B$2:$I$21,7,FALSE),1)</f>
        <v>1</v>
      </c>
      <c r="AI63" s="12">
        <f t="shared" si="4"/>
        <v>2.7200611595314873E-2</v>
      </c>
      <c r="AJ63" s="12">
        <f t="shared" si="5"/>
        <v>3.3709095367682795E-2</v>
      </c>
      <c r="AK63" s="6" t="s">
        <v>66</v>
      </c>
      <c r="AL63" s="18"/>
      <c r="AM63" s="23"/>
      <c r="AN63" s="24">
        <v>2E-3</v>
      </c>
      <c r="AO63" s="25" t="b">
        <v>1</v>
      </c>
      <c r="AP63" s="23" t="s">
        <v>252</v>
      </c>
      <c r="AQ63" s="25" t="b">
        <v>0</v>
      </c>
      <c r="AR63" s="23"/>
      <c r="AS63" s="23" t="s">
        <v>68</v>
      </c>
    </row>
    <row r="64" spans="1:45" ht="60">
      <c r="A64" s="6">
        <v>63</v>
      </c>
      <c r="B64" s="6" t="s">
        <v>253</v>
      </c>
      <c r="C64" s="6" t="s">
        <v>254</v>
      </c>
      <c r="D64" s="6" t="s">
        <v>236</v>
      </c>
      <c r="E64" s="6" t="s">
        <v>9</v>
      </c>
      <c r="F64" s="9">
        <v>5</v>
      </c>
      <c r="G64" s="9">
        <v>5</v>
      </c>
      <c r="H64" s="10">
        <v>367</v>
      </c>
      <c r="I64" s="11">
        <v>0.15</v>
      </c>
      <c r="J64" s="11">
        <v>0.19</v>
      </c>
      <c r="K64" s="12">
        <f t="shared" si="0"/>
        <v>3.6784741144414171E-2</v>
      </c>
      <c r="L64" s="12">
        <f t="shared" si="1"/>
        <v>4.6594005449591282E-2</v>
      </c>
      <c r="M64" s="10">
        <v>0</v>
      </c>
      <c r="N64" s="10">
        <v>0</v>
      </c>
      <c r="O64" s="10">
        <v>19</v>
      </c>
      <c r="P64" s="10">
        <v>2.7</v>
      </c>
      <c r="Q64" s="10">
        <v>4</v>
      </c>
      <c r="R64" s="11">
        <v>9.56</v>
      </c>
      <c r="S64" s="6"/>
      <c r="T64" s="6"/>
      <c r="U64" s="6"/>
      <c r="V64" s="7" t="b">
        <v>0</v>
      </c>
      <c r="W64" s="8">
        <f>IFERROR(VLOOKUP(D64,Teams!$B$2:$I$21,6,FALSE),"")</f>
        <v>0</v>
      </c>
      <c r="X64" s="2" t="s">
        <v>65</v>
      </c>
      <c r="Y64" s="13"/>
      <c r="Z64" s="14"/>
      <c r="AA64" s="15">
        <f>IFERROR(H64/(H64+Priors!$G$3),0)</f>
        <v>0.26847110460863205</v>
      </c>
      <c r="AB64" s="16">
        <f>VLOOKUP(E64,Priors!$A$3:$C$6,2,FALSE)</f>
        <v>6.0081391379341341E-2</v>
      </c>
      <c r="AC64" s="16">
        <f>VLOOKUP(E64,Priors!$A$3:$C$6,3,FALSE)</f>
        <v>5.9588191961478354E-2</v>
      </c>
      <c r="AD64" s="12">
        <f t="shared" si="2"/>
        <v>5.3826913957089488E-2</v>
      </c>
      <c r="AE64" s="12">
        <f t="shared" si="3"/>
        <v>5.6099628355141443E-2</v>
      </c>
      <c r="AF64" s="17">
        <v>1</v>
      </c>
      <c r="AG64" s="17">
        <v>1</v>
      </c>
      <c r="AH64" s="16">
        <f>IFERROR(VLOOKUP(D64,Teams!$B$2:$I$21,7,FALSE),1)</f>
        <v>1</v>
      </c>
      <c r="AI64" s="12">
        <f t="shared" si="4"/>
        <v>5.3826913957089488E-2</v>
      </c>
      <c r="AJ64" s="12">
        <f t="shared" si="5"/>
        <v>5.6099628355141443E-2</v>
      </c>
      <c r="AK64" s="6" t="s">
        <v>66</v>
      </c>
      <c r="AL64" s="18"/>
      <c r="AM64" s="23"/>
      <c r="AN64" s="24">
        <v>1E-3</v>
      </c>
      <c r="AO64" s="25" t="b">
        <v>1</v>
      </c>
      <c r="AP64" s="23" t="s">
        <v>181</v>
      </c>
      <c r="AQ64" s="25" t="b">
        <v>0</v>
      </c>
      <c r="AR64" s="23"/>
      <c r="AS64" s="23" t="s">
        <v>68</v>
      </c>
    </row>
    <row r="65" spans="1:45" ht="60">
      <c r="A65" s="6">
        <v>64</v>
      </c>
      <c r="B65" s="6" t="s">
        <v>255</v>
      </c>
      <c r="C65" s="6" t="s">
        <v>256</v>
      </c>
      <c r="D65" s="6" t="s">
        <v>236</v>
      </c>
      <c r="E65" s="6" t="s">
        <v>9</v>
      </c>
      <c r="F65" s="9">
        <v>4.5</v>
      </c>
      <c r="G65" s="9">
        <v>4.5</v>
      </c>
      <c r="H65" s="10">
        <v>1073</v>
      </c>
      <c r="I65" s="11">
        <v>0</v>
      </c>
      <c r="J65" s="11">
        <v>0.23</v>
      </c>
      <c r="K65" s="12">
        <f t="shared" si="0"/>
        <v>0</v>
      </c>
      <c r="L65" s="12">
        <f t="shared" si="1"/>
        <v>1.9291705498602051E-2</v>
      </c>
      <c r="M65" s="10">
        <v>0</v>
      </c>
      <c r="N65" s="10">
        <v>2</v>
      </c>
      <c r="O65" s="10">
        <v>58</v>
      </c>
      <c r="P65" s="10">
        <v>2.6</v>
      </c>
      <c r="Q65" s="10">
        <v>14</v>
      </c>
      <c r="R65" s="11">
        <v>5.87</v>
      </c>
      <c r="S65" s="6"/>
      <c r="T65" s="6"/>
      <c r="U65" s="6"/>
      <c r="V65" s="7" t="b">
        <v>0</v>
      </c>
      <c r="W65" s="8">
        <f>IFERROR(VLOOKUP(D65,Teams!$B$2:$I$21,6,FALSE),"")</f>
        <v>0</v>
      </c>
      <c r="X65" s="2" t="s">
        <v>65</v>
      </c>
      <c r="Y65" s="13"/>
      <c r="Z65" s="14"/>
      <c r="AA65" s="15">
        <f>IFERROR(H65/(H65+Priors!$G$3),0)</f>
        <v>0.51760733236854795</v>
      </c>
      <c r="AB65" s="16">
        <f>VLOOKUP(E65,Priors!$A$3:$C$6,2,FALSE)</f>
        <v>6.0081391379341341E-2</v>
      </c>
      <c r="AC65" s="16">
        <f>VLOOKUP(E65,Priors!$A$3:$C$6,3,FALSE)</f>
        <v>5.9588191961478354E-2</v>
      </c>
      <c r="AD65" s="12">
        <f t="shared" si="2"/>
        <v>2.8982822662489797E-2</v>
      </c>
      <c r="AE65" s="12">
        <f t="shared" si="3"/>
        <v>3.8730435099603645E-2</v>
      </c>
      <c r="AF65" s="17">
        <v>1</v>
      </c>
      <c r="AG65" s="17">
        <v>1</v>
      </c>
      <c r="AH65" s="16">
        <f>IFERROR(VLOOKUP(D65,Teams!$B$2:$I$21,7,FALSE),1)</f>
        <v>1</v>
      </c>
      <c r="AI65" s="12">
        <f t="shared" si="4"/>
        <v>2.8982822662489797E-2</v>
      </c>
      <c r="AJ65" s="12">
        <f t="shared" si="5"/>
        <v>3.8730435099603645E-2</v>
      </c>
      <c r="AK65" s="6" t="s">
        <v>66</v>
      </c>
      <c r="AL65" s="18"/>
      <c r="AM65" s="23"/>
      <c r="AN65" s="24">
        <v>1E-3</v>
      </c>
      <c r="AO65" s="25" t="b">
        <v>1</v>
      </c>
      <c r="AP65" s="23" t="s">
        <v>257</v>
      </c>
      <c r="AQ65" s="25" t="b">
        <v>0</v>
      </c>
      <c r="AR65" s="23"/>
      <c r="AS65" s="23" t="s">
        <v>68</v>
      </c>
    </row>
    <row r="66" spans="1:45" ht="60">
      <c r="A66" s="6">
        <v>65</v>
      </c>
      <c r="B66" s="6" t="s">
        <v>258</v>
      </c>
      <c r="C66" s="6" t="s">
        <v>259</v>
      </c>
      <c r="D66" s="6" t="s">
        <v>236</v>
      </c>
      <c r="E66" s="6" t="s">
        <v>9</v>
      </c>
      <c r="F66" s="9">
        <v>4.5</v>
      </c>
      <c r="G66" s="9">
        <v>4.5</v>
      </c>
      <c r="H66" s="10">
        <v>0</v>
      </c>
      <c r="I66" s="11">
        <v>0</v>
      </c>
      <c r="J66" s="11">
        <v>0</v>
      </c>
      <c r="K66" s="12">
        <f t="shared" ref="K66:K129" si="6">IFERROR(I66*90/H66,0)</f>
        <v>0</v>
      </c>
      <c r="L66" s="12">
        <f t="shared" ref="L66:L129" si="7">IFERROR(J66*90/H66,0)</f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>
        <v>0</v>
      </c>
      <c r="S66" s="6"/>
      <c r="T66" s="6"/>
      <c r="U66" s="6"/>
      <c r="V66" s="7" t="b">
        <v>0</v>
      </c>
      <c r="W66" s="8">
        <f>IFERROR(VLOOKUP(D66,Teams!$B$2:$I$21,6,FALSE),"")</f>
        <v>0</v>
      </c>
      <c r="X66" s="2" t="s">
        <v>65</v>
      </c>
      <c r="Y66" s="13"/>
      <c r="Z66" s="14"/>
      <c r="AA66" s="15">
        <f>IFERROR(H66/(H66+Priors!$G$3),0)</f>
        <v>0</v>
      </c>
      <c r="AB66" s="16">
        <f>VLOOKUP(E66,Priors!$A$3:$C$6,2,FALSE)</f>
        <v>6.0081391379341341E-2</v>
      </c>
      <c r="AC66" s="16">
        <f>VLOOKUP(E66,Priors!$A$3:$C$6,3,FALSE)</f>
        <v>5.9588191961478354E-2</v>
      </c>
      <c r="AD66" s="12">
        <f t="shared" ref="AD66:AD129" si="8">AA66*K66+(1-AA66)*AB66</f>
        <v>6.0081391379341341E-2</v>
      </c>
      <c r="AE66" s="12">
        <f t="shared" ref="AE66:AE129" si="9">AA66*L66+(1-AA66)*AC66</f>
        <v>5.9588191961478354E-2</v>
      </c>
      <c r="AF66" s="17">
        <v>1</v>
      </c>
      <c r="AG66" s="17">
        <v>1</v>
      </c>
      <c r="AH66" s="16">
        <f>IFERROR(VLOOKUP(D66,Teams!$B$2:$I$21,7,FALSE),1)</f>
        <v>1</v>
      </c>
      <c r="AI66" s="12">
        <f t="shared" ref="AI66:AI129" si="10">AD66*AF66*AG66*AH66</f>
        <v>6.0081391379341341E-2</v>
      </c>
      <c r="AJ66" s="12">
        <f t="shared" ref="AJ66:AJ129" si="11">AE66*AF66*AG66*AH66</f>
        <v>5.9588191961478354E-2</v>
      </c>
      <c r="AK66" s="6" t="s">
        <v>66</v>
      </c>
      <c r="AL66" s="18"/>
      <c r="AM66" s="23"/>
      <c r="AN66" s="24">
        <v>1E-3</v>
      </c>
      <c r="AO66" s="25" t="b">
        <v>1</v>
      </c>
      <c r="AP66" s="23" t="s">
        <v>260</v>
      </c>
      <c r="AQ66" s="25" t="b">
        <v>0</v>
      </c>
      <c r="AR66" s="23"/>
      <c r="AS66" s="23" t="s">
        <v>68</v>
      </c>
    </row>
    <row r="67" spans="1:45" ht="60">
      <c r="A67" s="6">
        <v>66</v>
      </c>
      <c r="B67" s="6" t="s">
        <v>261</v>
      </c>
      <c r="C67" s="6" t="s">
        <v>262</v>
      </c>
      <c r="D67" s="6" t="s">
        <v>236</v>
      </c>
      <c r="E67" s="6" t="s">
        <v>9</v>
      </c>
      <c r="F67" s="9">
        <v>4</v>
      </c>
      <c r="G67" s="9">
        <v>4</v>
      </c>
      <c r="H67" s="10">
        <v>34</v>
      </c>
      <c r="I67" s="11">
        <v>0</v>
      </c>
      <c r="J67" s="11">
        <v>0</v>
      </c>
      <c r="K67" s="12">
        <f t="shared" si="6"/>
        <v>0</v>
      </c>
      <c r="L67" s="12">
        <f t="shared" si="7"/>
        <v>0</v>
      </c>
      <c r="M67" s="10">
        <v>0</v>
      </c>
      <c r="N67" s="10">
        <v>0</v>
      </c>
      <c r="O67" s="10">
        <v>3</v>
      </c>
      <c r="P67" s="10">
        <v>1</v>
      </c>
      <c r="Q67" s="10">
        <v>0</v>
      </c>
      <c r="R67" s="11">
        <v>2.65</v>
      </c>
      <c r="S67" s="6"/>
      <c r="T67" s="6"/>
      <c r="U67" s="6"/>
      <c r="V67" s="7" t="b">
        <v>0</v>
      </c>
      <c r="W67" s="8">
        <f>IFERROR(VLOOKUP(D67,Teams!$B$2:$I$21,6,FALSE),"")</f>
        <v>0</v>
      </c>
      <c r="X67" s="2" t="s">
        <v>65</v>
      </c>
      <c r="Y67" s="13"/>
      <c r="Z67" s="14"/>
      <c r="AA67" s="15">
        <f>IFERROR(H67/(H67+Priors!$G$3),0)</f>
        <v>3.2882011605415859E-2</v>
      </c>
      <c r="AB67" s="16">
        <f>VLOOKUP(E67,Priors!$A$3:$C$6,2,FALSE)</f>
        <v>6.0081391379341341E-2</v>
      </c>
      <c r="AC67" s="16">
        <f>VLOOKUP(E67,Priors!$A$3:$C$6,3,FALSE)</f>
        <v>5.9588191961478354E-2</v>
      </c>
      <c r="AD67" s="12">
        <f t="shared" si="8"/>
        <v>5.8105794370736312E-2</v>
      </c>
      <c r="AE67" s="12">
        <f t="shared" si="9"/>
        <v>5.7628812341855275E-2</v>
      </c>
      <c r="AF67" s="17">
        <v>1</v>
      </c>
      <c r="AG67" s="17">
        <v>1</v>
      </c>
      <c r="AH67" s="16">
        <f>IFERROR(VLOOKUP(D67,Teams!$B$2:$I$21,7,FALSE),1)</f>
        <v>1</v>
      </c>
      <c r="AI67" s="12">
        <f t="shared" si="10"/>
        <v>5.8105794370736312E-2</v>
      </c>
      <c r="AJ67" s="12">
        <f t="shared" si="11"/>
        <v>5.7628812341855275E-2</v>
      </c>
      <c r="AK67" s="6" t="s">
        <v>66</v>
      </c>
      <c r="AL67" s="18"/>
      <c r="AM67" s="23"/>
      <c r="AN67" s="24">
        <v>6.0000000000000001E-3</v>
      </c>
      <c r="AO67" s="25" t="b">
        <v>1</v>
      </c>
      <c r="AP67" s="23" t="s">
        <v>263</v>
      </c>
      <c r="AQ67" s="25" t="b">
        <v>0</v>
      </c>
      <c r="AR67" s="23"/>
      <c r="AS67" s="23" t="s">
        <v>68</v>
      </c>
    </row>
    <row r="68" spans="1:45" ht="60">
      <c r="A68" s="6">
        <v>67</v>
      </c>
      <c r="B68" s="6" t="s">
        <v>264</v>
      </c>
      <c r="C68" s="6" t="s">
        <v>264</v>
      </c>
      <c r="D68" s="6" t="s">
        <v>236</v>
      </c>
      <c r="E68" s="6" t="s">
        <v>11</v>
      </c>
      <c r="F68" s="9">
        <v>6.5</v>
      </c>
      <c r="G68" s="9">
        <v>6.5</v>
      </c>
      <c r="H68" s="10">
        <v>1110</v>
      </c>
      <c r="I68" s="11">
        <v>2.67</v>
      </c>
      <c r="J68" s="11">
        <v>1.84</v>
      </c>
      <c r="K68" s="12">
        <f t="shared" si="6"/>
        <v>0.21648648648648647</v>
      </c>
      <c r="L68" s="12">
        <f t="shared" si="7"/>
        <v>0.14918918918918919</v>
      </c>
      <c r="M68" s="10">
        <v>5</v>
      </c>
      <c r="N68" s="10">
        <v>2</v>
      </c>
      <c r="O68" s="10">
        <v>67</v>
      </c>
      <c r="P68" s="10">
        <v>4.5</v>
      </c>
      <c r="Q68" s="10">
        <v>13</v>
      </c>
      <c r="R68" s="11">
        <v>6.65</v>
      </c>
      <c r="S68" s="6"/>
      <c r="T68" s="6"/>
      <c r="U68" s="6"/>
      <c r="V68" s="7" t="b">
        <v>0</v>
      </c>
      <c r="W68" s="8">
        <f>IFERROR(VLOOKUP(D68,Teams!$B$2:$I$21,6,FALSE),"")</f>
        <v>0</v>
      </c>
      <c r="X68" s="2" t="s">
        <v>65</v>
      </c>
      <c r="Y68" s="13"/>
      <c r="Z68" s="14"/>
      <c r="AA68" s="15">
        <f>IFERROR(H68/(H68+Priors!$G$3),0)</f>
        <v>0.52606635071090047</v>
      </c>
      <c r="AB68" s="16">
        <f>VLOOKUP(E68,Priors!$A$3:$C$6,2,FALSE)</f>
        <v>0.15714383234350468</v>
      </c>
      <c r="AC68" s="16">
        <f>VLOOKUP(E68,Priors!$A$3:$C$6,3,FALSE)</f>
        <v>0.13222062939449797</v>
      </c>
      <c r="AD68" s="12">
        <f t="shared" si="8"/>
        <v>0.18836200585000221</v>
      </c>
      <c r="AE68" s="12">
        <f t="shared" si="9"/>
        <v>0.14114721772251088</v>
      </c>
      <c r="AF68" s="17">
        <v>1</v>
      </c>
      <c r="AG68" s="17">
        <v>1</v>
      </c>
      <c r="AH68" s="16">
        <f>IFERROR(VLOOKUP(D68,Teams!$B$2:$I$21,7,FALSE),1)</f>
        <v>1</v>
      </c>
      <c r="AI68" s="12">
        <f t="shared" si="10"/>
        <v>0.18836200585000221</v>
      </c>
      <c r="AJ68" s="12">
        <f t="shared" si="11"/>
        <v>0.14114721772251088</v>
      </c>
      <c r="AK68" s="6" t="s">
        <v>66</v>
      </c>
      <c r="AL68" s="18"/>
      <c r="AM68" s="23"/>
      <c r="AN68" s="24">
        <v>3.4000000000000002E-2</v>
      </c>
      <c r="AO68" s="25" t="b">
        <v>1</v>
      </c>
      <c r="AP68" s="23" t="s">
        <v>231</v>
      </c>
      <c r="AQ68" s="25" t="b">
        <v>0</v>
      </c>
      <c r="AR68" s="23"/>
      <c r="AS68" s="23" t="s">
        <v>68</v>
      </c>
    </row>
    <row r="69" spans="1:45" ht="60">
      <c r="A69" s="6">
        <v>68</v>
      </c>
      <c r="B69" s="6" t="s">
        <v>265</v>
      </c>
      <c r="C69" s="6" t="s">
        <v>266</v>
      </c>
      <c r="D69" s="6" t="s">
        <v>236</v>
      </c>
      <c r="E69" s="6" t="s">
        <v>11</v>
      </c>
      <c r="F69" s="9">
        <v>6</v>
      </c>
      <c r="G69" s="9">
        <v>6</v>
      </c>
      <c r="H69" s="10">
        <v>2732</v>
      </c>
      <c r="I69" s="11">
        <v>9.06</v>
      </c>
      <c r="J69" s="11">
        <v>4.5999999999999996</v>
      </c>
      <c r="K69" s="12">
        <f t="shared" si="6"/>
        <v>0.2984626647144949</v>
      </c>
      <c r="L69" s="12">
        <f t="shared" si="7"/>
        <v>0.15153733528550511</v>
      </c>
      <c r="M69" s="10">
        <v>7</v>
      </c>
      <c r="N69" s="10">
        <v>4</v>
      </c>
      <c r="O69" s="10">
        <v>137</v>
      </c>
      <c r="P69" s="10">
        <v>4</v>
      </c>
      <c r="Q69" s="10">
        <v>31</v>
      </c>
      <c r="R69" s="11">
        <v>8.27</v>
      </c>
      <c r="S69" s="6">
        <v>3</v>
      </c>
      <c r="T69" s="6">
        <v>1</v>
      </c>
      <c r="U69" s="6">
        <v>6</v>
      </c>
      <c r="V69" s="7" t="b">
        <v>0</v>
      </c>
      <c r="W69" s="8">
        <f>IFERROR(VLOOKUP(D69,Teams!$B$2:$I$21,6,FALSE),"")</f>
        <v>0</v>
      </c>
      <c r="X69" s="2" t="s">
        <v>65</v>
      </c>
      <c r="Y69" s="13"/>
      <c r="Z69" s="14"/>
      <c r="AA69" s="15">
        <f>IFERROR(H69/(H69+Priors!$G$3),0)</f>
        <v>0.73204715969989287</v>
      </c>
      <c r="AB69" s="16">
        <f>VLOOKUP(E69,Priors!$A$3:$C$6,2,FALSE)</f>
        <v>0.15714383234350468</v>
      </c>
      <c r="AC69" s="16">
        <f>VLOOKUP(E69,Priors!$A$3:$C$6,3,FALSE)</f>
        <v>0.13222062939449797</v>
      </c>
      <c r="AD69" s="12">
        <f t="shared" si="8"/>
        <v>0.26059588219279334</v>
      </c>
      <c r="AE69" s="12">
        <f t="shared" si="9"/>
        <v>0.14636136907676794</v>
      </c>
      <c r="AF69" s="17">
        <v>1</v>
      </c>
      <c r="AG69" s="17">
        <v>1</v>
      </c>
      <c r="AH69" s="16">
        <f>IFERROR(VLOOKUP(D69,Teams!$B$2:$I$21,7,FALSE),1)</f>
        <v>1</v>
      </c>
      <c r="AI69" s="12">
        <f t="shared" si="10"/>
        <v>0.26059588219279334</v>
      </c>
      <c r="AJ69" s="12">
        <f t="shared" si="11"/>
        <v>0.14636136907676794</v>
      </c>
      <c r="AK69" s="6" t="s">
        <v>66</v>
      </c>
      <c r="AL69" s="18"/>
      <c r="AM69" s="23"/>
      <c r="AN69" s="24">
        <v>1.9E-2</v>
      </c>
      <c r="AO69" s="25" t="b">
        <v>1</v>
      </c>
      <c r="AP69" s="23" t="s">
        <v>267</v>
      </c>
      <c r="AQ69" s="25" t="b">
        <v>0</v>
      </c>
      <c r="AR69" s="23"/>
      <c r="AS69" s="23" t="s">
        <v>68</v>
      </c>
    </row>
    <row r="70" spans="1:45" ht="60">
      <c r="A70" s="6">
        <v>69</v>
      </c>
      <c r="B70" s="6" t="s">
        <v>268</v>
      </c>
      <c r="C70" s="6" t="s">
        <v>269</v>
      </c>
      <c r="D70" s="6" t="s">
        <v>236</v>
      </c>
      <c r="E70" s="6" t="s">
        <v>11</v>
      </c>
      <c r="F70" s="9">
        <v>6</v>
      </c>
      <c r="G70" s="9">
        <v>6</v>
      </c>
      <c r="H70" s="10">
        <v>2848</v>
      </c>
      <c r="I70" s="11">
        <v>3.8</v>
      </c>
      <c r="J70" s="11">
        <v>2.94</v>
      </c>
      <c r="K70" s="12">
        <f t="shared" si="6"/>
        <v>0.12008426966292135</v>
      </c>
      <c r="L70" s="12">
        <f t="shared" si="7"/>
        <v>9.2907303370786523E-2</v>
      </c>
      <c r="M70" s="10">
        <v>3</v>
      </c>
      <c r="N70" s="10">
        <v>2</v>
      </c>
      <c r="O70" s="10">
        <v>136</v>
      </c>
      <c r="P70" s="10">
        <v>3.7</v>
      </c>
      <c r="Q70" s="10">
        <v>34</v>
      </c>
      <c r="R70" s="11">
        <v>12.2</v>
      </c>
      <c r="S70" s="6"/>
      <c r="T70" s="6">
        <v>4</v>
      </c>
      <c r="U70" s="6">
        <v>7</v>
      </c>
      <c r="V70" s="7" t="b">
        <v>0</v>
      </c>
      <c r="W70" s="8">
        <f>IFERROR(VLOOKUP(D70,Teams!$B$2:$I$21,6,FALSE),"")</f>
        <v>0</v>
      </c>
      <c r="X70" s="2" t="s">
        <v>65</v>
      </c>
      <c r="Y70" s="13"/>
      <c r="Z70" s="14"/>
      <c r="AA70" s="15">
        <f>IFERROR(H70/(H70+Priors!$G$3),0)</f>
        <v>0.74012474012474017</v>
      </c>
      <c r="AB70" s="16">
        <f>VLOOKUP(E70,Priors!$A$3:$C$6,2,FALSE)</f>
        <v>0.15714383234350468</v>
      </c>
      <c r="AC70" s="16">
        <f>VLOOKUP(E70,Priors!$A$3:$C$6,3,FALSE)</f>
        <v>0.13222062939449797</v>
      </c>
      <c r="AD70" s="12">
        <f t="shared" si="8"/>
        <v>0.12971513314540142</v>
      </c>
      <c r="AE70" s="12">
        <f t="shared" si="9"/>
        <v>0.10312386418775935</v>
      </c>
      <c r="AF70" s="17">
        <v>1</v>
      </c>
      <c r="AG70" s="17">
        <v>1</v>
      </c>
      <c r="AH70" s="16">
        <f>IFERROR(VLOOKUP(D70,Teams!$B$2:$I$21,7,FALSE),1)</f>
        <v>1</v>
      </c>
      <c r="AI70" s="12">
        <f t="shared" si="10"/>
        <v>0.12971513314540142</v>
      </c>
      <c r="AJ70" s="12">
        <f t="shared" si="11"/>
        <v>0.10312386418775935</v>
      </c>
      <c r="AK70" s="6" t="s">
        <v>66</v>
      </c>
      <c r="AL70" s="18"/>
      <c r="AM70" s="23"/>
      <c r="AN70" s="24">
        <v>1.6E-2</v>
      </c>
      <c r="AO70" s="25" t="b">
        <v>1</v>
      </c>
      <c r="AP70" s="23" t="s">
        <v>270</v>
      </c>
      <c r="AQ70" s="25" t="b">
        <v>0</v>
      </c>
      <c r="AR70" s="23"/>
      <c r="AS70" s="23" t="s">
        <v>68</v>
      </c>
    </row>
    <row r="71" spans="1:45" ht="60">
      <c r="A71" s="6">
        <v>70</v>
      </c>
      <c r="B71" s="6" t="s">
        <v>271</v>
      </c>
      <c r="C71" s="6" t="s">
        <v>272</v>
      </c>
      <c r="D71" s="6" t="s">
        <v>236</v>
      </c>
      <c r="E71" s="6" t="s">
        <v>11</v>
      </c>
      <c r="F71" s="9">
        <v>6</v>
      </c>
      <c r="G71" s="9">
        <v>6</v>
      </c>
      <c r="H71" s="10">
        <v>945</v>
      </c>
      <c r="I71" s="11">
        <v>2.31</v>
      </c>
      <c r="J71" s="11">
        <v>1.55</v>
      </c>
      <c r="K71" s="12">
        <f t="shared" si="6"/>
        <v>0.22</v>
      </c>
      <c r="L71" s="12">
        <f t="shared" si="7"/>
        <v>0.14761904761904762</v>
      </c>
      <c r="M71" s="10">
        <v>2</v>
      </c>
      <c r="N71" s="10">
        <v>0</v>
      </c>
      <c r="O71" s="10">
        <v>41</v>
      </c>
      <c r="P71" s="10">
        <v>2</v>
      </c>
      <c r="Q71" s="10">
        <v>10</v>
      </c>
      <c r="R71" s="11">
        <v>6.19</v>
      </c>
      <c r="S71" s="6">
        <v>2</v>
      </c>
      <c r="T71" s="6">
        <v>2</v>
      </c>
      <c r="U71" s="6"/>
      <c r="V71" s="7" t="b">
        <v>0</v>
      </c>
      <c r="W71" s="8">
        <f>IFERROR(VLOOKUP(D71,Teams!$B$2:$I$21,6,FALSE),"")</f>
        <v>0</v>
      </c>
      <c r="X71" s="2" t="s">
        <v>65</v>
      </c>
      <c r="Y71" s="13"/>
      <c r="Z71" s="14"/>
      <c r="AA71" s="15">
        <f>IFERROR(H71/(H71+Priors!$G$3),0)</f>
        <v>0.48586118251928023</v>
      </c>
      <c r="AB71" s="16">
        <f>VLOOKUP(E71,Priors!$A$3:$C$6,2,FALSE)</f>
        <v>0.15714383234350468</v>
      </c>
      <c r="AC71" s="16">
        <f>VLOOKUP(E71,Priors!$A$3:$C$6,3,FALSE)</f>
        <v>0.13222062939449797</v>
      </c>
      <c r="AD71" s="12">
        <f t="shared" si="8"/>
        <v>0.18768320428971963</v>
      </c>
      <c r="AE71" s="12">
        <f t="shared" si="9"/>
        <v>0.13970212308200408</v>
      </c>
      <c r="AF71" s="17">
        <v>1</v>
      </c>
      <c r="AG71" s="17">
        <v>1</v>
      </c>
      <c r="AH71" s="16">
        <f>IFERROR(VLOOKUP(D71,Teams!$B$2:$I$21,7,FALSE),1)</f>
        <v>1</v>
      </c>
      <c r="AI71" s="12">
        <f t="shared" si="10"/>
        <v>0.18768320428971963</v>
      </c>
      <c r="AJ71" s="12">
        <f t="shared" si="11"/>
        <v>0.13970212308200408</v>
      </c>
      <c r="AK71" s="6" t="s">
        <v>66</v>
      </c>
      <c r="AL71" s="18"/>
      <c r="AM71" s="23"/>
      <c r="AN71" s="24">
        <v>9.0000000000000011E-3</v>
      </c>
      <c r="AO71" s="25" t="b">
        <v>1</v>
      </c>
      <c r="AP71" s="23" t="s">
        <v>273</v>
      </c>
      <c r="AQ71" s="25" t="b">
        <v>0</v>
      </c>
      <c r="AR71" s="23"/>
      <c r="AS71" s="23" t="s">
        <v>68</v>
      </c>
    </row>
    <row r="72" spans="1:45" ht="60">
      <c r="A72" s="6">
        <v>71</v>
      </c>
      <c r="B72" s="6" t="s">
        <v>274</v>
      </c>
      <c r="C72" s="6" t="s">
        <v>275</v>
      </c>
      <c r="D72" s="6" t="s">
        <v>236</v>
      </c>
      <c r="E72" s="6" t="s">
        <v>11</v>
      </c>
      <c r="F72" s="9">
        <v>5</v>
      </c>
      <c r="G72" s="9">
        <v>5</v>
      </c>
      <c r="H72" s="10">
        <v>872</v>
      </c>
      <c r="I72" s="11">
        <v>7.0000000000000007E-2</v>
      </c>
      <c r="J72" s="11">
        <v>0.52</v>
      </c>
      <c r="K72" s="12">
        <f t="shared" si="6"/>
        <v>7.2247706422018353E-3</v>
      </c>
      <c r="L72" s="12">
        <f t="shared" si="7"/>
        <v>5.3669724770642205E-2</v>
      </c>
      <c r="M72" s="10">
        <v>0</v>
      </c>
      <c r="N72" s="10">
        <v>1</v>
      </c>
      <c r="O72" s="10">
        <v>40</v>
      </c>
      <c r="P72" s="10">
        <v>2.2000000000000002</v>
      </c>
      <c r="Q72" s="10">
        <v>8</v>
      </c>
      <c r="R72" s="11">
        <v>14.76</v>
      </c>
      <c r="S72" s="6"/>
      <c r="T72" s="6"/>
      <c r="U72" s="6">
        <v>8</v>
      </c>
      <c r="V72" s="7" t="b">
        <v>0</v>
      </c>
      <c r="W72" s="8">
        <f>IFERROR(VLOOKUP(D72,Teams!$B$2:$I$21,6,FALSE),"")</f>
        <v>0</v>
      </c>
      <c r="X72" s="2" t="s">
        <v>65</v>
      </c>
      <c r="Y72" s="13"/>
      <c r="Z72" s="14"/>
      <c r="AA72" s="15">
        <f>IFERROR(H72/(H72+Priors!$G$3),0)</f>
        <v>0.46581196581196582</v>
      </c>
      <c r="AB72" s="16">
        <f>VLOOKUP(E72,Priors!$A$3:$C$6,2,FALSE)</f>
        <v>0.15714383234350468</v>
      </c>
      <c r="AC72" s="16">
        <f>VLOOKUP(E72,Priors!$A$3:$C$6,3,FALSE)</f>
        <v>0.13222062939449797</v>
      </c>
      <c r="AD72" s="12">
        <f t="shared" si="8"/>
        <v>8.7309739499735403E-2</v>
      </c>
      <c r="AE72" s="12">
        <f t="shared" si="9"/>
        <v>9.5630678095351473E-2</v>
      </c>
      <c r="AF72" s="17">
        <v>1</v>
      </c>
      <c r="AG72" s="17">
        <v>1</v>
      </c>
      <c r="AH72" s="16">
        <f>IFERROR(VLOOKUP(D72,Teams!$B$2:$I$21,7,FALSE),1)</f>
        <v>1</v>
      </c>
      <c r="AI72" s="12">
        <f t="shared" si="10"/>
        <v>8.7309739499735403E-2</v>
      </c>
      <c r="AJ72" s="12">
        <f t="shared" si="11"/>
        <v>9.5630678095351473E-2</v>
      </c>
      <c r="AK72" s="6" t="s">
        <v>66</v>
      </c>
      <c r="AL72" s="18"/>
      <c r="AM72" s="23"/>
      <c r="AN72" s="24">
        <v>1E-3</v>
      </c>
      <c r="AO72" s="25" t="b">
        <v>1</v>
      </c>
      <c r="AP72" s="23" t="s">
        <v>276</v>
      </c>
      <c r="AQ72" s="25" t="b">
        <v>0</v>
      </c>
      <c r="AR72" s="23"/>
      <c r="AS72" s="23" t="s">
        <v>68</v>
      </c>
    </row>
    <row r="73" spans="1:45" ht="60">
      <c r="A73" s="6">
        <v>72</v>
      </c>
      <c r="B73" s="6" t="s">
        <v>277</v>
      </c>
      <c r="C73" s="6" t="s">
        <v>278</v>
      </c>
      <c r="D73" s="6" t="s">
        <v>236</v>
      </c>
      <c r="E73" s="6" t="s">
        <v>11</v>
      </c>
      <c r="F73" s="9">
        <v>5</v>
      </c>
      <c r="G73" s="9">
        <v>5</v>
      </c>
      <c r="H73" s="10">
        <v>105</v>
      </c>
      <c r="I73" s="11">
        <v>0.26</v>
      </c>
      <c r="J73" s="11">
        <v>0.13</v>
      </c>
      <c r="K73" s="12">
        <f t="shared" si="6"/>
        <v>0.22285714285714286</v>
      </c>
      <c r="L73" s="12">
        <f t="shared" si="7"/>
        <v>0.11142857142857143</v>
      </c>
      <c r="M73" s="10">
        <v>0</v>
      </c>
      <c r="N73" s="10">
        <v>1</v>
      </c>
      <c r="O73" s="10">
        <v>11</v>
      </c>
      <c r="P73" s="10">
        <v>1.4</v>
      </c>
      <c r="Q73" s="10">
        <v>0</v>
      </c>
      <c r="R73" s="11">
        <v>11.14</v>
      </c>
      <c r="S73" s="6"/>
      <c r="T73" s="6"/>
      <c r="U73" s="6"/>
      <c r="V73" s="7" t="b">
        <v>0</v>
      </c>
      <c r="W73" s="8">
        <f>IFERROR(VLOOKUP(D73,Teams!$B$2:$I$21,6,FALSE),"")</f>
        <v>0</v>
      </c>
      <c r="X73" s="2" t="s">
        <v>65</v>
      </c>
      <c r="Y73" s="13"/>
      <c r="Z73" s="14"/>
      <c r="AA73" s="15">
        <f>IFERROR(H73/(H73+Priors!$G$3),0)</f>
        <v>9.5022624434389136E-2</v>
      </c>
      <c r="AB73" s="16">
        <f>VLOOKUP(E73,Priors!$A$3:$C$6,2,FALSE)</f>
        <v>0.15714383234350468</v>
      </c>
      <c r="AC73" s="16">
        <f>VLOOKUP(E73,Priors!$A$3:$C$6,3,FALSE)</f>
        <v>0.13222062939449797</v>
      </c>
      <c r="AD73" s="12">
        <f t="shared" si="8"/>
        <v>0.16338808356878251</v>
      </c>
      <c r="AE73" s="12">
        <f t="shared" si="9"/>
        <v>0.13024491347918368</v>
      </c>
      <c r="AF73" s="17">
        <v>1</v>
      </c>
      <c r="AG73" s="17">
        <v>1</v>
      </c>
      <c r="AH73" s="16">
        <f>IFERROR(VLOOKUP(D73,Teams!$B$2:$I$21,7,FALSE),1)</f>
        <v>1</v>
      </c>
      <c r="AI73" s="12">
        <f t="shared" si="10"/>
        <v>0.16338808356878251</v>
      </c>
      <c r="AJ73" s="12">
        <f t="shared" si="11"/>
        <v>0.13024491347918368</v>
      </c>
      <c r="AK73" s="6" t="s">
        <v>66</v>
      </c>
      <c r="AL73" s="18"/>
      <c r="AM73" s="23"/>
      <c r="AN73" s="24">
        <v>1E-3</v>
      </c>
      <c r="AO73" s="25" t="b">
        <v>1</v>
      </c>
      <c r="AP73" s="23" t="s">
        <v>279</v>
      </c>
      <c r="AQ73" s="25" t="b">
        <v>0</v>
      </c>
      <c r="AR73" s="23"/>
      <c r="AS73" s="23" t="s">
        <v>68</v>
      </c>
    </row>
    <row r="74" spans="1:45" ht="60">
      <c r="A74" s="6">
        <v>73</v>
      </c>
      <c r="B74" s="6" t="s">
        <v>280</v>
      </c>
      <c r="C74" s="6" t="s">
        <v>281</v>
      </c>
      <c r="D74" s="6" t="s">
        <v>236</v>
      </c>
      <c r="E74" s="6" t="s">
        <v>11</v>
      </c>
      <c r="F74" s="9">
        <v>5</v>
      </c>
      <c r="G74" s="9">
        <v>5</v>
      </c>
      <c r="H74" s="10">
        <v>1769</v>
      </c>
      <c r="I74" s="11">
        <v>0.63</v>
      </c>
      <c r="J74" s="11">
        <v>0.63</v>
      </c>
      <c r="K74" s="12">
        <f t="shared" si="6"/>
        <v>3.20520067834935E-2</v>
      </c>
      <c r="L74" s="12">
        <f t="shared" si="7"/>
        <v>3.20520067834935E-2</v>
      </c>
      <c r="M74" s="10">
        <v>2</v>
      </c>
      <c r="N74" s="10">
        <v>2</v>
      </c>
      <c r="O74" s="10">
        <v>77</v>
      </c>
      <c r="P74" s="10">
        <v>3.1</v>
      </c>
      <c r="Q74" s="10">
        <v>21</v>
      </c>
      <c r="R74" s="11">
        <v>11.8</v>
      </c>
      <c r="S74" s="6"/>
      <c r="T74" s="6"/>
      <c r="U74" s="6"/>
      <c r="V74" s="7" t="b">
        <v>0</v>
      </c>
      <c r="W74" s="8">
        <f>IFERROR(VLOOKUP(D74,Teams!$B$2:$I$21,6,FALSE),"")</f>
        <v>0</v>
      </c>
      <c r="X74" s="2" t="s">
        <v>65</v>
      </c>
      <c r="Y74" s="13"/>
      <c r="Z74" s="14"/>
      <c r="AA74" s="15">
        <f>IFERROR(H74/(H74+Priors!$G$3),0)</f>
        <v>0.63885879378837129</v>
      </c>
      <c r="AB74" s="16">
        <f>VLOOKUP(E74,Priors!$A$3:$C$6,2,FALSE)</f>
        <v>0.15714383234350468</v>
      </c>
      <c r="AC74" s="16">
        <f>VLOOKUP(E74,Priors!$A$3:$C$6,3,FALSE)</f>
        <v>0.13222062939449797</v>
      </c>
      <c r="AD74" s="12">
        <f t="shared" si="8"/>
        <v>7.722781955345058E-2</v>
      </c>
      <c r="AE74" s="12">
        <f t="shared" si="9"/>
        <v>6.8227023977789084E-2</v>
      </c>
      <c r="AF74" s="17">
        <v>1</v>
      </c>
      <c r="AG74" s="17">
        <v>1</v>
      </c>
      <c r="AH74" s="16">
        <f>IFERROR(VLOOKUP(D74,Teams!$B$2:$I$21,7,FALSE),1)</f>
        <v>1</v>
      </c>
      <c r="AI74" s="12">
        <f t="shared" si="10"/>
        <v>7.722781955345058E-2</v>
      </c>
      <c r="AJ74" s="12">
        <f t="shared" si="11"/>
        <v>6.8227023977789084E-2</v>
      </c>
      <c r="AK74" s="6" t="s">
        <v>66</v>
      </c>
      <c r="AL74" s="18"/>
      <c r="AM74" s="23"/>
      <c r="AN74" s="24">
        <v>6.9999999999999993E-3</v>
      </c>
      <c r="AO74" s="25" t="b">
        <v>1</v>
      </c>
      <c r="AP74" s="23" t="s">
        <v>282</v>
      </c>
      <c r="AQ74" s="25" t="b">
        <v>0</v>
      </c>
      <c r="AR74" s="23"/>
      <c r="AS74" s="23" t="s">
        <v>68</v>
      </c>
    </row>
    <row r="75" spans="1:45" ht="60">
      <c r="A75" s="6">
        <v>74</v>
      </c>
      <c r="B75" s="6" t="s">
        <v>283</v>
      </c>
      <c r="C75" s="6" t="s">
        <v>284</v>
      </c>
      <c r="D75" s="6" t="s">
        <v>236</v>
      </c>
      <c r="E75" s="6" t="s">
        <v>11</v>
      </c>
      <c r="F75" s="9">
        <v>5</v>
      </c>
      <c r="G75" s="9">
        <v>5</v>
      </c>
      <c r="H75" s="10">
        <v>1188</v>
      </c>
      <c r="I75" s="11">
        <v>5.81</v>
      </c>
      <c r="J75" s="11">
        <v>3.4</v>
      </c>
      <c r="K75" s="12">
        <f t="shared" si="6"/>
        <v>0.44015151515151513</v>
      </c>
      <c r="L75" s="12">
        <f t="shared" si="7"/>
        <v>0.25757575757575757</v>
      </c>
      <c r="M75" s="10">
        <v>1</v>
      </c>
      <c r="N75" s="10">
        <v>3</v>
      </c>
      <c r="O75" s="10">
        <v>59</v>
      </c>
      <c r="P75" s="10">
        <v>1.9</v>
      </c>
      <c r="Q75" s="10">
        <v>13</v>
      </c>
      <c r="R75" s="11">
        <v>7.12</v>
      </c>
      <c r="S75" s="6"/>
      <c r="T75" s="6">
        <v>3</v>
      </c>
      <c r="U75" s="6">
        <v>9</v>
      </c>
      <c r="V75" s="7" t="b">
        <v>0</v>
      </c>
      <c r="W75" s="8">
        <f>IFERROR(VLOOKUP(D75,Teams!$B$2:$I$21,6,FALSE),"")</f>
        <v>0</v>
      </c>
      <c r="X75" s="2" t="s">
        <v>65</v>
      </c>
      <c r="Y75" s="13"/>
      <c r="Z75" s="14"/>
      <c r="AA75" s="15">
        <f>IFERROR(H75/(H75+Priors!$G$3),0)</f>
        <v>0.54296160877513711</v>
      </c>
      <c r="AB75" s="16">
        <f>VLOOKUP(E75,Priors!$A$3:$C$6,2,FALSE)</f>
        <v>0.15714383234350468</v>
      </c>
      <c r="AC75" s="16">
        <f>VLOOKUP(E75,Priors!$A$3:$C$6,3,FALSE)</f>
        <v>0.13222062939449797</v>
      </c>
      <c r="AD75" s="12">
        <f t="shared" si="8"/>
        <v>0.31080613909666577</v>
      </c>
      <c r="AE75" s="12">
        <f t="shared" si="9"/>
        <v>0.20028365146000821</v>
      </c>
      <c r="AF75" s="17">
        <v>1</v>
      </c>
      <c r="AG75" s="17">
        <v>1</v>
      </c>
      <c r="AH75" s="16">
        <f>IFERROR(VLOOKUP(D75,Teams!$B$2:$I$21,7,FALSE),1)</f>
        <v>1</v>
      </c>
      <c r="AI75" s="12">
        <f t="shared" si="10"/>
        <v>0.31080613909666577</v>
      </c>
      <c r="AJ75" s="12">
        <f t="shared" si="11"/>
        <v>0.20028365146000821</v>
      </c>
      <c r="AK75" s="6" t="s">
        <v>66</v>
      </c>
      <c r="AL75" s="18"/>
      <c r="AM75" s="23"/>
      <c r="AN75" s="24">
        <v>2E-3</v>
      </c>
      <c r="AO75" s="25" t="b">
        <v>1</v>
      </c>
      <c r="AP75" s="23" t="s">
        <v>285</v>
      </c>
      <c r="AQ75" s="25" t="b">
        <v>0</v>
      </c>
      <c r="AR75" s="23"/>
      <c r="AS75" s="23" t="s">
        <v>68</v>
      </c>
    </row>
    <row r="76" spans="1:45" ht="60">
      <c r="A76" s="6">
        <v>75</v>
      </c>
      <c r="B76" s="6" t="s">
        <v>286</v>
      </c>
      <c r="C76" s="6" t="s">
        <v>287</v>
      </c>
      <c r="D76" s="6" t="s">
        <v>236</v>
      </c>
      <c r="E76" s="6" t="s">
        <v>11</v>
      </c>
      <c r="F76" s="9">
        <v>5</v>
      </c>
      <c r="G76" s="9">
        <v>5</v>
      </c>
      <c r="H76" s="10">
        <v>978</v>
      </c>
      <c r="I76" s="11">
        <v>1.81</v>
      </c>
      <c r="J76" s="11">
        <v>0.79</v>
      </c>
      <c r="K76" s="12">
        <f t="shared" si="6"/>
        <v>0.16656441717791412</v>
      </c>
      <c r="L76" s="12">
        <f t="shared" si="7"/>
        <v>7.2699386503067495E-2</v>
      </c>
      <c r="M76" s="10">
        <v>2</v>
      </c>
      <c r="N76" s="10">
        <v>1</v>
      </c>
      <c r="O76" s="10">
        <v>47</v>
      </c>
      <c r="P76" s="10">
        <v>1.8</v>
      </c>
      <c r="Q76" s="10">
        <v>9</v>
      </c>
      <c r="R76" s="11">
        <v>11.32</v>
      </c>
      <c r="S76" s="6"/>
      <c r="T76" s="6"/>
      <c r="U76" s="6">
        <v>10</v>
      </c>
      <c r="V76" s="7" t="b">
        <v>0</v>
      </c>
      <c r="W76" s="8">
        <f>IFERROR(VLOOKUP(D76,Teams!$B$2:$I$21,6,FALSE),"")</f>
        <v>0</v>
      </c>
      <c r="X76" s="2" t="s">
        <v>65</v>
      </c>
      <c r="Y76" s="13"/>
      <c r="Z76" s="14"/>
      <c r="AA76" s="15">
        <f>IFERROR(H76/(H76+Priors!$G$3),0)</f>
        <v>0.49443882709807885</v>
      </c>
      <c r="AB76" s="16">
        <f>VLOOKUP(E76,Priors!$A$3:$C$6,2,FALSE)</f>
        <v>0.15714383234350468</v>
      </c>
      <c r="AC76" s="16">
        <f>VLOOKUP(E76,Priors!$A$3:$C$6,3,FALSE)</f>
        <v>0.13222062939449797</v>
      </c>
      <c r="AD76" s="12">
        <f t="shared" si="8"/>
        <v>0.16180173525960803</v>
      </c>
      <c r="AE76" s="12">
        <f t="shared" si="9"/>
        <v>0.10279101587183923</v>
      </c>
      <c r="AF76" s="17">
        <v>1</v>
      </c>
      <c r="AG76" s="17">
        <v>1</v>
      </c>
      <c r="AH76" s="16">
        <f>IFERROR(VLOOKUP(D76,Teams!$B$2:$I$21,7,FALSE),1)</f>
        <v>1</v>
      </c>
      <c r="AI76" s="12">
        <f t="shared" si="10"/>
        <v>0.16180173525960803</v>
      </c>
      <c r="AJ76" s="12">
        <f t="shared" si="11"/>
        <v>0.10279101587183923</v>
      </c>
      <c r="AK76" s="6" t="s">
        <v>288</v>
      </c>
      <c r="AL76" s="18">
        <v>0</v>
      </c>
      <c r="AM76" s="23" t="s">
        <v>289</v>
      </c>
      <c r="AN76" s="24">
        <v>0</v>
      </c>
      <c r="AO76" s="25" t="b">
        <v>1</v>
      </c>
      <c r="AP76" s="23" t="s">
        <v>290</v>
      </c>
      <c r="AQ76" s="25" t="b">
        <v>0</v>
      </c>
      <c r="AR76" s="23"/>
      <c r="AS76" s="23" t="s">
        <v>68</v>
      </c>
    </row>
    <row r="77" spans="1:45" ht="60">
      <c r="A77" s="6">
        <v>76</v>
      </c>
      <c r="B77" s="6" t="s">
        <v>291</v>
      </c>
      <c r="C77" s="6" t="s">
        <v>292</v>
      </c>
      <c r="D77" s="6" t="s">
        <v>236</v>
      </c>
      <c r="E77" s="6" t="s">
        <v>11</v>
      </c>
      <c r="F77" s="9">
        <v>5</v>
      </c>
      <c r="G77" s="9">
        <v>5</v>
      </c>
      <c r="H77" s="10">
        <v>135</v>
      </c>
      <c r="I77" s="11">
        <v>0.11</v>
      </c>
      <c r="J77" s="11">
        <v>0.33</v>
      </c>
      <c r="K77" s="12">
        <f t="shared" si="6"/>
        <v>7.3333333333333334E-2</v>
      </c>
      <c r="L77" s="12">
        <f t="shared" si="7"/>
        <v>0.22000000000000003</v>
      </c>
      <c r="M77" s="10">
        <v>0</v>
      </c>
      <c r="N77" s="10">
        <v>0</v>
      </c>
      <c r="O77" s="10">
        <v>8</v>
      </c>
      <c r="P77" s="10">
        <v>0.9</v>
      </c>
      <c r="Q77" s="10">
        <v>2</v>
      </c>
      <c r="R77" s="11">
        <v>11.33</v>
      </c>
      <c r="S77" s="6"/>
      <c r="T77" s="6"/>
      <c r="U77" s="6"/>
      <c r="V77" s="7" t="b">
        <v>0</v>
      </c>
      <c r="W77" s="8">
        <f>IFERROR(VLOOKUP(D77,Teams!$B$2:$I$21,6,FALSE),"")</f>
        <v>0</v>
      </c>
      <c r="X77" s="2" t="s">
        <v>65</v>
      </c>
      <c r="Y77" s="13"/>
      <c r="Z77" s="14"/>
      <c r="AA77" s="15">
        <f>IFERROR(H77/(H77+Priors!$G$3),0)</f>
        <v>0.11894273127753303</v>
      </c>
      <c r="AB77" s="16">
        <f>VLOOKUP(E77,Priors!$A$3:$C$6,2,FALSE)</f>
        <v>0.15714383234350468</v>
      </c>
      <c r="AC77" s="16">
        <f>VLOOKUP(E77,Priors!$A$3:$C$6,3,FALSE)</f>
        <v>0.13222062939449797</v>
      </c>
      <c r="AD77" s="12">
        <f t="shared" si="8"/>
        <v>0.14717518268150193</v>
      </c>
      <c r="AE77" s="12">
        <f t="shared" si="9"/>
        <v>0.14266134748413917</v>
      </c>
      <c r="AF77" s="17">
        <v>1</v>
      </c>
      <c r="AG77" s="17">
        <v>1</v>
      </c>
      <c r="AH77" s="16">
        <f>IFERROR(VLOOKUP(D77,Teams!$B$2:$I$21,7,FALSE),1)</f>
        <v>1</v>
      </c>
      <c r="AI77" s="12">
        <f t="shared" si="10"/>
        <v>0.14717518268150193</v>
      </c>
      <c r="AJ77" s="12">
        <f t="shared" si="11"/>
        <v>0.14266134748413917</v>
      </c>
      <c r="AK77" s="6" t="s">
        <v>66</v>
      </c>
      <c r="AL77" s="18"/>
      <c r="AM77" s="23"/>
      <c r="AN77" s="24">
        <v>0</v>
      </c>
      <c r="AO77" s="25" t="b">
        <v>1</v>
      </c>
      <c r="AP77" s="23" t="s">
        <v>293</v>
      </c>
      <c r="AQ77" s="25" t="b">
        <v>0</v>
      </c>
      <c r="AR77" s="23"/>
      <c r="AS77" s="23" t="s">
        <v>68</v>
      </c>
    </row>
    <row r="78" spans="1:45" ht="60">
      <c r="A78" s="6">
        <v>77</v>
      </c>
      <c r="B78" s="6" t="s">
        <v>294</v>
      </c>
      <c r="C78" s="6" t="s">
        <v>295</v>
      </c>
      <c r="D78" s="6" t="s">
        <v>236</v>
      </c>
      <c r="E78" s="6" t="s">
        <v>11</v>
      </c>
      <c r="F78" s="9">
        <v>5</v>
      </c>
      <c r="G78" s="9">
        <v>5</v>
      </c>
      <c r="H78" s="10">
        <v>1074</v>
      </c>
      <c r="I78" s="11">
        <v>2.6</v>
      </c>
      <c r="J78" s="11">
        <v>1.62</v>
      </c>
      <c r="K78" s="12">
        <f t="shared" si="6"/>
        <v>0.21787709497206703</v>
      </c>
      <c r="L78" s="12">
        <f t="shared" si="7"/>
        <v>0.1357541899441341</v>
      </c>
      <c r="M78" s="10">
        <v>3</v>
      </c>
      <c r="N78" s="10">
        <v>2</v>
      </c>
      <c r="O78" s="10">
        <v>67</v>
      </c>
      <c r="P78" s="10">
        <v>2.2000000000000002</v>
      </c>
      <c r="Q78" s="10">
        <v>10</v>
      </c>
      <c r="R78" s="11">
        <v>10.31</v>
      </c>
      <c r="S78" s="6"/>
      <c r="T78" s="6"/>
      <c r="U78" s="6"/>
      <c r="V78" s="7" t="b">
        <v>0</v>
      </c>
      <c r="W78" s="8">
        <f>IFERROR(VLOOKUP(D78,Teams!$B$2:$I$21,6,FALSE),"")</f>
        <v>0</v>
      </c>
      <c r="X78" s="2" t="s">
        <v>65</v>
      </c>
      <c r="Y78" s="13"/>
      <c r="Z78" s="14"/>
      <c r="AA78" s="15">
        <f>IFERROR(H78/(H78+Priors!$G$3),0)</f>
        <v>0.51783992285438762</v>
      </c>
      <c r="AB78" s="16">
        <f>VLOOKUP(E78,Priors!$A$3:$C$6,2,FALSE)</f>
        <v>0.15714383234350468</v>
      </c>
      <c r="AC78" s="16">
        <f>VLOOKUP(E78,Priors!$A$3:$C$6,3,FALSE)</f>
        <v>0.13222062939449797</v>
      </c>
      <c r="AD78" s="12">
        <f t="shared" si="8"/>
        <v>0.18859394037777466</v>
      </c>
      <c r="AE78" s="12">
        <f t="shared" si="9"/>
        <v>0.13405044811692285</v>
      </c>
      <c r="AF78" s="17">
        <v>1</v>
      </c>
      <c r="AG78" s="17">
        <v>1</v>
      </c>
      <c r="AH78" s="16">
        <f>IFERROR(VLOOKUP(D78,Teams!$B$2:$I$21,7,FALSE),1)</f>
        <v>1</v>
      </c>
      <c r="AI78" s="12">
        <f t="shared" si="10"/>
        <v>0.18859394037777466</v>
      </c>
      <c r="AJ78" s="12">
        <f t="shared" si="11"/>
        <v>0.13405044811692285</v>
      </c>
      <c r="AK78" s="6" t="s">
        <v>66</v>
      </c>
      <c r="AL78" s="18"/>
      <c r="AM78" s="23"/>
      <c r="AN78" s="24">
        <v>2E-3</v>
      </c>
      <c r="AO78" s="25" t="b">
        <v>1</v>
      </c>
      <c r="AP78" s="23" t="s">
        <v>296</v>
      </c>
      <c r="AQ78" s="25" t="b">
        <v>0</v>
      </c>
      <c r="AR78" s="23"/>
      <c r="AS78" s="23" t="s">
        <v>68</v>
      </c>
    </row>
    <row r="79" spans="1:45" ht="60">
      <c r="A79" s="6">
        <v>78</v>
      </c>
      <c r="B79" s="6" t="s">
        <v>297</v>
      </c>
      <c r="C79" s="6" t="s">
        <v>298</v>
      </c>
      <c r="D79" s="6" t="s">
        <v>236</v>
      </c>
      <c r="E79" s="6" t="s">
        <v>11</v>
      </c>
      <c r="F79" s="9">
        <v>7.5</v>
      </c>
      <c r="G79" s="9">
        <v>7.5</v>
      </c>
      <c r="H79" s="10">
        <v>1663</v>
      </c>
      <c r="I79" s="11">
        <v>8.31</v>
      </c>
      <c r="J79" s="11">
        <v>1.51</v>
      </c>
      <c r="K79" s="12">
        <f t="shared" si="6"/>
        <v>0.44972940469031875</v>
      </c>
      <c r="L79" s="12">
        <f t="shared" si="7"/>
        <v>8.1719783523752254E-2</v>
      </c>
      <c r="M79" s="10">
        <v>13</v>
      </c>
      <c r="N79" s="10">
        <v>0</v>
      </c>
      <c r="O79" s="10">
        <v>113</v>
      </c>
      <c r="P79" s="10">
        <v>3.4</v>
      </c>
      <c r="Q79" s="10">
        <v>21</v>
      </c>
      <c r="R79" s="11">
        <v>6.06</v>
      </c>
      <c r="S79" s="6">
        <v>1</v>
      </c>
      <c r="T79" s="6"/>
      <c r="U79" s="6"/>
      <c r="V79" s="7" t="b">
        <v>0</v>
      </c>
      <c r="W79" s="8">
        <f>IFERROR(VLOOKUP(D79,Teams!$B$2:$I$21,6,FALSE),"")</f>
        <v>0</v>
      </c>
      <c r="X79" s="2" t="s">
        <v>65</v>
      </c>
      <c r="Y79" s="13"/>
      <c r="Z79" s="14"/>
      <c r="AA79" s="15">
        <f>IFERROR(H79/(H79+Priors!$G$3),0)</f>
        <v>0.6244836650394292</v>
      </c>
      <c r="AB79" s="16">
        <f>VLOOKUP(E79,Priors!$A$3:$C$6,2,FALSE)</f>
        <v>0.15714383234350468</v>
      </c>
      <c r="AC79" s="16">
        <f>VLOOKUP(E79,Priors!$A$3:$C$6,3,FALSE)</f>
        <v>0.13222062939449797</v>
      </c>
      <c r="AD79" s="12">
        <f t="shared" si="8"/>
        <v>0.33985874290030221</v>
      </c>
      <c r="AE79" s="12">
        <f t="shared" si="9"/>
        <v>0.10068367607754336</v>
      </c>
      <c r="AF79" s="17">
        <v>1</v>
      </c>
      <c r="AG79" s="17">
        <v>1</v>
      </c>
      <c r="AH79" s="16">
        <f>IFERROR(VLOOKUP(D79,Teams!$B$2:$I$21,7,FALSE),1)</f>
        <v>1</v>
      </c>
      <c r="AI79" s="12">
        <f t="shared" si="10"/>
        <v>0.33985874290030221</v>
      </c>
      <c r="AJ79" s="12">
        <f t="shared" si="11"/>
        <v>0.10068367607754336</v>
      </c>
      <c r="AK79" s="6" t="s">
        <v>80</v>
      </c>
      <c r="AL79" s="18">
        <v>0</v>
      </c>
      <c r="AM79" s="23" t="s">
        <v>299</v>
      </c>
      <c r="AN79" s="24">
        <v>6.2E-2</v>
      </c>
      <c r="AO79" s="25" t="b">
        <v>1</v>
      </c>
      <c r="AP79" s="23" t="s">
        <v>300</v>
      </c>
      <c r="AQ79" s="25" t="b">
        <v>0</v>
      </c>
      <c r="AR79" s="23"/>
      <c r="AS79" s="23" t="s">
        <v>68</v>
      </c>
    </row>
    <row r="80" spans="1:45" ht="60">
      <c r="A80" s="6">
        <v>79</v>
      </c>
      <c r="B80" s="6" t="s">
        <v>301</v>
      </c>
      <c r="C80" s="6" t="s">
        <v>301</v>
      </c>
      <c r="D80" s="6" t="s">
        <v>236</v>
      </c>
      <c r="E80" s="6" t="s">
        <v>14</v>
      </c>
      <c r="F80" s="9">
        <v>6</v>
      </c>
      <c r="G80" s="9">
        <v>6</v>
      </c>
      <c r="H80" s="10">
        <v>2741</v>
      </c>
      <c r="I80" s="11">
        <v>10.64</v>
      </c>
      <c r="J80" s="11">
        <v>1.48</v>
      </c>
      <c r="K80" s="12">
        <f t="shared" si="6"/>
        <v>0.34936154688070048</v>
      </c>
      <c r="L80" s="12">
        <f t="shared" si="7"/>
        <v>4.8595403137541036E-2</v>
      </c>
      <c r="M80" s="10">
        <v>6</v>
      </c>
      <c r="N80" s="10">
        <v>7</v>
      </c>
      <c r="O80" s="10">
        <v>115</v>
      </c>
      <c r="P80" s="10">
        <v>3.2</v>
      </c>
      <c r="Q80" s="10">
        <v>32</v>
      </c>
      <c r="R80" s="11">
        <v>4.43</v>
      </c>
      <c r="S80" s="6"/>
      <c r="T80" s="6"/>
      <c r="U80" s="6"/>
      <c r="V80" s="7" t="b">
        <v>0</v>
      </c>
      <c r="W80" s="8">
        <f>IFERROR(VLOOKUP(D80,Teams!$B$2:$I$21,6,FALSE),"")</f>
        <v>0</v>
      </c>
      <c r="X80" s="2" t="s">
        <v>65</v>
      </c>
      <c r="Y80" s="13"/>
      <c r="Z80" s="14"/>
      <c r="AA80" s="15">
        <f>IFERROR(H80/(H80+Priors!$G$3),0)</f>
        <v>0.73269179363806469</v>
      </c>
      <c r="AB80" s="16">
        <f>VLOOKUP(E80,Priors!$A$3:$C$6,2,FALSE)</f>
        <v>0.44625207326425426</v>
      </c>
      <c r="AC80" s="16">
        <f>VLOOKUP(E80,Priors!$A$3:$C$6,3,FALSE)</f>
        <v>5.8217260259314105E-2</v>
      </c>
      <c r="AD80" s="12">
        <f t="shared" si="8"/>
        <v>0.37526117970175199</v>
      </c>
      <c r="AE80" s="12">
        <f t="shared" si="9"/>
        <v>5.1167404506633006E-2</v>
      </c>
      <c r="AF80" s="17">
        <v>1</v>
      </c>
      <c r="AG80" s="17">
        <v>1</v>
      </c>
      <c r="AH80" s="16">
        <f>IFERROR(VLOOKUP(D80,Teams!$B$2:$I$21,7,FALSE),1)</f>
        <v>1</v>
      </c>
      <c r="AI80" s="12">
        <f t="shared" si="10"/>
        <v>0.37526117970175199</v>
      </c>
      <c r="AJ80" s="12">
        <f t="shared" si="11"/>
        <v>5.1167404506633006E-2</v>
      </c>
      <c r="AK80" s="6" t="s">
        <v>66</v>
      </c>
      <c r="AL80" s="18"/>
      <c r="AM80" s="23"/>
      <c r="AN80" s="24">
        <v>0.02</v>
      </c>
      <c r="AO80" s="25" t="b">
        <v>1</v>
      </c>
      <c r="AP80" s="23" t="s">
        <v>302</v>
      </c>
      <c r="AQ80" s="25" t="b">
        <v>0</v>
      </c>
      <c r="AR80" s="23"/>
      <c r="AS80" s="23" t="s">
        <v>68</v>
      </c>
    </row>
    <row r="81" spans="1:45" ht="60">
      <c r="A81" s="6">
        <v>80</v>
      </c>
      <c r="B81" s="6" t="s">
        <v>303</v>
      </c>
      <c r="C81" s="6" t="s">
        <v>303</v>
      </c>
      <c r="D81" s="6" t="s">
        <v>236</v>
      </c>
      <c r="E81" s="6" t="s">
        <v>14</v>
      </c>
      <c r="F81" s="9">
        <v>5.5</v>
      </c>
      <c r="G81" s="9">
        <v>5.5</v>
      </c>
      <c r="H81" s="10">
        <v>214</v>
      </c>
      <c r="I81" s="11">
        <v>2</v>
      </c>
      <c r="J81" s="11">
        <v>7.0000000000000007E-2</v>
      </c>
      <c r="K81" s="12">
        <f t="shared" si="6"/>
        <v>0.84112149532710279</v>
      </c>
      <c r="L81" s="12">
        <f t="shared" si="7"/>
        <v>2.9439252336448601E-2</v>
      </c>
      <c r="M81" s="10">
        <v>1</v>
      </c>
      <c r="N81" s="10">
        <v>0</v>
      </c>
      <c r="O81" s="10">
        <v>27</v>
      </c>
      <c r="P81" s="10">
        <v>1.2</v>
      </c>
      <c r="Q81" s="10">
        <v>0</v>
      </c>
      <c r="R81" s="11">
        <v>9.67</v>
      </c>
      <c r="S81" s="6"/>
      <c r="T81" s="6">
        <v>5</v>
      </c>
      <c r="U81" s="6"/>
      <c r="V81" s="7" t="b">
        <v>0</v>
      </c>
      <c r="W81" s="8">
        <f>IFERROR(VLOOKUP(D81,Teams!$B$2:$I$21,6,FALSE),"")</f>
        <v>0</v>
      </c>
      <c r="X81" s="2" t="s">
        <v>65</v>
      </c>
      <c r="Y81" s="13"/>
      <c r="Z81" s="14"/>
      <c r="AA81" s="15">
        <f>IFERROR(H81/(H81+Priors!$G$3),0)</f>
        <v>0.17627677100494235</v>
      </c>
      <c r="AB81" s="16">
        <f>VLOOKUP(E81,Priors!$A$3:$C$6,2,FALSE)</f>
        <v>0.44625207326425426</v>
      </c>
      <c r="AC81" s="16">
        <f>VLOOKUP(E81,Priors!$A$3:$C$6,3,FALSE)</f>
        <v>5.8217260259314105E-2</v>
      </c>
      <c r="AD81" s="12">
        <f t="shared" si="8"/>
        <v>0.51585837995408101</v>
      </c>
      <c r="AE81" s="12">
        <f t="shared" si="9"/>
        <v>5.3144365946716732E-2</v>
      </c>
      <c r="AF81" s="17">
        <v>1</v>
      </c>
      <c r="AG81" s="17">
        <v>1</v>
      </c>
      <c r="AH81" s="16">
        <f>IFERROR(VLOOKUP(D81,Teams!$B$2:$I$21,7,FALSE),1)</f>
        <v>1</v>
      </c>
      <c r="AI81" s="12">
        <f t="shared" si="10"/>
        <v>0.51585837995408101</v>
      </c>
      <c r="AJ81" s="12">
        <f t="shared" si="11"/>
        <v>5.3144365946716732E-2</v>
      </c>
      <c r="AK81" s="6" t="s">
        <v>66</v>
      </c>
      <c r="AL81" s="18"/>
      <c r="AM81" s="23"/>
      <c r="AN81" s="24">
        <v>2E-3</v>
      </c>
      <c r="AO81" s="25" t="b">
        <v>1</v>
      </c>
      <c r="AP81" s="23" t="s">
        <v>201</v>
      </c>
      <c r="AQ81" s="25" t="b">
        <v>0</v>
      </c>
      <c r="AR81" s="23"/>
      <c r="AS81" s="23" t="s">
        <v>68</v>
      </c>
    </row>
    <row r="82" spans="1:45" ht="60">
      <c r="A82" s="6">
        <v>81</v>
      </c>
      <c r="B82" s="6" t="s">
        <v>304</v>
      </c>
      <c r="C82" s="6" t="s">
        <v>305</v>
      </c>
      <c r="D82" s="6" t="s">
        <v>236</v>
      </c>
      <c r="E82" s="6" t="s">
        <v>14</v>
      </c>
      <c r="F82" s="9">
        <v>6</v>
      </c>
      <c r="G82" s="9">
        <v>6</v>
      </c>
      <c r="H82" s="10">
        <v>0</v>
      </c>
      <c r="I82" s="11">
        <v>0</v>
      </c>
      <c r="J82" s="11">
        <v>0</v>
      </c>
      <c r="K82" s="12">
        <f t="shared" si="6"/>
        <v>0</v>
      </c>
      <c r="L82" s="12">
        <f t="shared" si="7"/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1">
        <v>0</v>
      </c>
      <c r="S82" s="6"/>
      <c r="T82" s="6"/>
      <c r="U82" s="6"/>
      <c r="V82" s="7" t="b">
        <v>1</v>
      </c>
      <c r="W82" s="8">
        <f>IFERROR(VLOOKUP(D82,Teams!$B$2:$I$21,6,FALSE),"")</f>
        <v>0</v>
      </c>
      <c r="X82" s="2" t="s">
        <v>65</v>
      </c>
      <c r="Y82" s="13"/>
      <c r="Z82" s="14"/>
      <c r="AA82" s="15">
        <f>IFERROR(H82/(H82+Priors!$G$3),0)</f>
        <v>0</v>
      </c>
      <c r="AB82" s="16">
        <f>VLOOKUP(E82,Priors!$A$3:$C$6,2,FALSE)</f>
        <v>0.44625207326425426</v>
      </c>
      <c r="AC82" s="16">
        <f>VLOOKUP(E82,Priors!$A$3:$C$6,3,FALSE)</f>
        <v>5.8217260259314105E-2</v>
      </c>
      <c r="AD82" s="12">
        <f t="shared" si="8"/>
        <v>0.44625207326425426</v>
      </c>
      <c r="AE82" s="12">
        <f t="shared" si="9"/>
        <v>5.8217260259314105E-2</v>
      </c>
      <c r="AF82" s="17">
        <v>1</v>
      </c>
      <c r="AG82" s="17">
        <v>1</v>
      </c>
      <c r="AH82" s="16">
        <f>IFERROR(VLOOKUP(D82,Teams!$B$2:$I$21,7,FALSE),1)</f>
        <v>1</v>
      </c>
      <c r="AI82" s="12">
        <f t="shared" si="10"/>
        <v>0.44625207326425426</v>
      </c>
      <c r="AJ82" s="12">
        <f t="shared" si="11"/>
        <v>5.8217260259314105E-2</v>
      </c>
      <c r="AK82" s="6" t="s">
        <v>66</v>
      </c>
      <c r="AL82" s="18"/>
      <c r="AM82" s="23"/>
      <c r="AN82" s="24">
        <v>3.0000000000000001E-3</v>
      </c>
      <c r="AO82" s="25" t="b">
        <v>1</v>
      </c>
      <c r="AP82" s="23" t="s">
        <v>306</v>
      </c>
      <c r="AQ82" s="25" t="b">
        <v>0</v>
      </c>
      <c r="AR82" s="23"/>
      <c r="AS82" s="23" t="s">
        <v>68</v>
      </c>
    </row>
    <row r="83" spans="1:45" ht="60">
      <c r="A83" s="6">
        <v>566</v>
      </c>
      <c r="B83" s="6" t="s">
        <v>307</v>
      </c>
      <c r="C83" s="6" t="s">
        <v>308</v>
      </c>
      <c r="D83" s="6" t="s">
        <v>236</v>
      </c>
      <c r="E83" s="6" t="s">
        <v>9</v>
      </c>
      <c r="F83" s="9">
        <v>5</v>
      </c>
      <c r="G83" s="9">
        <v>5</v>
      </c>
      <c r="H83" s="10">
        <v>0</v>
      </c>
      <c r="I83" s="11">
        <v>0</v>
      </c>
      <c r="J83" s="11">
        <v>0</v>
      </c>
      <c r="K83" s="12">
        <f t="shared" si="6"/>
        <v>0</v>
      </c>
      <c r="L83" s="12">
        <f t="shared" si="7"/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1">
        <v>0</v>
      </c>
      <c r="S83" s="6"/>
      <c r="T83" s="6"/>
      <c r="U83" s="6"/>
      <c r="V83" s="7" t="b">
        <v>1</v>
      </c>
      <c r="W83" s="8">
        <f>IFERROR(VLOOKUP(D83,Teams!$B$2:$I$21,6,FALSE),"")</f>
        <v>0</v>
      </c>
      <c r="X83" s="2" t="s">
        <v>65</v>
      </c>
      <c r="Y83" s="13"/>
      <c r="Z83" s="14"/>
      <c r="AA83" s="15">
        <f>IFERROR(H83/(H83+Priors!$G$3),0)</f>
        <v>0</v>
      </c>
      <c r="AB83" s="16">
        <f>VLOOKUP(E83,Priors!$A$3:$C$6,2,FALSE)</f>
        <v>6.0081391379341341E-2</v>
      </c>
      <c r="AC83" s="16">
        <f>VLOOKUP(E83,Priors!$A$3:$C$6,3,FALSE)</f>
        <v>5.9588191961478354E-2</v>
      </c>
      <c r="AD83" s="12">
        <f t="shared" si="8"/>
        <v>6.0081391379341341E-2</v>
      </c>
      <c r="AE83" s="12">
        <f t="shared" si="9"/>
        <v>5.9588191961478354E-2</v>
      </c>
      <c r="AF83" s="17">
        <v>1</v>
      </c>
      <c r="AG83" s="17">
        <v>1</v>
      </c>
      <c r="AH83" s="16">
        <f>IFERROR(VLOOKUP(D83,Teams!$B$2:$I$21,7,FALSE),1)</f>
        <v>1</v>
      </c>
      <c r="AI83" s="12">
        <f t="shared" si="10"/>
        <v>6.0081391379341341E-2</v>
      </c>
      <c r="AJ83" s="12">
        <f t="shared" si="11"/>
        <v>5.9588191961478354E-2</v>
      </c>
      <c r="AK83" s="6" t="s">
        <v>66</v>
      </c>
      <c r="AL83" s="18"/>
      <c r="AM83" s="23"/>
      <c r="AN83" s="24">
        <v>0</v>
      </c>
      <c r="AO83" s="25" t="b">
        <v>1</v>
      </c>
      <c r="AP83" s="23" t="s">
        <v>309</v>
      </c>
      <c r="AQ83" s="25" t="b">
        <v>0</v>
      </c>
      <c r="AR83" s="23"/>
      <c r="AS83" s="23" t="s">
        <v>68</v>
      </c>
    </row>
    <row r="84" spans="1:45" ht="60">
      <c r="A84" s="6">
        <v>82</v>
      </c>
      <c r="B84" s="6" t="s">
        <v>310</v>
      </c>
      <c r="C84" s="6" t="s">
        <v>311</v>
      </c>
      <c r="D84" s="6" t="s">
        <v>312</v>
      </c>
      <c r="E84" s="6" t="s">
        <v>7</v>
      </c>
      <c r="F84" s="9">
        <v>5</v>
      </c>
      <c r="G84" s="9">
        <v>5</v>
      </c>
      <c r="H84" s="10">
        <v>3330</v>
      </c>
      <c r="I84" s="11">
        <v>0</v>
      </c>
      <c r="J84" s="11">
        <v>0.22</v>
      </c>
      <c r="K84" s="12">
        <f t="shared" si="6"/>
        <v>0</v>
      </c>
      <c r="L84" s="12">
        <f t="shared" si="7"/>
        <v>5.9459459459459459E-3</v>
      </c>
      <c r="M84" s="10">
        <v>0</v>
      </c>
      <c r="N84" s="10">
        <v>0</v>
      </c>
      <c r="O84" s="10">
        <v>143</v>
      </c>
      <c r="P84" s="10">
        <v>3.9</v>
      </c>
      <c r="Q84" s="10">
        <v>37</v>
      </c>
      <c r="R84" s="11">
        <v>0</v>
      </c>
      <c r="S84" s="6"/>
      <c r="T84" s="6"/>
      <c r="U84" s="6"/>
      <c r="V84" s="7" t="b">
        <v>0</v>
      </c>
      <c r="W84" s="8">
        <f>IFERROR(VLOOKUP(D84,Teams!$B$2:$I$21,6,FALSE),"")</f>
        <v>0</v>
      </c>
      <c r="X84" s="2" t="s">
        <v>65</v>
      </c>
      <c r="Y84" s="13"/>
      <c r="Z84" s="14"/>
      <c r="AA84" s="15">
        <f>IFERROR(H84/(H84+Priors!$G$3),0)</f>
        <v>0.76905311778290997</v>
      </c>
      <c r="AB84" s="16">
        <f>VLOOKUP(E84,Priors!$A$3:$C$6,2,FALSE)</f>
        <v>2.4013207263995197E-4</v>
      </c>
      <c r="AC84" s="16">
        <f>VLOOKUP(E84,Priors!$A$3:$C$6,3,FALSE)</f>
        <v>1.9810895992796044E-3</v>
      </c>
      <c r="AD84" s="12">
        <f t="shared" si="8"/>
        <v>5.5457753496524697E-5</v>
      </c>
      <c r="AE84" s="12">
        <f t="shared" si="9"/>
        <v>5.0302747342447123E-3</v>
      </c>
      <c r="AF84" s="17">
        <v>1</v>
      </c>
      <c r="AG84" s="17">
        <v>1</v>
      </c>
      <c r="AH84" s="16">
        <f>IFERROR(VLOOKUP(D84,Teams!$B$2:$I$21,7,FALSE),1)</f>
        <v>1</v>
      </c>
      <c r="AI84" s="12">
        <f t="shared" si="10"/>
        <v>5.5457753496524697E-5</v>
      </c>
      <c r="AJ84" s="12">
        <f t="shared" si="11"/>
        <v>5.0302747342447123E-3</v>
      </c>
      <c r="AK84" s="6" t="s">
        <v>66</v>
      </c>
      <c r="AL84" s="18"/>
      <c r="AM84" s="23"/>
      <c r="AN84" s="24">
        <v>5.5999999999999994E-2</v>
      </c>
      <c r="AO84" s="25" t="b">
        <v>1</v>
      </c>
      <c r="AP84" s="23" t="s">
        <v>313</v>
      </c>
      <c r="AQ84" s="25" t="b">
        <v>0</v>
      </c>
      <c r="AR84" s="23"/>
      <c r="AS84" s="23" t="s">
        <v>68</v>
      </c>
    </row>
    <row r="85" spans="1:45" ht="60">
      <c r="A85" s="6">
        <v>83</v>
      </c>
      <c r="B85" s="6" t="s">
        <v>314</v>
      </c>
      <c r="C85" s="6" t="s">
        <v>315</v>
      </c>
      <c r="D85" s="6" t="s">
        <v>312</v>
      </c>
      <c r="E85" s="6" t="s">
        <v>7</v>
      </c>
      <c r="F85" s="9">
        <v>4.5</v>
      </c>
      <c r="G85" s="9">
        <v>4.5</v>
      </c>
      <c r="H85" s="10">
        <v>90</v>
      </c>
      <c r="I85" s="11">
        <v>0</v>
      </c>
      <c r="J85" s="11">
        <v>0</v>
      </c>
      <c r="K85" s="12">
        <f t="shared" si="6"/>
        <v>0</v>
      </c>
      <c r="L85" s="12">
        <f t="shared" si="7"/>
        <v>0</v>
      </c>
      <c r="M85" s="10">
        <v>0</v>
      </c>
      <c r="N85" s="10">
        <v>0</v>
      </c>
      <c r="O85" s="10">
        <v>1</v>
      </c>
      <c r="P85" s="10">
        <v>1</v>
      </c>
      <c r="Q85" s="10">
        <v>1</v>
      </c>
      <c r="R85" s="11">
        <v>0</v>
      </c>
      <c r="S85" s="6"/>
      <c r="T85" s="6"/>
      <c r="U85" s="6"/>
      <c r="V85" s="7" t="b">
        <v>0</v>
      </c>
      <c r="W85" s="8">
        <f>IFERROR(VLOOKUP(D85,Teams!$B$2:$I$21,6,FALSE),"")</f>
        <v>0</v>
      </c>
      <c r="X85" s="2" t="s">
        <v>65</v>
      </c>
      <c r="Y85" s="13"/>
      <c r="Z85" s="14"/>
      <c r="AA85" s="15">
        <f>IFERROR(H85/(H85+Priors!$G$3),0)</f>
        <v>8.2568807339449546E-2</v>
      </c>
      <c r="AB85" s="16">
        <f>VLOOKUP(E85,Priors!$A$3:$C$6,2,FALSE)</f>
        <v>2.4013207263995197E-4</v>
      </c>
      <c r="AC85" s="16">
        <f>VLOOKUP(E85,Priors!$A$3:$C$6,3,FALSE)</f>
        <v>1.9810895992796044E-3</v>
      </c>
      <c r="AD85" s="12">
        <f t="shared" si="8"/>
        <v>2.2030465379812108E-4</v>
      </c>
      <c r="AE85" s="12">
        <f t="shared" si="9"/>
        <v>1.8175133938344995E-3</v>
      </c>
      <c r="AF85" s="17">
        <v>1</v>
      </c>
      <c r="AG85" s="17">
        <v>1</v>
      </c>
      <c r="AH85" s="16">
        <f>IFERROR(VLOOKUP(D85,Teams!$B$2:$I$21,7,FALSE),1)</f>
        <v>1</v>
      </c>
      <c r="AI85" s="12">
        <f t="shared" si="10"/>
        <v>2.2030465379812108E-4</v>
      </c>
      <c r="AJ85" s="12">
        <f t="shared" si="11"/>
        <v>1.8175133938344995E-3</v>
      </c>
      <c r="AK85" s="6" t="s">
        <v>66</v>
      </c>
      <c r="AL85" s="18"/>
      <c r="AM85" s="23"/>
      <c r="AN85" s="24">
        <v>1E-3</v>
      </c>
      <c r="AO85" s="25" t="b">
        <v>1</v>
      </c>
      <c r="AP85" s="23" t="s">
        <v>316</v>
      </c>
      <c r="AQ85" s="25" t="b">
        <v>0</v>
      </c>
      <c r="AR85" s="23"/>
      <c r="AS85" s="23" t="s">
        <v>68</v>
      </c>
    </row>
    <row r="86" spans="1:45" ht="60">
      <c r="A86" s="6">
        <v>84</v>
      </c>
      <c r="B86" s="6" t="s">
        <v>317</v>
      </c>
      <c r="C86" s="6" t="s">
        <v>318</v>
      </c>
      <c r="D86" s="6" t="s">
        <v>312</v>
      </c>
      <c r="E86" s="6" t="s">
        <v>9</v>
      </c>
      <c r="F86" s="9">
        <v>5.5</v>
      </c>
      <c r="G86" s="9">
        <v>5.5</v>
      </c>
      <c r="H86" s="10">
        <v>2971</v>
      </c>
      <c r="I86" s="11">
        <v>2.2400000000000002</v>
      </c>
      <c r="J86" s="11">
        <v>1.71</v>
      </c>
      <c r="K86" s="12">
        <f t="shared" si="6"/>
        <v>6.7855940760686642E-2</v>
      </c>
      <c r="L86" s="12">
        <f t="shared" si="7"/>
        <v>5.180074049141703E-2</v>
      </c>
      <c r="M86" s="10">
        <v>1</v>
      </c>
      <c r="N86" s="10">
        <v>2</v>
      </c>
      <c r="O86" s="10">
        <v>129</v>
      </c>
      <c r="P86" s="10">
        <v>3.7</v>
      </c>
      <c r="Q86" s="10">
        <v>32</v>
      </c>
      <c r="R86" s="11">
        <v>9.66</v>
      </c>
      <c r="S86" s="6"/>
      <c r="T86" s="6"/>
      <c r="U86" s="6"/>
      <c r="V86" s="7" t="b">
        <v>0</v>
      </c>
      <c r="W86" s="8">
        <f>IFERROR(VLOOKUP(D86,Teams!$B$2:$I$21,6,FALSE),"")</f>
        <v>0</v>
      </c>
      <c r="X86" s="2" t="s">
        <v>65</v>
      </c>
      <c r="Y86" s="13"/>
      <c r="Z86" s="14"/>
      <c r="AA86" s="15">
        <f>IFERROR(H86/(H86+Priors!$G$3),0)</f>
        <v>0.74817426340972049</v>
      </c>
      <c r="AB86" s="16">
        <f>VLOOKUP(E86,Priors!$A$3:$C$6,2,FALSE)</f>
        <v>6.0081391379341341E-2</v>
      </c>
      <c r="AC86" s="16">
        <f>VLOOKUP(E86,Priors!$A$3:$C$6,3,FALSE)</f>
        <v>5.9588191961478354E-2</v>
      </c>
      <c r="AD86" s="12">
        <f t="shared" si="8"/>
        <v>6.5898109136071858E-2</v>
      </c>
      <c r="AE86" s="12">
        <f t="shared" si="9"/>
        <v>5.3761821194026276E-2</v>
      </c>
      <c r="AF86" s="17">
        <v>1</v>
      </c>
      <c r="AG86" s="17">
        <v>1</v>
      </c>
      <c r="AH86" s="16">
        <f>IFERROR(VLOOKUP(D86,Teams!$B$2:$I$21,7,FALSE),1)</f>
        <v>1</v>
      </c>
      <c r="AI86" s="12">
        <f t="shared" si="10"/>
        <v>6.5898109136071858E-2</v>
      </c>
      <c r="AJ86" s="12">
        <f t="shared" si="11"/>
        <v>5.3761821194026276E-2</v>
      </c>
      <c r="AK86" s="6" t="s">
        <v>66</v>
      </c>
      <c r="AL86" s="18"/>
      <c r="AM86" s="23"/>
      <c r="AN86" s="24">
        <v>0.02</v>
      </c>
      <c r="AO86" s="25" t="b">
        <v>1</v>
      </c>
      <c r="AP86" s="23" t="s">
        <v>319</v>
      </c>
      <c r="AQ86" s="25" t="b">
        <v>0</v>
      </c>
      <c r="AR86" s="23"/>
      <c r="AS86" s="23" t="s">
        <v>68</v>
      </c>
    </row>
    <row r="87" spans="1:45" ht="60">
      <c r="A87" s="6">
        <v>85</v>
      </c>
      <c r="B87" s="6" t="s">
        <v>320</v>
      </c>
      <c r="C87" s="6" t="s">
        <v>321</v>
      </c>
      <c r="D87" s="6" t="s">
        <v>312</v>
      </c>
      <c r="E87" s="6" t="s">
        <v>9</v>
      </c>
      <c r="F87" s="9">
        <v>5</v>
      </c>
      <c r="G87" s="9">
        <v>5</v>
      </c>
      <c r="H87" s="10">
        <v>2761</v>
      </c>
      <c r="I87" s="11">
        <v>3.36</v>
      </c>
      <c r="J87" s="11">
        <v>1.45</v>
      </c>
      <c r="K87" s="12">
        <f t="shared" si="6"/>
        <v>0.10952553422672943</v>
      </c>
      <c r="L87" s="12">
        <f t="shared" si="7"/>
        <v>4.72654835204636E-2</v>
      </c>
      <c r="M87" s="10">
        <v>0</v>
      </c>
      <c r="N87" s="10">
        <v>3</v>
      </c>
      <c r="O87" s="10">
        <v>113</v>
      </c>
      <c r="P87" s="10">
        <v>3.5</v>
      </c>
      <c r="Q87" s="10">
        <v>30</v>
      </c>
      <c r="R87" s="11">
        <v>8.8699999999999992</v>
      </c>
      <c r="S87" s="6"/>
      <c r="T87" s="6"/>
      <c r="U87" s="6"/>
      <c r="V87" s="7" t="b">
        <v>0</v>
      </c>
      <c r="W87" s="8">
        <f>IFERROR(VLOOKUP(D87,Teams!$B$2:$I$21,6,FALSE),"")</f>
        <v>0</v>
      </c>
      <c r="X87" s="2" t="s">
        <v>65</v>
      </c>
      <c r="Y87" s="13"/>
      <c r="Z87" s="14"/>
      <c r="AA87" s="15">
        <f>IFERROR(H87/(H87+Priors!$G$3),0)</f>
        <v>0.73411326774793939</v>
      </c>
      <c r="AB87" s="16">
        <f>VLOOKUP(E87,Priors!$A$3:$C$6,2,FALSE)</f>
        <v>6.0081391379341341E-2</v>
      </c>
      <c r="AC87" s="16">
        <f>VLOOKUP(E87,Priors!$A$3:$C$6,3,FALSE)</f>
        <v>5.9588191961478354E-2</v>
      </c>
      <c r="AD87" s="12">
        <f t="shared" si="8"/>
        <v>9.6378992656033322E-2</v>
      </c>
      <c r="AE87" s="12">
        <f t="shared" si="9"/>
        <v>5.0541928200339897E-2</v>
      </c>
      <c r="AF87" s="17">
        <v>1</v>
      </c>
      <c r="AG87" s="17">
        <v>1</v>
      </c>
      <c r="AH87" s="16">
        <f>IFERROR(VLOOKUP(D87,Teams!$B$2:$I$21,7,FALSE),1)</f>
        <v>1</v>
      </c>
      <c r="AI87" s="12">
        <f t="shared" si="10"/>
        <v>9.6378992656033322E-2</v>
      </c>
      <c r="AJ87" s="12">
        <f t="shared" si="11"/>
        <v>5.0541928200339897E-2</v>
      </c>
      <c r="AK87" s="6" t="s">
        <v>66</v>
      </c>
      <c r="AL87" s="18"/>
      <c r="AM87" s="23"/>
      <c r="AN87" s="24">
        <v>6.9999999999999993E-3</v>
      </c>
      <c r="AO87" s="25" t="b">
        <v>1</v>
      </c>
      <c r="AP87" s="23" t="s">
        <v>322</v>
      </c>
      <c r="AQ87" s="25" t="b">
        <v>0</v>
      </c>
      <c r="AR87" s="23"/>
      <c r="AS87" s="23" t="s">
        <v>68</v>
      </c>
    </row>
    <row r="88" spans="1:45" ht="60">
      <c r="A88" s="6">
        <v>86</v>
      </c>
      <c r="B88" s="6" t="s">
        <v>323</v>
      </c>
      <c r="C88" s="6" t="s">
        <v>324</v>
      </c>
      <c r="D88" s="6" t="s">
        <v>312</v>
      </c>
      <c r="E88" s="6" t="s">
        <v>11</v>
      </c>
      <c r="F88" s="9">
        <v>5.5</v>
      </c>
      <c r="G88" s="9">
        <v>5.5</v>
      </c>
      <c r="H88" s="10">
        <v>1960</v>
      </c>
      <c r="I88" s="11">
        <v>3.01</v>
      </c>
      <c r="J88" s="11">
        <v>2.5099999999999998</v>
      </c>
      <c r="K88" s="12">
        <f t="shared" si="6"/>
        <v>0.13821428571428571</v>
      </c>
      <c r="L88" s="12">
        <f t="shared" si="7"/>
        <v>0.11525510204081632</v>
      </c>
      <c r="M88" s="10">
        <v>3</v>
      </c>
      <c r="N88" s="10">
        <v>4</v>
      </c>
      <c r="O88" s="10">
        <v>115</v>
      </c>
      <c r="P88" s="10">
        <v>3.2</v>
      </c>
      <c r="Q88" s="10">
        <v>22</v>
      </c>
      <c r="R88" s="11">
        <v>3.4</v>
      </c>
      <c r="S88" s="6"/>
      <c r="T88" s="6">
        <v>1</v>
      </c>
      <c r="U88" s="6"/>
      <c r="V88" s="7" t="b">
        <v>0</v>
      </c>
      <c r="W88" s="8">
        <f>IFERROR(VLOOKUP(D88,Teams!$B$2:$I$21,6,FALSE),"")</f>
        <v>0</v>
      </c>
      <c r="X88" s="2" t="s">
        <v>65</v>
      </c>
      <c r="Y88" s="13"/>
      <c r="Z88" s="14"/>
      <c r="AA88" s="15">
        <f>IFERROR(H88/(H88+Priors!$G$3),0)</f>
        <v>0.66216216216216217</v>
      </c>
      <c r="AB88" s="16">
        <f>VLOOKUP(E88,Priors!$A$3:$C$6,2,FALSE)</f>
        <v>0.15714383234350468</v>
      </c>
      <c r="AC88" s="16">
        <f>VLOOKUP(E88,Priors!$A$3:$C$6,3,FALSE)</f>
        <v>0.13222062939449797</v>
      </c>
      <c r="AD88" s="12">
        <f t="shared" si="8"/>
        <v>0.14460940281875156</v>
      </c>
      <c r="AE88" s="12">
        <f t="shared" si="9"/>
        <v>0.12098669911976281</v>
      </c>
      <c r="AF88" s="17">
        <v>1</v>
      </c>
      <c r="AG88" s="17">
        <v>1</v>
      </c>
      <c r="AH88" s="16">
        <f>IFERROR(VLOOKUP(D88,Teams!$B$2:$I$21,7,FALSE),1)</f>
        <v>1</v>
      </c>
      <c r="AI88" s="12">
        <f t="shared" si="10"/>
        <v>0.14460940281875156</v>
      </c>
      <c r="AJ88" s="12">
        <f t="shared" si="11"/>
        <v>0.12098669911976281</v>
      </c>
      <c r="AK88" s="6" t="s">
        <v>66</v>
      </c>
      <c r="AL88" s="18"/>
      <c r="AM88" s="23"/>
      <c r="AN88" s="24">
        <v>5.0000000000000001E-3</v>
      </c>
      <c r="AO88" s="25" t="b">
        <v>1</v>
      </c>
      <c r="AP88" s="23" t="s">
        <v>325</v>
      </c>
      <c r="AQ88" s="25" t="b">
        <v>0</v>
      </c>
      <c r="AR88" s="23"/>
      <c r="AS88" s="23" t="s">
        <v>68</v>
      </c>
    </row>
    <row r="89" spans="1:45" ht="60">
      <c r="A89" s="6">
        <v>87</v>
      </c>
      <c r="B89" s="6" t="s">
        <v>326</v>
      </c>
      <c r="C89" s="6" t="s">
        <v>327</v>
      </c>
      <c r="D89" s="6" t="s">
        <v>312</v>
      </c>
      <c r="E89" s="6" t="s">
        <v>9</v>
      </c>
      <c r="F89" s="9">
        <v>4.5</v>
      </c>
      <c r="G89" s="9">
        <v>4.5</v>
      </c>
      <c r="H89" s="10">
        <v>1805</v>
      </c>
      <c r="I89" s="11">
        <v>0.69</v>
      </c>
      <c r="J89" s="11">
        <v>0.73</v>
      </c>
      <c r="K89" s="12">
        <f t="shared" si="6"/>
        <v>3.4404432132963986E-2</v>
      </c>
      <c r="L89" s="12">
        <f t="shared" si="7"/>
        <v>3.6398891966759002E-2</v>
      </c>
      <c r="M89" s="10">
        <v>0</v>
      </c>
      <c r="N89" s="10">
        <v>2</v>
      </c>
      <c r="O89" s="10">
        <v>76</v>
      </c>
      <c r="P89" s="10">
        <v>2.8</v>
      </c>
      <c r="Q89" s="10">
        <v>20</v>
      </c>
      <c r="R89" s="11">
        <v>9.57</v>
      </c>
      <c r="S89" s="6"/>
      <c r="T89" s="6"/>
      <c r="U89" s="6"/>
      <c r="V89" s="7" t="b">
        <v>0</v>
      </c>
      <c r="W89" s="8">
        <f>IFERROR(VLOOKUP(D89,Teams!$B$2:$I$21,6,FALSE),"")</f>
        <v>0</v>
      </c>
      <c r="X89" s="2" t="s">
        <v>65</v>
      </c>
      <c r="Y89" s="13"/>
      <c r="Z89" s="14"/>
      <c r="AA89" s="15">
        <f>IFERROR(H89/(H89+Priors!$G$3),0)</f>
        <v>0.64349376114082002</v>
      </c>
      <c r="AB89" s="16">
        <f>VLOOKUP(E89,Priors!$A$3:$C$6,2,FALSE)</f>
        <v>6.0081391379341341E-2</v>
      </c>
      <c r="AC89" s="16">
        <f>VLOOKUP(E89,Priors!$A$3:$C$6,3,FALSE)</f>
        <v>5.9588191961478354E-2</v>
      </c>
      <c r="AD89" s="12">
        <f t="shared" si="8"/>
        <v>4.3558428299230421E-2</v>
      </c>
      <c r="AE89" s="12">
        <f t="shared" si="9"/>
        <v>4.4666022089653604E-2</v>
      </c>
      <c r="AF89" s="17">
        <v>1</v>
      </c>
      <c r="AG89" s="17">
        <v>1</v>
      </c>
      <c r="AH89" s="16">
        <f>IFERROR(VLOOKUP(D89,Teams!$B$2:$I$21,7,FALSE),1)</f>
        <v>1</v>
      </c>
      <c r="AI89" s="12">
        <f t="shared" si="10"/>
        <v>4.3558428299230421E-2</v>
      </c>
      <c r="AJ89" s="12">
        <f t="shared" si="11"/>
        <v>4.4666022089653604E-2</v>
      </c>
      <c r="AK89" s="6" t="s">
        <v>66</v>
      </c>
      <c r="AL89" s="18"/>
      <c r="AM89" s="23"/>
      <c r="AN89" s="24">
        <v>1.2E-2</v>
      </c>
      <c r="AO89" s="25" t="b">
        <v>1</v>
      </c>
      <c r="AP89" s="23" t="s">
        <v>328</v>
      </c>
      <c r="AQ89" s="25" t="b">
        <v>0</v>
      </c>
      <c r="AR89" s="23"/>
      <c r="AS89" s="23" t="s">
        <v>68</v>
      </c>
    </row>
    <row r="90" spans="1:45" ht="60">
      <c r="A90" s="6">
        <v>88</v>
      </c>
      <c r="B90" s="6" t="s">
        <v>329</v>
      </c>
      <c r="C90" s="6" t="s">
        <v>330</v>
      </c>
      <c r="D90" s="6" t="s">
        <v>312</v>
      </c>
      <c r="E90" s="6" t="s">
        <v>9</v>
      </c>
      <c r="F90" s="9">
        <v>4.5</v>
      </c>
      <c r="G90" s="9">
        <v>4.5</v>
      </c>
      <c r="H90" s="10">
        <v>3258</v>
      </c>
      <c r="I90" s="11">
        <v>1.28</v>
      </c>
      <c r="J90" s="11">
        <v>2.89</v>
      </c>
      <c r="K90" s="12">
        <f t="shared" si="6"/>
        <v>3.535911602209945E-2</v>
      </c>
      <c r="L90" s="12">
        <f t="shared" si="7"/>
        <v>7.9834254143646421E-2</v>
      </c>
      <c r="M90" s="10">
        <v>1</v>
      </c>
      <c r="N90" s="10">
        <v>2</v>
      </c>
      <c r="O90" s="10">
        <v>113</v>
      </c>
      <c r="P90" s="10">
        <v>3.1</v>
      </c>
      <c r="Q90" s="10">
        <v>37</v>
      </c>
      <c r="R90" s="11">
        <v>6.05</v>
      </c>
      <c r="S90" s="6"/>
      <c r="T90" s="6"/>
      <c r="U90" s="6"/>
      <c r="V90" s="7" t="b">
        <v>0</v>
      </c>
      <c r="W90" s="8">
        <f>IFERROR(VLOOKUP(D90,Teams!$B$2:$I$21,6,FALSE),"")</f>
        <v>0</v>
      </c>
      <c r="X90" s="2" t="s">
        <v>65</v>
      </c>
      <c r="Y90" s="13"/>
      <c r="Z90" s="14"/>
      <c r="AA90" s="15">
        <f>IFERROR(H90/(H90+Priors!$G$3),0)</f>
        <v>0.76514795678722403</v>
      </c>
      <c r="AB90" s="16">
        <f>VLOOKUP(E90,Priors!$A$3:$C$6,2,FALSE)</f>
        <v>6.0081391379341341E-2</v>
      </c>
      <c r="AC90" s="16">
        <f>VLOOKUP(E90,Priors!$A$3:$C$6,3,FALSE)</f>
        <v>5.9588191961478354E-2</v>
      </c>
      <c r="AD90" s="12">
        <f t="shared" si="8"/>
        <v>4.1165192902616568E-2</v>
      </c>
      <c r="AE90" s="12">
        <f t="shared" si="9"/>
        <v>7.5079425073151337E-2</v>
      </c>
      <c r="AF90" s="17">
        <v>1</v>
      </c>
      <c r="AG90" s="17">
        <v>1</v>
      </c>
      <c r="AH90" s="16">
        <f>IFERROR(VLOOKUP(D90,Teams!$B$2:$I$21,7,FALSE),1)</f>
        <v>1</v>
      </c>
      <c r="AI90" s="12">
        <f t="shared" si="10"/>
        <v>4.1165192902616568E-2</v>
      </c>
      <c r="AJ90" s="12">
        <f t="shared" si="11"/>
        <v>7.5079425073151337E-2</v>
      </c>
      <c r="AK90" s="6" t="s">
        <v>66</v>
      </c>
      <c r="AL90" s="18"/>
      <c r="AM90" s="23"/>
      <c r="AN90" s="24">
        <v>4.0999999999999995E-2</v>
      </c>
      <c r="AO90" s="25" t="b">
        <v>1</v>
      </c>
      <c r="AP90" s="23" t="s">
        <v>71</v>
      </c>
      <c r="AQ90" s="25" t="b">
        <v>0</v>
      </c>
      <c r="AR90" s="23"/>
      <c r="AS90" s="23" t="s">
        <v>68</v>
      </c>
    </row>
    <row r="91" spans="1:45" ht="60">
      <c r="A91" s="6">
        <v>89</v>
      </c>
      <c r="B91" s="6" t="s">
        <v>331</v>
      </c>
      <c r="C91" s="6" t="s">
        <v>332</v>
      </c>
      <c r="D91" s="6" t="s">
        <v>312</v>
      </c>
      <c r="E91" s="6" t="s">
        <v>9</v>
      </c>
      <c r="F91" s="9">
        <v>4.5</v>
      </c>
      <c r="G91" s="9">
        <v>4.5</v>
      </c>
      <c r="H91" s="10">
        <v>1322</v>
      </c>
      <c r="I91" s="11">
        <v>0.18</v>
      </c>
      <c r="J91" s="11">
        <v>0.54</v>
      </c>
      <c r="K91" s="12">
        <f t="shared" si="6"/>
        <v>1.2254160363086233E-2</v>
      </c>
      <c r="L91" s="12">
        <f t="shared" si="7"/>
        <v>3.6762481089258697E-2</v>
      </c>
      <c r="M91" s="10">
        <v>0</v>
      </c>
      <c r="N91" s="10">
        <v>2</v>
      </c>
      <c r="O91" s="10">
        <v>52</v>
      </c>
      <c r="P91" s="10">
        <v>2.1</v>
      </c>
      <c r="Q91" s="10">
        <v>14</v>
      </c>
      <c r="R91" s="11">
        <v>4.63</v>
      </c>
      <c r="S91" s="6"/>
      <c r="T91" s="6"/>
      <c r="U91" s="6"/>
      <c r="V91" s="7" t="b">
        <v>0</v>
      </c>
      <c r="W91" s="8">
        <f>IFERROR(VLOOKUP(D91,Teams!$B$2:$I$21,6,FALSE),"")</f>
        <v>0</v>
      </c>
      <c r="X91" s="2" t="s">
        <v>65</v>
      </c>
      <c r="Y91" s="13"/>
      <c r="Z91" s="14"/>
      <c r="AA91" s="15">
        <f>IFERROR(H91/(H91+Priors!$G$3),0)</f>
        <v>0.56933677863910426</v>
      </c>
      <c r="AB91" s="16">
        <f>VLOOKUP(E91,Priors!$A$3:$C$6,2,FALSE)</f>
        <v>6.0081391379341341E-2</v>
      </c>
      <c r="AC91" s="16">
        <f>VLOOKUP(E91,Priors!$A$3:$C$6,3,FALSE)</f>
        <v>5.9588191961478354E-2</v>
      </c>
      <c r="AD91" s="12">
        <f t="shared" si="8"/>
        <v>3.2851589741318403E-2</v>
      </c>
      <c r="AE91" s="12">
        <f t="shared" si="9"/>
        <v>4.6592675263341238E-2</v>
      </c>
      <c r="AF91" s="17">
        <v>1</v>
      </c>
      <c r="AG91" s="17">
        <v>1</v>
      </c>
      <c r="AH91" s="16">
        <f>IFERROR(VLOOKUP(D91,Teams!$B$2:$I$21,7,FALSE),1)</f>
        <v>1</v>
      </c>
      <c r="AI91" s="12">
        <f t="shared" si="10"/>
        <v>3.2851589741318403E-2</v>
      </c>
      <c r="AJ91" s="12">
        <f t="shared" si="11"/>
        <v>4.6592675263341238E-2</v>
      </c>
      <c r="AK91" s="6" t="s">
        <v>66</v>
      </c>
      <c r="AL91" s="18"/>
      <c r="AM91" s="23"/>
      <c r="AN91" s="24">
        <v>2E-3</v>
      </c>
      <c r="AO91" s="25" t="b">
        <v>1</v>
      </c>
      <c r="AP91" s="23" t="s">
        <v>333</v>
      </c>
      <c r="AQ91" s="25" t="b">
        <v>0</v>
      </c>
      <c r="AR91" s="23"/>
      <c r="AS91" s="23" t="s">
        <v>68</v>
      </c>
    </row>
    <row r="92" spans="1:45" ht="60">
      <c r="A92" s="6">
        <v>90</v>
      </c>
      <c r="B92" s="6" t="s">
        <v>334</v>
      </c>
      <c r="C92" s="6" t="s">
        <v>335</v>
      </c>
      <c r="D92" s="6" t="s">
        <v>312</v>
      </c>
      <c r="E92" s="6" t="s">
        <v>9</v>
      </c>
      <c r="F92" s="9">
        <v>4.5</v>
      </c>
      <c r="G92" s="9">
        <v>4.5</v>
      </c>
      <c r="H92" s="10">
        <v>679</v>
      </c>
      <c r="I92" s="11">
        <v>0.44</v>
      </c>
      <c r="J92" s="11">
        <v>0.17</v>
      </c>
      <c r="K92" s="12">
        <f t="shared" si="6"/>
        <v>5.8321060382916054E-2</v>
      </c>
      <c r="L92" s="12">
        <f t="shared" si="7"/>
        <v>2.2533136966126657E-2</v>
      </c>
      <c r="M92" s="10">
        <v>0</v>
      </c>
      <c r="N92" s="10">
        <v>0</v>
      </c>
      <c r="O92" s="10">
        <v>37</v>
      </c>
      <c r="P92" s="10">
        <v>1.8</v>
      </c>
      <c r="Q92" s="10">
        <v>8</v>
      </c>
      <c r="R92" s="11">
        <v>6.76</v>
      </c>
      <c r="S92" s="6"/>
      <c r="T92" s="6"/>
      <c r="U92" s="6"/>
      <c r="V92" s="7" t="b">
        <v>0</v>
      </c>
      <c r="W92" s="8">
        <f>IFERROR(VLOOKUP(D92,Teams!$B$2:$I$21,6,FALSE),"")</f>
        <v>0</v>
      </c>
      <c r="X92" s="2" t="s">
        <v>65</v>
      </c>
      <c r="Y92" s="13"/>
      <c r="Z92" s="14"/>
      <c r="AA92" s="15">
        <f>IFERROR(H92/(H92+Priors!$G$3),0)</f>
        <v>0.40440738534842169</v>
      </c>
      <c r="AB92" s="16">
        <f>VLOOKUP(E92,Priors!$A$3:$C$6,2,FALSE)</f>
        <v>6.0081391379341341E-2</v>
      </c>
      <c r="AC92" s="16">
        <f>VLOOKUP(E92,Priors!$A$3:$C$6,3,FALSE)</f>
        <v>5.9588191961478354E-2</v>
      </c>
      <c r="AD92" s="12">
        <f t="shared" si="8"/>
        <v>5.9369500523729204E-2</v>
      </c>
      <c r="AE92" s="12">
        <f t="shared" si="9"/>
        <v>4.4602854056866197E-2</v>
      </c>
      <c r="AF92" s="17">
        <v>1</v>
      </c>
      <c r="AG92" s="17">
        <v>1</v>
      </c>
      <c r="AH92" s="16">
        <f>IFERROR(VLOOKUP(D92,Teams!$B$2:$I$21,7,FALSE),1)</f>
        <v>1</v>
      </c>
      <c r="AI92" s="12">
        <f t="shared" si="10"/>
        <v>5.9369500523729204E-2</v>
      </c>
      <c r="AJ92" s="12">
        <f t="shared" si="11"/>
        <v>4.4602854056866197E-2</v>
      </c>
      <c r="AK92" s="6" t="s">
        <v>66</v>
      </c>
      <c r="AL92" s="18"/>
      <c r="AM92" s="23"/>
      <c r="AN92" s="24">
        <v>1E-3</v>
      </c>
      <c r="AO92" s="25" t="b">
        <v>1</v>
      </c>
      <c r="AP92" s="23" t="s">
        <v>336</v>
      </c>
      <c r="AQ92" s="25" t="b">
        <v>0</v>
      </c>
      <c r="AR92" s="23"/>
      <c r="AS92" s="23" t="s">
        <v>68</v>
      </c>
    </row>
    <row r="93" spans="1:45" ht="60">
      <c r="A93" s="6">
        <v>91</v>
      </c>
      <c r="B93" s="6" t="s">
        <v>337</v>
      </c>
      <c r="C93" s="6" t="s">
        <v>338</v>
      </c>
      <c r="D93" s="6" t="s">
        <v>312</v>
      </c>
      <c r="E93" s="6" t="s">
        <v>9</v>
      </c>
      <c r="F93" s="9">
        <v>4.5</v>
      </c>
      <c r="G93" s="9">
        <v>4.5</v>
      </c>
      <c r="H93" s="10">
        <v>318</v>
      </c>
      <c r="I93" s="11">
        <v>0.01</v>
      </c>
      <c r="J93" s="11">
        <v>0.06</v>
      </c>
      <c r="K93" s="12">
        <f t="shared" si="6"/>
        <v>2.8301886792452833E-3</v>
      </c>
      <c r="L93" s="12">
        <f t="shared" si="7"/>
        <v>1.6981132075471698E-2</v>
      </c>
      <c r="M93" s="10">
        <v>0</v>
      </c>
      <c r="N93" s="10">
        <v>0</v>
      </c>
      <c r="O93" s="10">
        <v>14</v>
      </c>
      <c r="P93" s="10">
        <v>3.5</v>
      </c>
      <c r="Q93" s="10">
        <v>4</v>
      </c>
      <c r="R93" s="11">
        <v>11.89</v>
      </c>
      <c r="S93" s="6"/>
      <c r="T93" s="6"/>
      <c r="U93" s="6"/>
      <c r="V93" s="7" t="b">
        <v>0</v>
      </c>
      <c r="W93" s="8">
        <f>IFERROR(VLOOKUP(D93,Teams!$B$2:$I$21,6,FALSE),"")</f>
        <v>0</v>
      </c>
      <c r="X93" s="2" t="s">
        <v>65</v>
      </c>
      <c r="Y93" s="13"/>
      <c r="Z93" s="14"/>
      <c r="AA93" s="15">
        <f>IFERROR(H93/(H93+Priors!$G$3),0)</f>
        <v>0.24127465857359637</v>
      </c>
      <c r="AB93" s="16">
        <f>VLOOKUP(E93,Priors!$A$3:$C$6,2,FALSE)</f>
        <v>6.0081391379341341E-2</v>
      </c>
      <c r="AC93" s="16">
        <f>VLOOKUP(E93,Priors!$A$3:$C$6,3,FALSE)</f>
        <v>5.9588191961478354E-2</v>
      </c>
      <c r="AD93" s="12">
        <f t="shared" si="8"/>
        <v>4.6268126994947908E-2</v>
      </c>
      <c r="AE93" s="12">
        <f t="shared" si="9"/>
        <v>4.9308188134657323E-2</v>
      </c>
      <c r="AF93" s="17">
        <v>1</v>
      </c>
      <c r="AG93" s="17">
        <v>1</v>
      </c>
      <c r="AH93" s="16">
        <f>IFERROR(VLOOKUP(D93,Teams!$B$2:$I$21,7,FALSE),1)</f>
        <v>1</v>
      </c>
      <c r="AI93" s="12">
        <f t="shared" si="10"/>
        <v>4.6268126994947908E-2</v>
      </c>
      <c r="AJ93" s="12">
        <f t="shared" si="11"/>
        <v>4.9308188134657323E-2</v>
      </c>
      <c r="AK93" s="6" t="s">
        <v>66</v>
      </c>
      <c r="AL93" s="18"/>
      <c r="AM93" s="23"/>
      <c r="AN93" s="24">
        <v>1E-3</v>
      </c>
      <c r="AO93" s="25" t="b">
        <v>1</v>
      </c>
      <c r="AP93" s="23" t="s">
        <v>339</v>
      </c>
      <c r="AQ93" s="25" t="b">
        <v>0</v>
      </c>
      <c r="AR93" s="23"/>
      <c r="AS93" s="23" t="s">
        <v>68</v>
      </c>
    </row>
    <row r="94" spans="1:45" ht="60">
      <c r="A94" s="6">
        <v>92</v>
      </c>
      <c r="B94" s="6" t="s">
        <v>340</v>
      </c>
      <c r="C94" s="6" t="s">
        <v>341</v>
      </c>
      <c r="D94" s="6" t="s">
        <v>312</v>
      </c>
      <c r="E94" s="6" t="s">
        <v>9</v>
      </c>
      <c r="F94" s="9">
        <v>4.5</v>
      </c>
      <c r="G94" s="9">
        <v>4.5</v>
      </c>
      <c r="H94" s="10">
        <v>0</v>
      </c>
      <c r="I94" s="11">
        <v>0</v>
      </c>
      <c r="J94" s="11">
        <v>0</v>
      </c>
      <c r="K94" s="12">
        <f t="shared" si="6"/>
        <v>0</v>
      </c>
      <c r="L94" s="12">
        <f t="shared" si="7"/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1">
        <v>0</v>
      </c>
      <c r="S94" s="6"/>
      <c r="T94" s="6"/>
      <c r="U94" s="6"/>
      <c r="V94" s="7" t="b">
        <v>0</v>
      </c>
      <c r="W94" s="8">
        <f>IFERROR(VLOOKUP(D94,Teams!$B$2:$I$21,6,FALSE),"")</f>
        <v>0</v>
      </c>
      <c r="X94" s="2" t="s">
        <v>65</v>
      </c>
      <c r="Y94" s="13"/>
      <c r="Z94" s="14"/>
      <c r="AA94" s="15">
        <f>IFERROR(H94/(H94+Priors!$G$3),0)</f>
        <v>0</v>
      </c>
      <c r="AB94" s="16">
        <f>VLOOKUP(E94,Priors!$A$3:$C$6,2,FALSE)</f>
        <v>6.0081391379341341E-2</v>
      </c>
      <c r="AC94" s="16">
        <f>VLOOKUP(E94,Priors!$A$3:$C$6,3,FALSE)</f>
        <v>5.9588191961478354E-2</v>
      </c>
      <c r="AD94" s="12">
        <f t="shared" si="8"/>
        <v>6.0081391379341341E-2</v>
      </c>
      <c r="AE94" s="12">
        <f t="shared" si="9"/>
        <v>5.9588191961478354E-2</v>
      </c>
      <c r="AF94" s="17">
        <v>1</v>
      </c>
      <c r="AG94" s="17">
        <v>1</v>
      </c>
      <c r="AH94" s="16">
        <f>IFERROR(VLOOKUP(D94,Teams!$B$2:$I$21,7,FALSE),1)</f>
        <v>1</v>
      </c>
      <c r="AI94" s="12">
        <f t="shared" si="10"/>
        <v>6.0081391379341341E-2</v>
      </c>
      <c r="AJ94" s="12">
        <f t="shared" si="11"/>
        <v>5.9588191961478354E-2</v>
      </c>
      <c r="AK94" s="6" t="s">
        <v>66</v>
      </c>
      <c r="AL94" s="18"/>
      <c r="AM94" s="23"/>
      <c r="AN94" s="24">
        <v>0</v>
      </c>
      <c r="AO94" s="25" t="b">
        <v>1</v>
      </c>
      <c r="AP94" s="23" t="s">
        <v>342</v>
      </c>
      <c r="AQ94" s="25" t="b">
        <v>0</v>
      </c>
      <c r="AR94" s="23"/>
      <c r="AS94" s="23" t="s">
        <v>68</v>
      </c>
    </row>
    <row r="95" spans="1:45" ht="60">
      <c r="A95" s="6">
        <v>93</v>
      </c>
      <c r="B95" s="6" t="s">
        <v>343</v>
      </c>
      <c r="C95" s="6" t="s">
        <v>344</v>
      </c>
      <c r="D95" s="6" t="s">
        <v>312</v>
      </c>
      <c r="E95" s="6" t="s">
        <v>9</v>
      </c>
      <c r="F95" s="9">
        <v>4.5</v>
      </c>
      <c r="G95" s="9">
        <v>4.5</v>
      </c>
      <c r="H95" s="10">
        <v>0</v>
      </c>
      <c r="I95" s="11">
        <v>0</v>
      </c>
      <c r="J95" s="11">
        <v>0</v>
      </c>
      <c r="K95" s="12">
        <f t="shared" si="6"/>
        <v>0</v>
      </c>
      <c r="L95" s="12">
        <f t="shared" si="7"/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1">
        <v>0</v>
      </c>
      <c r="S95" s="6"/>
      <c r="T95" s="6"/>
      <c r="U95" s="6"/>
      <c r="V95" s="7" t="b">
        <v>1</v>
      </c>
      <c r="W95" s="8">
        <f>IFERROR(VLOOKUP(D95,Teams!$B$2:$I$21,6,FALSE),"")</f>
        <v>0</v>
      </c>
      <c r="X95" s="2" t="s">
        <v>65</v>
      </c>
      <c r="Y95" s="13"/>
      <c r="Z95" s="14"/>
      <c r="AA95" s="15">
        <f>IFERROR(H95/(H95+Priors!$G$3),0)</f>
        <v>0</v>
      </c>
      <c r="AB95" s="16">
        <f>VLOOKUP(E95,Priors!$A$3:$C$6,2,FALSE)</f>
        <v>6.0081391379341341E-2</v>
      </c>
      <c r="AC95" s="16">
        <f>VLOOKUP(E95,Priors!$A$3:$C$6,3,FALSE)</f>
        <v>5.9588191961478354E-2</v>
      </c>
      <c r="AD95" s="12">
        <f t="shared" si="8"/>
        <v>6.0081391379341341E-2</v>
      </c>
      <c r="AE95" s="12">
        <f t="shared" si="9"/>
        <v>5.9588191961478354E-2</v>
      </c>
      <c r="AF95" s="17">
        <v>1</v>
      </c>
      <c r="AG95" s="17">
        <v>1</v>
      </c>
      <c r="AH95" s="16">
        <f>IFERROR(VLOOKUP(D95,Teams!$B$2:$I$21,7,FALSE),1)</f>
        <v>1</v>
      </c>
      <c r="AI95" s="12">
        <f t="shared" si="10"/>
        <v>6.0081391379341341E-2</v>
      </c>
      <c r="AJ95" s="12">
        <f t="shared" si="11"/>
        <v>5.9588191961478354E-2</v>
      </c>
      <c r="AK95" s="6" t="s">
        <v>66</v>
      </c>
      <c r="AL95" s="18"/>
      <c r="AM95" s="23"/>
      <c r="AN95" s="24">
        <v>1E-3</v>
      </c>
      <c r="AO95" s="25" t="b">
        <v>1</v>
      </c>
      <c r="AP95" s="23" t="s">
        <v>345</v>
      </c>
      <c r="AQ95" s="25" t="b">
        <v>0</v>
      </c>
      <c r="AR95" s="23"/>
      <c r="AS95" s="23" t="s">
        <v>68</v>
      </c>
    </row>
    <row r="96" spans="1:45" ht="60">
      <c r="A96" s="6">
        <v>94</v>
      </c>
      <c r="B96" s="6" t="s">
        <v>346</v>
      </c>
      <c r="C96" s="6" t="s">
        <v>347</v>
      </c>
      <c r="D96" s="6" t="s">
        <v>312</v>
      </c>
      <c r="E96" s="6" t="s">
        <v>11</v>
      </c>
      <c r="F96" s="9">
        <v>6</v>
      </c>
      <c r="G96" s="9">
        <v>6</v>
      </c>
      <c r="H96" s="10">
        <v>2744</v>
      </c>
      <c r="I96" s="11">
        <v>12.08</v>
      </c>
      <c r="J96" s="11">
        <v>2.0499999999999998</v>
      </c>
      <c r="K96" s="12">
        <f t="shared" si="6"/>
        <v>0.39620991253644317</v>
      </c>
      <c r="L96" s="12">
        <f t="shared" si="7"/>
        <v>6.7237609329446058E-2</v>
      </c>
      <c r="M96" s="10">
        <v>8</v>
      </c>
      <c r="N96" s="10">
        <v>5</v>
      </c>
      <c r="O96" s="10">
        <v>125</v>
      </c>
      <c r="P96" s="10">
        <v>3.6</v>
      </c>
      <c r="Q96" s="10">
        <v>32</v>
      </c>
      <c r="R96" s="11">
        <v>6.23</v>
      </c>
      <c r="S96" s="6">
        <v>2</v>
      </c>
      <c r="T96" s="6"/>
      <c r="U96" s="6"/>
      <c r="V96" s="7" t="b">
        <v>0</v>
      </c>
      <c r="W96" s="8">
        <f>IFERROR(VLOOKUP(D96,Teams!$B$2:$I$21,6,FALSE),"")</f>
        <v>0</v>
      </c>
      <c r="X96" s="2" t="s">
        <v>65</v>
      </c>
      <c r="Y96" s="13"/>
      <c r="Z96" s="14"/>
      <c r="AA96" s="15">
        <f>IFERROR(H96/(H96+Priors!$G$3),0)</f>
        <v>0.73290598290598286</v>
      </c>
      <c r="AB96" s="16">
        <f>VLOOKUP(E96,Priors!$A$3:$C$6,2,FALSE)</f>
        <v>0.15714383234350468</v>
      </c>
      <c r="AC96" s="16">
        <f>VLOOKUP(E96,Priors!$A$3:$C$6,3,FALSE)</f>
        <v>0.13222062939449797</v>
      </c>
      <c r="AD96" s="12">
        <f t="shared" si="8"/>
        <v>0.33235679282679076</v>
      </c>
      <c r="AE96" s="12">
        <f t="shared" si="9"/>
        <v>8.4594185201521899E-2</v>
      </c>
      <c r="AF96" s="17">
        <v>1</v>
      </c>
      <c r="AG96" s="17">
        <v>1</v>
      </c>
      <c r="AH96" s="16">
        <f>IFERROR(VLOOKUP(D96,Teams!$B$2:$I$21,7,FALSE),1)</f>
        <v>1</v>
      </c>
      <c r="AI96" s="12">
        <f t="shared" si="10"/>
        <v>0.33235679282679076</v>
      </c>
      <c r="AJ96" s="12">
        <f t="shared" si="11"/>
        <v>8.4594185201521899E-2</v>
      </c>
      <c r="AK96" s="6" t="s">
        <v>66</v>
      </c>
      <c r="AL96" s="18"/>
      <c r="AM96" s="23"/>
      <c r="AN96" s="24">
        <v>2.3E-2</v>
      </c>
      <c r="AO96" s="25" t="b">
        <v>1</v>
      </c>
      <c r="AP96" s="23" t="s">
        <v>273</v>
      </c>
      <c r="AQ96" s="25" t="b">
        <v>0</v>
      </c>
      <c r="AR96" s="23"/>
      <c r="AS96" s="23" t="s">
        <v>68</v>
      </c>
    </row>
    <row r="97" spans="1:45" ht="60">
      <c r="A97" s="6">
        <v>95</v>
      </c>
      <c r="B97" s="6" t="s">
        <v>348</v>
      </c>
      <c r="C97" s="6" t="s">
        <v>349</v>
      </c>
      <c r="D97" s="6" t="s">
        <v>312</v>
      </c>
      <c r="E97" s="6" t="s">
        <v>11</v>
      </c>
      <c r="F97" s="9">
        <v>6.5</v>
      </c>
      <c r="G97" s="9">
        <v>6.5</v>
      </c>
      <c r="H97" s="10">
        <v>2271</v>
      </c>
      <c r="I97" s="11">
        <v>7.94</v>
      </c>
      <c r="J97" s="11">
        <v>4.12</v>
      </c>
      <c r="K97" s="12">
        <f t="shared" si="6"/>
        <v>0.31466314398943196</v>
      </c>
      <c r="L97" s="12">
        <f t="shared" si="7"/>
        <v>0.16327608982826949</v>
      </c>
      <c r="M97" s="10">
        <v>7</v>
      </c>
      <c r="N97" s="10">
        <v>8</v>
      </c>
      <c r="O97" s="10">
        <v>136</v>
      </c>
      <c r="P97" s="10">
        <v>4.2</v>
      </c>
      <c r="Q97" s="10">
        <v>25</v>
      </c>
      <c r="R97" s="11">
        <v>7.33</v>
      </c>
      <c r="S97" s="6"/>
      <c r="T97" s="6"/>
      <c r="U97" s="6">
        <v>8</v>
      </c>
      <c r="V97" s="7" t="b">
        <v>0</v>
      </c>
      <c r="W97" s="8">
        <f>IFERROR(VLOOKUP(D97,Teams!$B$2:$I$21,6,FALSE),"")</f>
        <v>0</v>
      </c>
      <c r="X97" s="2" t="s">
        <v>65</v>
      </c>
      <c r="Y97" s="13"/>
      <c r="Z97" s="14"/>
      <c r="AA97" s="15">
        <f>IFERROR(H97/(H97+Priors!$G$3),0)</f>
        <v>0.69428309385509024</v>
      </c>
      <c r="AB97" s="16">
        <f>VLOOKUP(E97,Priors!$A$3:$C$6,2,FALSE)</f>
        <v>0.15714383234350468</v>
      </c>
      <c r="AC97" s="16">
        <f>VLOOKUP(E97,Priors!$A$3:$C$6,3,FALSE)</f>
        <v>0.13222062939449797</v>
      </c>
      <c r="AD97" s="12">
        <f t="shared" si="8"/>
        <v>0.26650682737496323</v>
      </c>
      <c r="AE97" s="12">
        <f t="shared" si="9"/>
        <v>0.15378191054555121</v>
      </c>
      <c r="AF97" s="17">
        <v>1</v>
      </c>
      <c r="AG97" s="17">
        <v>1</v>
      </c>
      <c r="AH97" s="16">
        <f>IFERROR(VLOOKUP(D97,Teams!$B$2:$I$21,7,FALSE),1)</f>
        <v>1</v>
      </c>
      <c r="AI97" s="12">
        <f t="shared" si="10"/>
        <v>0.26650682737496323</v>
      </c>
      <c r="AJ97" s="12">
        <f t="shared" si="11"/>
        <v>0.15378191054555121</v>
      </c>
      <c r="AK97" s="6" t="s">
        <v>66</v>
      </c>
      <c r="AL97" s="18"/>
      <c r="AM97" s="23"/>
      <c r="AN97" s="24">
        <v>1.3000000000000001E-2</v>
      </c>
      <c r="AO97" s="25" t="b">
        <v>1</v>
      </c>
      <c r="AP97" s="23" t="s">
        <v>350</v>
      </c>
      <c r="AQ97" s="25" t="b">
        <v>0</v>
      </c>
      <c r="AR97" s="23"/>
      <c r="AS97" s="23" t="s">
        <v>68</v>
      </c>
    </row>
    <row r="98" spans="1:45" ht="60">
      <c r="A98" s="6">
        <v>96</v>
      </c>
      <c r="B98" s="6" t="s">
        <v>351</v>
      </c>
      <c r="C98" s="6" t="s">
        <v>352</v>
      </c>
      <c r="D98" s="6" t="s">
        <v>312</v>
      </c>
      <c r="E98" s="6" t="s">
        <v>11</v>
      </c>
      <c r="F98" s="9">
        <v>5.5</v>
      </c>
      <c r="G98" s="9">
        <v>5.5</v>
      </c>
      <c r="H98" s="10">
        <v>2046</v>
      </c>
      <c r="I98" s="11">
        <v>2.61</v>
      </c>
      <c r="J98" s="11">
        <v>5.43</v>
      </c>
      <c r="K98" s="12">
        <f t="shared" si="6"/>
        <v>0.11480938416422286</v>
      </c>
      <c r="L98" s="12">
        <f t="shared" si="7"/>
        <v>0.23885630498533725</v>
      </c>
      <c r="M98" s="10">
        <v>4</v>
      </c>
      <c r="N98" s="10">
        <v>4</v>
      </c>
      <c r="O98" s="10">
        <v>113</v>
      </c>
      <c r="P98" s="10">
        <v>3.4</v>
      </c>
      <c r="Q98" s="10">
        <v>24</v>
      </c>
      <c r="R98" s="11">
        <v>10.6</v>
      </c>
      <c r="S98" s="6"/>
      <c r="T98" s="6">
        <v>3</v>
      </c>
      <c r="U98" s="6">
        <v>6</v>
      </c>
      <c r="V98" s="7" t="b">
        <v>0</v>
      </c>
      <c r="W98" s="8">
        <f>IFERROR(VLOOKUP(D98,Teams!$B$2:$I$21,6,FALSE),"")</f>
        <v>0</v>
      </c>
      <c r="X98" s="2" t="s">
        <v>65</v>
      </c>
      <c r="Y98" s="13"/>
      <c r="Z98" s="14"/>
      <c r="AA98" s="15">
        <f>IFERROR(H98/(H98+Priors!$G$3),0)</f>
        <v>0.6717005909389363</v>
      </c>
      <c r="AB98" s="16">
        <f>VLOOKUP(E98,Priors!$A$3:$C$6,2,FALSE)</f>
        <v>0.15714383234350468</v>
      </c>
      <c r="AC98" s="16">
        <f>VLOOKUP(E98,Priors!$A$3:$C$6,3,FALSE)</f>
        <v>0.13222062939449797</v>
      </c>
      <c r="AD98" s="12">
        <f t="shared" si="8"/>
        <v>0.1287077584844073</v>
      </c>
      <c r="AE98" s="12">
        <f t="shared" si="9"/>
        <v>0.20384787570403742</v>
      </c>
      <c r="AF98" s="17">
        <v>1</v>
      </c>
      <c r="AG98" s="17">
        <v>1</v>
      </c>
      <c r="AH98" s="16">
        <f>IFERROR(VLOOKUP(D98,Teams!$B$2:$I$21,7,FALSE),1)</f>
        <v>1</v>
      </c>
      <c r="AI98" s="12">
        <f t="shared" si="10"/>
        <v>0.1287077584844073</v>
      </c>
      <c r="AJ98" s="12">
        <f t="shared" si="11"/>
        <v>0.20384787570403742</v>
      </c>
      <c r="AK98" s="6" t="s">
        <v>66</v>
      </c>
      <c r="AL98" s="18"/>
      <c r="AM98" s="23"/>
      <c r="AN98" s="24">
        <v>6.9999999999999993E-3</v>
      </c>
      <c r="AO98" s="25" t="b">
        <v>1</v>
      </c>
      <c r="AP98" s="23" t="s">
        <v>353</v>
      </c>
      <c r="AQ98" s="25" t="b">
        <v>0</v>
      </c>
      <c r="AR98" s="23"/>
      <c r="AS98" s="23" t="s">
        <v>68</v>
      </c>
    </row>
    <row r="99" spans="1:45" ht="60">
      <c r="A99" s="6">
        <v>97</v>
      </c>
      <c r="B99" s="6" t="s">
        <v>354</v>
      </c>
      <c r="C99" s="6" t="s">
        <v>355</v>
      </c>
      <c r="D99" s="6" t="s">
        <v>312</v>
      </c>
      <c r="E99" s="6" t="s">
        <v>11</v>
      </c>
      <c r="F99" s="9">
        <v>5.5</v>
      </c>
      <c r="G99" s="9">
        <v>5.5</v>
      </c>
      <c r="H99" s="10">
        <v>2239</v>
      </c>
      <c r="I99" s="11">
        <v>2.21</v>
      </c>
      <c r="J99" s="11">
        <v>6.06</v>
      </c>
      <c r="K99" s="12">
        <f t="shared" si="6"/>
        <v>8.8834301027244308E-2</v>
      </c>
      <c r="L99" s="12">
        <f t="shared" si="7"/>
        <v>0.24359088878963822</v>
      </c>
      <c r="M99" s="10">
        <v>3</v>
      </c>
      <c r="N99" s="10">
        <v>2</v>
      </c>
      <c r="O99" s="10">
        <v>98</v>
      </c>
      <c r="P99" s="10">
        <v>2.7</v>
      </c>
      <c r="Q99" s="10">
        <v>26</v>
      </c>
      <c r="R99" s="11">
        <v>8.84</v>
      </c>
      <c r="S99" s="6">
        <v>3</v>
      </c>
      <c r="T99" s="6">
        <v>2</v>
      </c>
      <c r="U99" s="6">
        <v>5</v>
      </c>
      <c r="V99" s="7" t="b">
        <v>0</v>
      </c>
      <c r="W99" s="8">
        <f>IFERROR(VLOOKUP(D99,Teams!$B$2:$I$21,6,FALSE),"")</f>
        <v>0</v>
      </c>
      <c r="X99" s="2" t="s">
        <v>65</v>
      </c>
      <c r="Y99" s="13"/>
      <c r="Z99" s="14"/>
      <c r="AA99" s="15">
        <f>IFERROR(H99/(H99+Priors!$G$3),0)</f>
        <v>0.69126273541216421</v>
      </c>
      <c r="AB99" s="16">
        <f>VLOOKUP(E99,Priors!$A$3:$C$6,2,FALSE)</f>
        <v>0.15714383234350468</v>
      </c>
      <c r="AC99" s="16">
        <f>VLOOKUP(E99,Priors!$A$3:$C$6,3,FALSE)</f>
        <v>0.13222062939449797</v>
      </c>
      <c r="AD99" s="12">
        <f t="shared" si="8"/>
        <v>0.10992399887110364</v>
      </c>
      <c r="AE99" s="12">
        <f t="shared" si="9"/>
        <v>0.2092067395475449</v>
      </c>
      <c r="AF99" s="17">
        <v>1</v>
      </c>
      <c r="AG99" s="17">
        <v>1</v>
      </c>
      <c r="AH99" s="16">
        <f>IFERROR(VLOOKUP(D99,Teams!$B$2:$I$21,7,FALSE),1)</f>
        <v>1</v>
      </c>
      <c r="AI99" s="12">
        <f t="shared" si="10"/>
        <v>0.10992399887110364</v>
      </c>
      <c r="AJ99" s="12">
        <f t="shared" si="11"/>
        <v>0.2092067395475449</v>
      </c>
      <c r="AK99" s="6" t="s">
        <v>66</v>
      </c>
      <c r="AL99" s="18"/>
      <c r="AM99" s="23"/>
      <c r="AN99" s="24">
        <v>1E-3</v>
      </c>
      <c r="AO99" s="25" t="b">
        <v>1</v>
      </c>
      <c r="AP99" s="23" t="s">
        <v>356</v>
      </c>
      <c r="AQ99" s="25" t="b">
        <v>0</v>
      </c>
      <c r="AR99" s="23"/>
      <c r="AS99" s="23" t="s">
        <v>68</v>
      </c>
    </row>
    <row r="100" spans="1:45" ht="60">
      <c r="A100" s="6">
        <v>98</v>
      </c>
      <c r="B100" s="6" t="s">
        <v>357</v>
      </c>
      <c r="C100" s="6" t="s">
        <v>358</v>
      </c>
      <c r="D100" s="6" t="s">
        <v>312</v>
      </c>
      <c r="E100" s="6" t="s">
        <v>11</v>
      </c>
      <c r="F100" s="9">
        <v>5</v>
      </c>
      <c r="G100" s="9">
        <v>5</v>
      </c>
      <c r="H100" s="10">
        <v>1434</v>
      </c>
      <c r="I100" s="11">
        <v>0.82</v>
      </c>
      <c r="J100" s="11">
        <v>2.27</v>
      </c>
      <c r="K100" s="12">
        <f t="shared" si="6"/>
        <v>5.1464435146443513E-2</v>
      </c>
      <c r="L100" s="12">
        <f t="shared" si="7"/>
        <v>0.14246861924686194</v>
      </c>
      <c r="M100" s="10">
        <v>1</v>
      </c>
      <c r="N100" s="10">
        <v>4</v>
      </c>
      <c r="O100" s="10">
        <v>74</v>
      </c>
      <c r="P100" s="10">
        <v>3</v>
      </c>
      <c r="Q100" s="10">
        <v>15</v>
      </c>
      <c r="R100" s="11">
        <v>11.49</v>
      </c>
      <c r="S100" s="6"/>
      <c r="T100" s="6"/>
      <c r="U100" s="6">
        <v>7</v>
      </c>
      <c r="V100" s="7" t="b">
        <v>0</v>
      </c>
      <c r="W100" s="8">
        <f>IFERROR(VLOOKUP(D100,Teams!$B$2:$I$21,6,FALSE),"")</f>
        <v>0</v>
      </c>
      <c r="X100" s="2" t="s">
        <v>65</v>
      </c>
      <c r="Y100" s="13"/>
      <c r="Z100" s="14"/>
      <c r="AA100" s="15">
        <f>IFERROR(H100/(H100+Priors!$G$3),0)</f>
        <v>0.58915365653245688</v>
      </c>
      <c r="AB100" s="16">
        <f>VLOOKUP(E100,Priors!$A$3:$C$6,2,FALSE)</f>
        <v>0.15714383234350468</v>
      </c>
      <c r="AC100" s="16">
        <f>VLOOKUP(E100,Priors!$A$3:$C$6,3,FALSE)</f>
        <v>0.13222062939449797</v>
      </c>
      <c r="AD100" s="12">
        <f t="shared" si="8"/>
        <v>9.4882429064710214E-2</v>
      </c>
      <c r="AE100" s="12">
        <f t="shared" si="9"/>
        <v>0.13825827008812572</v>
      </c>
      <c r="AF100" s="17">
        <v>1</v>
      </c>
      <c r="AG100" s="17">
        <v>1</v>
      </c>
      <c r="AH100" s="16">
        <f>IFERROR(VLOOKUP(D100,Teams!$B$2:$I$21,7,FALSE),1)</f>
        <v>1</v>
      </c>
      <c r="AI100" s="12">
        <f t="shared" si="10"/>
        <v>9.4882429064710214E-2</v>
      </c>
      <c r="AJ100" s="12">
        <f t="shared" si="11"/>
        <v>0.13825827008812572</v>
      </c>
      <c r="AK100" s="6" t="s">
        <v>66</v>
      </c>
      <c r="AL100" s="18"/>
      <c r="AM100" s="23"/>
      <c r="AN100" s="24">
        <v>1E-3</v>
      </c>
      <c r="AO100" s="25" t="b">
        <v>1</v>
      </c>
      <c r="AP100" s="23" t="s">
        <v>359</v>
      </c>
      <c r="AQ100" s="25" t="b">
        <v>0</v>
      </c>
      <c r="AR100" s="23"/>
      <c r="AS100" s="23" t="s">
        <v>68</v>
      </c>
    </row>
    <row r="101" spans="1:45" ht="60">
      <c r="A101" s="6">
        <v>99</v>
      </c>
      <c r="B101" s="6" t="s">
        <v>360</v>
      </c>
      <c r="C101" s="6" t="s">
        <v>361</v>
      </c>
      <c r="D101" s="6" t="s">
        <v>312</v>
      </c>
      <c r="E101" s="6" t="s">
        <v>11</v>
      </c>
      <c r="F101" s="9">
        <v>5</v>
      </c>
      <c r="G101" s="9">
        <v>5</v>
      </c>
      <c r="H101" s="10">
        <v>45</v>
      </c>
      <c r="I101" s="11">
        <v>0</v>
      </c>
      <c r="J101" s="11">
        <v>0.01</v>
      </c>
      <c r="K101" s="12">
        <f t="shared" si="6"/>
        <v>0</v>
      </c>
      <c r="L101" s="12">
        <f t="shared" si="7"/>
        <v>0.02</v>
      </c>
      <c r="M101" s="10">
        <v>0</v>
      </c>
      <c r="N101" s="10">
        <v>0</v>
      </c>
      <c r="O101" s="10">
        <v>1</v>
      </c>
      <c r="P101" s="10">
        <v>1</v>
      </c>
      <c r="Q101" s="10">
        <v>1</v>
      </c>
      <c r="R101" s="11">
        <v>8</v>
      </c>
      <c r="S101" s="6"/>
      <c r="T101" s="6"/>
      <c r="U101" s="6"/>
      <c r="V101" s="7" t="b">
        <v>0</v>
      </c>
      <c r="W101" s="8">
        <f>IFERROR(VLOOKUP(D101,Teams!$B$2:$I$21,6,FALSE),"")</f>
        <v>0</v>
      </c>
      <c r="X101" s="2" t="s">
        <v>65</v>
      </c>
      <c r="Y101" s="13"/>
      <c r="Z101" s="14"/>
      <c r="AA101" s="15">
        <f>IFERROR(H101/(H101+Priors!$G$3),0)</f>
        <v>4.3062200956937802E-2</v>
      </c>
      <c r="AB101" s="16">
        <f>VLOOKUP(E101,Priors!$A$3:$C$6,2,FALSE)</f>
        <v>0.15714383234350468</v>
      </c>
      <c r="AC101" s="16">
        <f>VLOOKUP(E101,Priors!$A$3:$C$6,3,FALSE)</f>
        <v>0.13222062939449797</v>
      </c>
      <c r="AD101" s="12">
        <f t="shared" si="8"/>
        <v>0.15037687305598535</v>
      </c>
      <c r="AE101" s="12">
        <f t="shared" si="9"/>
        <v>0.12738816209999806</v>
      </c>
      <c r="AF101" s="17">
        <v>1</v>
      </c>
      <c r="AG101" s="17">
        <v>1</v>
      </c>
      <c r="AH101" s="16">
        <f>IFERROR(VLOOKUP(D101,Teams!$B$2:$I$21,7,FALSE),1)</f>
        <v>1</v>
      </c>
      <c r="AI101" s="12">
        <f t="shared" si="10"/>
        <v>0.15037687305598535</v>
      </c>
      <c r="AJ101" s="12">
        <f t="shared" si="11"/>
        <v>0.12738816209999806</v>
      </c>
      <c r="AK101" s="6" t="s">
        <v>204</v>
      </c>
      <c r="AL101" s="18">
        <v>75</v>
      </c>
      <c r="AM101" s="23" t="s">
        <v>205</v>
      </c>
      <c r="AN101" s="24">
        <v>0</v>
      </c>
      <c r="AO101" s="25" t="b">
        <v>1</v>
      </c>
      <c r="AP101" s="23" t="s">
        <v>362</v>
      </c>
      <c r="AQ101" s="25" t="b">
        <v>0</v>
      </c>
      <c r="AR101" s="23"/>
      <c r="AS101" s="23" t="s">
        <v>68</v>
      </c>
    </row>
    <row r="102" spans="1:45" ht="60">
      <c r="A102" s="6">
        <v>100</v>
      </c>
      <c r="B102" s="6" t="s">
        <v>363</v>
      </c>
      <c r="C102" s="6" t="s">
        <v>364</v>
      </c>
      <c r="D102" s="6" t="s">
        <v>312</v>
      </c>
      <c r="E102" s="6" t="s">
        <v>11</v>
      </c>
      <c r="F102" s="9">
        <v>5</v>
      </c>
      <c r="G102" s="9">
        <v>5</v>
      </c>
      <c r="H102" s="10">
        <v>100</v>
      </c>
      <c r="I102" s="11">
        <v>0.7</v>
      </c>
      <c r="J102" s="11">
        <v>0.03</v>
      </c>
      <c r="K102" s="12">
        <f t="shared" si="6"/>
        <v>0.62999999999999989</v>
      </c>
      <c r="L102" s="12">
        <f t="shared" si="7"/>
        <v>2.6999999999999996E-2</v>
      </c>
      <c r="M102" s="10">
        <v>1</v>
      </c>
      <c r="N102" s="10">
        <v>0</v>
      </c>
      <c r="O102" s="10">
        <v>13</v>
      </c>
      <c r="P102" s="10">
        <v>2.2000000000000002</v>
      </c>
      <c r="Q102" s="10">
        <v>1</v>
      </c>
      <c r="R102" s="11">
        <v>7.2</v>
      </c>
      <c r="S102" s="6"/>
      <c r="T102" s="6"/>
      <c r="U102" s="6"/>
      <c r="V102" s="7" t="b">
        <v>0</v>
      </c>
      <c r="W102" s="8">
        <f>IFERROR(VLOOKUP(D102,Teams!$B$2:$I$21,6,FALSE),"")</f>
        <v>0</v>
      </c>
      <c r="X102" s="2" t="s">
        <v>65</v>
      </c>
      <c r="Y102" s="13"/>
      <c r="Z102" s="14"/>
      <c r="AA102" s="15">
        <f>IFERROR(H102/(H102+Priors!$G$3),0)</f>
        <v>9.0909090909090912E-2</v>
      </c>
      <c r="AB102" s="16">
        <f>VLOOKUP(E102,Priors!$A$3:$C$6,2,FALSE)</f>
        <v>0.15714383234350468</v>
      </c>
      <c r="AC102" s="16">
        <f>VLOOKUP(E102,Priors!$A$3:$C$6,3,FALSE)</f>
        <v>0.13222062939449797</v>
      </c>
      <c r="AD102" s="12">
        <f t="shared" si="8"/>
        <v>0.20013075667591335</v>
      </c>
      <c r="AE102" s="12">
        <f t="shared" si="9"/>
        <v>0.12265511763136179</v>
      </c>
      <c r="AF102" s="17">
        <v>1</v>
      </c>
      <c r="AG102" s="17">
        <v>1</v>
      </c>
      <c r="AH102" s="16">
        <f>IFERROR(VLOOKUP(D102,Teams!$B$2:$I$21,7,FALSE),1)</f>
        <v>1</v>
      </c>
      <c r="AI102" s="12">
        <f t="shared" si="10"/>
        <v>0.20013075667591335</v>
      </c>
      <c r="AJ102" s="12">
        <f t="shared" si="11"/>
        <v>0.12265511763136179</v>
      </c>
      <c r="AK102" s="6" t="s">
        <v>80</v>
      </c>
      <c r="AL102" s="18">
        <v>0</v>
      </c>
      <c r="AM102" s="23" t="s">
        <v>209</v>
      </c>
      <c r="AN102" s="24">
        <v>0</v>
      </c>
      <c r="AO102" s="25" t="b">
        <v>1</v>
      </c>
      <c r="AP102" s="23" t="s">
        <v>365</v>
      </c>
      <c r="AQ102" s="25" t="b">
        <v>0</v>
      </c>
      <c r="AR102" s="23"/>
      <c r="AS102" s="23" t="s">
        <v>68</v>
      </c>
    </row>
    <row r="103" spans="1:45" ht="60">
      <c r="A103" s="6">
        <v>101</v>
      </c>
      <c r="B103" s="6" t="s">
        <v>366</v>
      </c>
      <c r="C103" s="6" t="s">
        <v>367</v>
      </c>
      <c r="D103" s="6" t="s">
        <v>312</v>
      </c>
      <c r="E103" s="6" t="s">
        <v>11</v>
      </c>
      <c r="F103" s="9">
        <v>5</v>
      </c>
      <c r="G103" s="9">
        <v>5</v>
      </c>
      <c r="H103" s="10">
        <v>1911</v>
      </c>
      <c r="I103" s="11">
        <v>0.33</v>
      </c>
      <c r="J103" s="11">
        <v>2.31</v>
      </c>
      <c r="K103" s="12">
        <f t="shared" si="6"/>
        <v>1.5541601255886972E-2</v>
      </c>
      <c r="L103" s="12">
        <f t="shared" si="7"/>
        <v>0.10879120879120879</v>
      </c>
      <c r="M103" s="10">
        <v>1</v>
      </c>
      <c r="N103" s="10">
        <v>3</v>
      </c>
      <c r="O103" s="10">
        <v>76</v>
      </c>
      <c r="P103" s="10">
        <v>2.4</v>
      </c>
      <c r="Q103" s="10">
        <v>22</v>
      </c>
      <c r="R103" s="11">
        <v>8.6199999999999992</v>
      </c>
      <c r="S103" s="6"/>
      <c r="T103" s="6"/>
      <c r="U103" s="6"/>
      <c r="V103" s="7" t="b">
        <v>0</v>
      </c>
      <c r="W103" s="8">
        <f>IFERROR(VLOOKUP(D103,Teams!$B$2:$I$21,6,FALSE),"")</f>
        <v>0</v>
      </c>
      <c r="X103" s="2" t="s">
        <v>65</v>
      </c>
      <c r="Y103" s="13"/>
      <c r="Z103" s="14"/>
      <c r="AA103" s="15">
        <f>IFERROR(H103/(H103+Priors!$G$3),0)</f>
        <v>0.65647543799381658</v>
      </c>
      <c r="AB103" s="16">
        <f>VLOOKUP(E103,Priors!$A$3:$C$6,2,FALSE)</f>
        <v>0.15714383234350468</v>
      </c>
      <c r="AC103" s="16">
        <f>VLOOKUP(E103,Priors!$A$3:$C$6,3,FALSE)</f>
        <v>0.13222062939449797</v>
      </c>
      <c r="AD103" s="12">
        <f t="shared" si="8"/>
        <v>6.4185445669359215E-2</v>
      </c>
      <c r="AE103" s="12">
        <f t="shared" si="9"/>
        <v>0.11683979024201235</v>
      </c>
      <c r="AF103" s="17">
        <v>1</v>
      </c>
      <c r="AG103" s="17">
        <v>1</v>
      </c>
      <c r="AH103" s="16">
        <f>IFERROR(VLOOKUP(D103,Teams!$B$2:$I$21,7,FALSE),1)</f>
        <v>1</v>
      </c>
      <c r="AI103" s="12">
        <f t="shared" si="10"/>
        <v>6.4185445669359215E-2</v>
      </c>
      <c r="AJ103" s="12">
        <f t="shared" si="11"/>
        <v>0.11683979024201235</v>
      </c>
      <c r="AK103" s="6" t="s">
        <v>368</v>
      </c>
      <c r="AL103" s="18">
        <v>0</v>
      </c>
      <c r="AM103" s="23" t="s">
        <v>369</v>
      </c>
      <c r="AN103" s="24">
        <v>0</v>
      </c>
      <c r="AO103" s="25" t="b">
        <v>0</v>
      </c>
      <c r="AP103" s="23" t="s">
        <v>157</v>
      </c>
      <c r="AQ103" s="25" t="b">
        <v>0</v>
      </c>
      <c r="AR103" s="23"/>
      <c r="AS103" s="23" t="s">
        <v>68</v>
      </c>
    </row>
    <row r="104" spans="1:45" ht="60">
      <c r="A104" s="6">
        <v>102</v>
      </c>
      <c r="B104" s="6" t="s">
        <v>370</v>
      </c>
      <c r="C104" s="6" t="s">
        <v>371</v>
      </c>
      <c r="D104" s="6" t="s">
        <v>312</v>
      </c>
      <c r="E104" s="6" t="s">
        <v>11</v>
      </c>
      <c r="F104" s="9">
        <v>5</v>
      </c>
      <c r="G104" s="9">
        <v>5</v>
      </c>
      <c r="H104" s="10">
        <v>2652</v>
      </c>
      <c r="I104" s="11">
        <v>1.22</v>
      </c>
      <c r="J104" s="11">
        <v>1.39</v>
      </c>
      <c r="K104" s="12">
        <f t="shared" si="6"/>
        <v>4.1402714932126695E-2</v>
      </c>
      <c r="L104" s="12">
        <f t="shared" si="7"/>
        <v>4.7171945701357465E-2</v>
      </c>
      <c r="M104" s="10">
        <v>1</v>
      </c>
      <c r="N104" s="10">
        <v>3</v>
      </c>
      <c r="O104" s="10">
        <v>104</v>
      </c>
      <c r="P104" s="10">
        <v>2.8</v>
      </c>
      <c r="Q104" s="10">
        <v>30</v>
      </c>
      <c r="R104" s="11">
        <v>11.47</v>
      </c>
      <c r="S104" s="6"/>
      <c r="T104" s="6"/>
      <c r="U104" s="6"/>
      <c r="V104" s="7" t="b">
        <v>0</v>
      </c>
      <c r="W104" s="8">
        <f>IFERROR(VLOOKUP(D104,Teams!$B$2:$I$21,6,FALSE),"")</f>
        <v>0</v>
      </c>
      <c r="X104" s="2" t="s">
        <v>65</v>
      </c>
      <c r="Y104" s="13"/>
      <c r="Z104" s="14"/>
      <c r="AA104" s="15">
        <f>IFERROR(H104/(H104+Priors!$G$3),0)</f>
        <v>0.7261774370208105</v>
      </c>
      <c r="AB104" s="16">
        <f>VLOOKUP(E104,Priors!$A$3:$C$6,2,FALSE)</f>
        <v>0.15714383234350468</v>
      </c>
      <c r="AC104" s="16">
        <f>VLOOKUP(E104,Priors!$A$3:$C$6,3,FALSE)</f>
        <v>0.13222062939449797</v>
      </c>
      <c r="AD104" s="12">
        <f t="shared" si="8"/>
        <v>7.3095244343785504E-2</v>
      </c>
      <c r="AE104" s="12">
        <f t="shared" si="9"/>
        <v>7.0460194248219588E-2</v>
      </c>
      <c r="AF104" s="17">
        <v>1</v>
      </c>
      <c r="AG104" s="17">
        <v>1</v>
      </c>
      <c r="AH104" s="16">
        <f>IFERROR(VLOOKUP(D104,Teams!$B$2:$I$21,7,FALSE),1)</f>
        <v>1</v>
      </c>
      <c r="AI104" s="12">
        <f t="shared" si="10"/>
        <v>7.3095244343785504E-2</v>
      </c>
      <c r="AJ104" s="12">
        <f t="shared" si="11"/>
        <v>7.0460194248219588E-2</v>
      </c>
      <c r="AK104" s="6" t="s">
        <v>66</v>
      </c>
      <c r="AL104" s="18"/>
      <c r="AM104" s="23"/>
      <c r="AN104" s="24">
        <v>1.4999999999999999E-2</v>
      </c>
      <c r="AO104" s="25" t="b">
        <v>1</v>
      </c>
      <c r="AP104" s="23" t="s">
        <v>372</v>
      </c>
      <c r="AQ104" s="25" t="b">
        <v>0</v>
      </c>
      <c r="AR104" s="23"/>
      <c r="AS104" s="23" t="s">
        <v>68</v>
      </c>
    </row>
    <row r="105" spans="1:45" ht="60">
      <c r="A105" s="6">
        <v>103</v>
      </c>
      <c r="B105" s="6" t="s">
        <v>373</v>
      </c>
      <c r="C105" s="6" t="s">
        <v>374</v>
      </c>
      <c r="D105" s="6" t="s">
        <v>312</v>
      </c>
      <c r="E105" s="6" t="s">
        <v>11</v>
      </c>
      <c r="F105" s="9">
        <v>5</v>
      </c>
      <c r="G105" s="9">
        <v>5</v>
      </c>
      <c r="H105" s="10">
        <v>2</v>
      </c>
      <c r="I105" s="11">
        <v>0.08</v>
      </c>
      <c r="J105" s="11">
        <v>0</v>
      </c>
      <c r="K105" s="12">
        <f t="shared" si="6"/>
        <v>3.6</v>
      </c>
      <c r="L105" s="12">
        <f t="shared" si="7"/>
        <v>0</v>
      </c>
      <c r="M105" s="10">
        <v>0</v>
      </c>
      <c r="N105" s="10">
        <v>0</v>
      </c>
      <c r="O105" s="10">
        <v>2</v>
      </c>
      <c r="P105" s="10">
        <v>1</v>
      </c>
      <c r="Q105" s="10">
        <v>0</v>
      </c>
      <c r="R105" s="11">
        <v>45</v>
      </c>
      <c r="S105" s="6"/>
      <c r="T105" s="6"/>
      <c r="U105" s="6"/>
      <c r="V105" s="7" t="b">
        <v>0</v>
      </c>
      <c r="W105" s="8">
        <f>IFERROR(VLOOKUP(D105,Teams!$B$2:$I$21,6,FALSE),"")</f>
        <v>0</v>
      </c>
      <c r="X105" s="2" t="s">
        <v>65</v>
      </c>
      <c r="Y105" s="13"/>
      <c r="Z105" s="14"/>
      <c r="AA105" s="15">
        <f>IFERROR(H105/(H105+Priors!$G$3),0)</f>
        <v>1.996007984031936E-3</v>
      </c>
      <c r="AB105" s="16">
        <f>VLOOKUP(E105,Priors!$A$3:$C$6,2,FALSE)</f>
        <v>0.15714383234350468</v>
      </c>
      <c r="AC105" s="16">
        <f>VLOOKUP(E105,Priors!$A$3:$C$6,3,FALSE)</f>
        <v>0.13222062939449797</v>
      </c>
      <c r="AD105" s="12">
        <f t="shared" si="8"/>
        <v>0.16401580074202063</v>
      </c>
      <c r="AE105" s="12">
        <f t="shared" si="9"/>
        <v>0.13195671596257283</v>
      </c>
      <c r="AF105" s="17">
        <v>1</v>
      </c>
      <c r="AG105" s="17">
        <v>1</v>
      </c>
      <c r="AH105" s="16">
        <f>IFERROR(VLOOKUP(D105,Teams!$B$2:$I$21,7,FALSE),1)</f>
        <v>1</v>
      </c>
      <c r="AI105" s="12">
        <f t="shared" si="10"/>
        <v>0.16401580074202063</v>
      </c>
      <c r="AJ105" s="12">
        <f t="shared" si="11"/>
        <v>0.13195671596257283</v>
      </c>
      <c r="AK105" s="6" t="s">
        <v>66</v>
      </c>
      <c r="AL105" s="18"/>
      <c r="AM105" s="23"/>
      <c r="AN105" s="24">
        <v>0</v>
      </c>
      <c r="AO105" s="25" t="b">
        <v>1</v>
      </c>
      <c r="AP105" s="23" t="s">
        <v>375</v>
      </c>
      <c r="AQ105" s="25" t="b">
        <v>0</v>
      </c>
      <c r="AR105" s="23"/>
      <c r="AS105" s="23" t="s">
        <v>68</v>
      </c>
    </row>
    <row r="106" spans="1:45" ht="60">
      <c r="A106" s="6">
        <v>105</v>
      </c>
      <c r="B106" s="6" t="s">
        <v>376</v>
      </c>
      <c r="C106" s="6" t="s">
        <v>377</v>
      </c>
      <c r="D106" s="6" t="s">
        <v>312</v>
      </c>
      <c r="E106" s="6" t="s">
        <v>11</v>
      </c>
      <c r="F106" s="9">
        <v>6</v>
      </c>
      <c r="G106" s="9">
        <v>6</v>
      </c>
      <c r="H106" s="10">
        <v>0</v>
      </c>
      <c r="I106" s="11">
        <v>0</v>
      </c>
      <c r="J106" s="11">
        <v>0</v>
      </c>
      <c r="K106" s="12">
        <f t="shared" si="6"/>
        <v>0</v>
      </c>
      <c r="L106" s="12">
        <f t="shared" si="7"/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1">
        <v>0</v>
      </c>
      <c r="S106" s="6"/>
      <c r="T106" s="6"/>
      <c r="U106" s="6"/>
      <c r="V106" s="7" t="b">
        <v>1</v>
      </c>
      <c r="W106" s="8">
        <f>IFERROR(VLOOKUP(D106,Teams!$B$2:$I$21,6,FALSE),"")</f>
        <v>0</v>
      </c>
      <c r="X106" s="2" t="s">
        <v>65</v>
      </c>
      <c r="Y106" s="13"/>
      <c r="Z106" s="14"/>
      <c r="AA106" s="15">
        <f>IFERROR(H106/(H106+Priors!$G$3),0)</f>
        <v>0</v>
      </c>
      <c r="AB106" s="16">
        <f>VLOOKUP(E106,Priors!$A$3:$C$6,2,FALSE)</f>
        <v>0.15714383234350468</v>
      </c>
      <c r="AC106" s="16">
        <f>VLOOKUP(E106,Priors!$A$3:$C$6,3,FALSE)</f>
        <v>0.13222062939449797</v>
      </c>
      <c r="AD106" s="12">
        <f t="shared" si="8"/>
        <v>0.15714383234350468</v>
      </c>
      <c r="AE106" s="12">
        <f t="shared" si="9"/>
        <v>0.13222062939449797</v>
      </c>
      <c r="AF106" s="17">
        <v>1</v>
      </c>
      <c r="AG106" s="17">
        <v>1</v>
      </c>
      <c r="AH106" s="16">
        <f>IFERROR(VLOOKUP(D106,Teams!$B$2:$I$21,7,FALSE),1)</f>
        <v>1</v>
      </c>
      <c r="AI106" s="12">
        <f t="shared" si="10"/>
        <v>0.15714383234350468</v>
      </c>
      <c r="AJ106" s="12">
        <f t="shared" si="11"/>
        <v>0.13222062939449797</v>
      </c>
      <c r="AK106" s="6" t="s">
        <v>66</v>
      </c>
      <c r="AL106" s="18"/>
      <c r="AM106" s="23"/>
      <c r="AN106" s="24">
        <v>2E-3</v>
      </c>
      <c r="AO106" s="25" t="b">
        <v>1</v>
      </c>
      <c r="AP106" s="23" t="s">
        <v>378</v>
      </c>
      <c r="AQ106" s="25" t="b">
        <v>0</v>
      </c>
      <c r="AR106" s="23"/>
      <c r="AS106" s="23" t="s">
        <v>68</v>
      </c>
    </row>
    <row r="107" spans="1:45" ht="60">
      <c r="A107" s="6">
        <v>106</v>
      </c>
      <c r="B107" s="6" t="s">
        <v>379</v>
      </c>
      <c r="C107" s="6" t="s">
        <v>380</v>
      </c>
      <c r="D107" s="6" t="s">
        <v>312</v>
      </c>
      <c r="E107" s="6" t="s">
        <v>14</v>
      </c>
      <c r="F107" s="9">
        <v>8</v>
      </c>
      <c r="G107" s="9">
        <v>8</v>
      </c>
      <c r="H107" s="10">
        <v>3282</v>
      </c>
      <c r="I107" s="11">
        <v>20.6</v>
      </c>
      <c r="J107" s="11">
        <v>1.83</v>
      </c>
      <c r="K107" s="12">
        <f t="shared" si="6"/>
        <v>0.56489945155393062</v>
      </c>
      <c r="L107" s="12">
        <f t="shared" si="7"/>
        <v>5.0182815356489947E-2</v>
      </c>
      <c r="M107" s="10">
        <v>22</v>
      </c>
      <c r="N107" s="10">
        <v>1</v>
      </c>
      <c r="O107" s="10">
        <v>181</v>
      </c>
      <c r="P107" s="10">
        <v>4.8</v>
      </c>
      <c r="Q107" s="10">
        <v>37</v>
      </c>
      <c r="R107" s="11">
        <v>5.87</v>
      </c>
      <c r="S107" s="6">
        <v>1</v>
      </c>
      <c r="T107" s="6"/>
      <c r="U107" s="6"/>
      <c r="V107" s="7" t="b">
        <v>0</v>
      </c>
      <c r="W107" s="8">
        <f>IFERROR(VLOOKUP(D107,Teams!$B$2:$I$21,6,FALSE),"")</f>
        <v>0</v>
      </c>
      <c r="X107" s="2" t="s">
        <v>65</v>
      </c>
      <c r="Y107" s="13"/>
      <c r="Z107" s="14"/>
      <c r="AA107" s="15">
        <f>IFERROR(H107/(H107+Priors!$G$3),0)</f>
        <v>0.76646426903316212</v>
      </c>
      <c r="AB107" s="16">
        <f>VLOOKUP(E107,Priors!$A$3:$C$6,2,FALSE)</f>
        <v>0.44625207326425426</v>
      </c>
      <c r="AC107" s="16">
        <f>VLOOKUP(E107,Priors!$A$3:$C$6,3,FALSE)</f>
        <v>5.8217260259314105E-2</v>
      </c>
      <c r="AD107" s="12">
        <f t="shared" si="8"/>
        <v>0.53719104933775208</v>
      </c>
      <c r="AE107" s="12">
        <f t="shared" si="9"/>
        <v>5.205914531978377E-2</v>
      </c>
      <c r="AF107" s="17">
        <v>1</v>
      </c>
      <c r="AG107" s="17">
        <v>1</v>
      </c>
      <c r="AH107" s="16">
        <f>IFERROR(VLOOKUP(D107,Teams!$B$2:$I$21,7,FALSE),1)</f>
        <v>1</v>
      </c>
      <c r="AI107" s="12">
        <f t="shared" si="10"/>
        <v>0.53719104933775208</v>
      </c>
      <c r="AJ107" s="12">
        <f t="shared" si="11"/>
        <v>5.205914531978377E-2</v>
      </c>
      <c r="AK107" s="6" t="s">
        <v>66</v>
      </c>
      <c r="AL107" s="18"/>
      <c r="AM107" s="23"/>
      <c r="AN107" s="24">
        <v>0.158</v>
      </c>
      <c r="AO107" s="25" t="b">
        <v>1</v>
      </c>
      <c r="AP107" s="23" t="s">
        <v>201</v>
      </c>
      <c r="AQ107" s="25" t="b">
        <v>0</v>
      </c>
      <c r="AR107" s="23"/>
      <c r="AS107" s="23" t="s">
        <v>68</v>
      </c>
    </row>
    <row r="108" spans="1:45" ht="60">
      <c r="A108" s="6">
        <v>107</v>
      </c>
      <c r="B108" s="6" t="s">
        <v>381</v>
      </c>
      <c r="C108" s="6" t="s">
        <v>382</v>
      </c>
      <c r="D108" s="6" t="s">
        <v>312</v>
      </c>
      <c r="E108" s="6" t="s">
        <v>14</v>
      </c>
      <c r="F108" s="9">
        <v>4.5</v>
      </c>
      <c r="G108" s="9">
        <v>4.5</v>
      </c>
      <c r="H108" s="10">
        <v>1</v>
      </c>
      <c r="I108" s="11">
        <v>0</v>
      </c>
      <c r="J108" s="11">
        <v>0</v>
      </c>
      <c r="K108" s="12">
        <f t="shared" si="6"/>
        <v>0</v>
      </c>
      <c r="L108" s="12">
        <f t="shared" si="7"/>
        <v>0</v>
      </c>
      <c r="M108" s="10">
        <v>0</v>
      </c>
      <c r="N108" s="10">
        <v>0</v>
      </c>
      <c r="O108" s="10">
        <v>1</v>
      </c>
      <c r="P108" s="10">
        <v>1</v>
      </c>
      <c r="Q108" s="10">
        <v>0</v>
      </c>
      <c r="R108" s="11">
        <v>0</v>
      </c>
      <c r="S108" s="6"/>
      <c r="T108" s="6"/>
      <c r="U108" s="6"/>
      <c r="V108" s="7" t="b">
        <v>0</v>
      </c>
      <c r="W108" s="8">
        <f>IFERROR(VLOOKUP(D108,Teams!$B$2:$I$21,6,FALSE),"")</f>
        <v>0</v>
      </c>
      <c r="X108" s="2" t="s">
        <v>65</v>
      </c>
      <c r="Y108" s="13"/>
      <c r="Z108" s="14"/>
      <c r="AA108" s="15">
        <f>IFERROR(H108/(H108+Priors!$G$3),0)</f>
        <v>9.99000999000999E-4</v>
      </c>
      <c r="AB108" s="16">
        <f>VLOOKUP(E108,Priors!$A$3:$C$6,2,FALSE)</f>
        <v>0.44625207326425426</v>
      </c>
      <c r="AC108" s="16">
        <f>VLOOKUP(E108,Priors!$A$3:$C$6,3,FALSE)</f>
        <v>5.8217260259314105E-2</v>
      </c>
      <c r="AD108" s="12">
        <f t="shared" si="8"/>
        <v>0.44580626699725701</v>
      </c>
      <c r="AE108" s="12">
        <f t="shared" si="9"/>
        <v>5.8159101158155951E-2</v>
      </c>
      <c r="AF108" s="17">
        <v>1</v>
      </c>
      <c r="AG108" s="17">
        <v>1</v>
      </c>
      <c r="AH108" s="16">
        <f>IFERROR(VLOOKUP(D108,Teams!$B$2:$I$21,7,FALSE),1)</f>
        <v>1</v>
      </c>
      <c r="AI108" s="12">
        <f t="shared" si="10"/>
        <v>0.44580626699725701</v>
      </c>
      <c r="AJ108" s="12">
        <f t="shared" si="11"/>
        <v>5.8159101158155951E-2</v>
      </c>
      <c r="AK108" s="6" t="s">
        <v>66</v>
      </c>
      <c r="AL108" s="18"/>
      <c r="AM108" s="23"/>
      <c r="AN108" s="24">
        <v>9.0000000000000011E-3</v>
      </c>
      <c r="AO108" s="25" t="b">
        <v>1</v>
      </c>
      <c r="AP108" s="23" t="s">
        <v>383</v>
      </c>
      <c r="AQ108" s="25" t="b">
        <v>0</v>
      </c>
      <c r="AR108" s="23"/>
      <c r="AS108" s="23" t="s">
        <v>68</v>
      </c>
    </row>
    <row r="109" spans="1:45" ht="60">
      <c r="A109" s="6">
        <v>108</v>
      </c>
      <c r="B109" s="6" t="s">
        <v>384</v>
      </c>
      <c r="C109" s="6" t="s">
        <v>385</v>
      </c>
      <c r="D109" s="6" t="s">
        <v>312</v>
      </c>
      <c r="E109" s="6" t="s">
        <v>14</v>
      </c>
      <c r="F109" s="9">
        <v>5.5</v>
      </c>
      <c r="G109" s="9">
        <v>5.5</v>
      </c>
      <c r="H109" s="10">
        <v>0</v>
      </c>
      <c r="I109" s="11">
        <v>0</v>
      </c>
      <c r="J109" s="11">
        <v>0</v>
      </c>
      <c r="K109" s="12">
        <f t="shared" si="6"/>
        <v>0</v>
      </c>
      <c r="L109" s="12">
        <f t="shared" si="7"/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1">
        <v>0</v>
      </c>
      <c r="S109" s="6"/>
      <c r="T109" s="6"/>
      <c r="U109" s="6"/>
      <c r="V109" s="7" t="b">
        <v>1</v>
      </c>
      <c r="W109" s="8">
        <f>IFERROR(VLOOKUP(D109,Teams!$B$2:$I$21,6,FALSE),"")</f>
        <v>0</v>
      </c>
      <c r="X109" s="2" t="s">
        <v>65</v>
      </c>
      <c r="Y109" s="13"/>
      <c r="Z109" s="14"/>
      <c r="AA109" s="15">
        <f>IFERROR(H109/(H109+Priors!$G$3),0)</f>
        <v>0</v>
      </c>
      <c r="AB109" s="16">
        <f>VLOOKUP(E109,Priors!$A$3:$C$6,2,FALSE)</f>
        <v>0.44625207326425426</v>
      </c>
      <c r="AC109" s="16">
        <f>VLOOKUP(E109,Priors!$A$3:$C$6,3,FALSE)</f>
        <v>5.8217260259314105E-2</v>
      </c>
      <c r="AD109" s="12">
        <f t="shared" si="8"/>
        <v>0.44625207326425426</v>
      </c>
      <c r="AE109" s="12">
        <f t="shared" si="9"/>
        <v>5.8217260259314105E-2</v>
      </c>
      <c r="AF109" s="17">
        <v>1</v>
      </c>
      <c r="AG109" s="17">
        <v>1</v>
      </c>
      <c r="AH109" s="16">
        <f>IFERROR(VLOOKUP(D109,Teams!$B$2:$I$21,7,FALSE),1)</f>
        <v>1</v>
      </c>
      <c r="AI109" s="12">
        <f t="shared" si="10"/>
        <v>0.44625207326425426</v>
      </c>
      <c r="AJ109" s="12">
        <f t="shared" si="11"/>
        <v>5.8217260259314105E-2</v>
      </c>
      <c r="AK109" s="6" t="s">
        <v>66</v>
      </c>
      <c r="AL109" s="18"/>
      <c r="AM109" s="23"/>
      <c r="AN109" s="24">
        <v>4.0000000000000001E-3</v>
      </c>
      <c r="AO109" s="25" t="b">
        <v>1</v>
      </c>
      <c r="AP109" s="23" t="s">
        <v>74</v>
      </c>
      <c r="AQ109" s="25" t="b">
        <v>0</v>
      </c>
      <c r="AR109" s="23"/>
      <c r="AS109" s="23" t="s">
        <v>68</v>
      </c>
    </row>
    <row r="110" spans="1:45" ht="60">
      <c r="A110" s="6">
        <v>565</v>
      </c>
      <c r="B110" s="6" t="s">
        <v>386</v>
      </c>
      <c r="C110" s="6" t="s">
        <v>387</v>
      </c>
      <c r="D110" s="6" t="s">
        <v>312</v>
      </c>
      <c r="E110" s="6" t="s">
        <v>11</v>
      </c>
      <c r="F110" s="9">
        <v>5.5</v>
      </c>
      <c r="G110" s="9">
        <v>5.5</v>
      </c>
      <c r="H110" s="10">
        <v>0</v>
      </c>
      <c r="I110" s="11">
        <v>0</v>
      </c>
      <c r="J110" s="11">
        <v>0</v>
      </c>
      <c r="K110" s="12">
        <f t="shared" si="6"/>
        <v>0</v>
      </c>
      <c r="L110" s="12">
        <f t="shared" si="7"/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1">
        <v>0</v>
      </c>
      <c r="S110" s="6"/>
      <c r="T110" s="6"/>
      <c r="U110" s="6"/>
      <c r="V110" s="7" t="b">
        <v>1</v>
      </c>
      <c r="W110" s="8">
        <f>IFERROR(VLOOKUP(D110,Teams!$B$2:$I$21,6,FALSE),"")</f>
        <v>0</v>
      </c>
      <c r="X110" s="2" t="s">
        <v>65</v>
      </c>
      <c r="Y110" s="13"/>
      <c r="Z110" s="14"/>
      <c r="AA110" s="15">
        <f>IFERROR(H110/(H110+Priors!$G$3),0)</f>
        <v>0</v>
      </c>
      <c r="AB110" s="16">
        <f>VLOOKUP(E110,Priors!$A$3:$C$6,2,FALSE)</f>
        <v>0.15714383234350468</v>
      </c>
      <c r="AC110" s="16">
        <f>VLOOKUP(E110,Priors!$A$3:$C$6,3,FALSE)</f>
        <v>0.13222062939449797</v>
      </c>
      <c r="AD110" s="12">
        <f t="shared" si="8"/>
        <v>0.15714383234350468</v>
      </c>
      <c r="AE110" s="12">
        <f t="shared" si="9"/>
        <v>0.13222062939449797</v>
      </c>
      <c r="AF110" s="17">
        <v>1</v>
      </c>
      <c r="AG110" s="17">
        <v>1</v>
      </c>
      <c r="AH110" s="16">
        <f>IFERROR(VLOOKUP(D110,Teams!$B$2:$I$21,7,FALSE),1)</f>
        <v>1</v>
      </c>
      <c r="AI110" s="12">
        <f t="shared" si="10"/>
        <v>0.15714383234350468</v>
      </c>
      <c r="AJ110" s="12">
        <f t="shared" si="11"/>
        <v>0.13222062939449797</v>
      </c>
      <c r="AK110" s="6" t="s">
        <v>66</v>
      </c>
      <c r="AL110" s="18"/>
      <c r="AM110" s="23"/>
      <c r="AN110" s="24">
        <v>4.0000000000000001E-3</v>
      </c>
      <c r="AO110" s="25" t="b">
        <v>1</v>
      </c>
      <c r="AP110" s="23" t="s">
        <v>309</v>
      </c>
      <c r="AQ110" s="25" t="b">
        <v>0</v>
      </c>
      <c r="AR110" s="23"/>
      <c r="AS110" s="23" t="s">
        <v>68</v>
      </c>
    </row>
    <row r="111" spans="1:45" ht="60">
      <c r="A111" s="6">
        <v>109</v>
      </c>
      <c r="B111" s="6" t="s">
        <v>388</v>
      </c>
      <c r="C111" s="6" t="s">
        <v>389</v>
      </c>
      <c r="D111" s="6" t="s">
        <v>390</v>
      </c>
      <c r="E111" s="6" t="s">
        <v>7</v>
      </c>
      <c r="F111" s="9">
        <v>4.5</v>
      </c>
      <c r="G111" s="9">
        <v>4.5</v>
      </c>
      <c r="H111" s="10">
        <v>3420</v>
      </c>
      <c r="I111" s="11">
        <v>0</v>
      </c>
      <c r="J111" s="11">
        <v>0.06</v>
      </c>
      <c r="K111" s="12">
        <f t="shared" si="6"/>
        <v>0</v>
      </c>
      <c r="L111" s="12">
        <f t="shared" si="7"/>
        <v>1.5789473684210524E-3</v>
      </c>
      <c r="M111" s="10">
        <v>0</v>
      </c>
      <c r="N111" s="10">
        <v>0</v>
      </c>
      <c r="O111" s="10">
        <v>130</v>
      </c>
      <c r="P111" s="10">
        <v>3.4</v>
      </c>
      <c r="Q111" s="10">
        <v>38</v>
      </c>
      <c r="R111" s="11">
        <v>0</v>
      </c>
      <c r="S111" s="6"/>
      <c r="T111" s="6"/>
      <c r="U111" s="6"/>
      <c r="V111" s="7" t="b">
        <v>0</v>
      </c>
      <c r="W111" s="8">
        <f>IFERROR(VLOOKUP(D111,Teams!$B$2:$I$21,6,FALSE),"")</f>
        <v>0</v>
      </c>
      <c r="X111" s="2" t="s">
        <v>65</v>
      </c>
      <c r="Y111" s="13"/>
      <c r="Z111" s="14"/>
      <c r="AA111" s="15">
        <f>IFERROR(H111/(H111+Priors!$G$3),0)</f>
        <v>0.77375565610859731</v>
      </c>
      <c r="AB111" s="16">
        <f>VLOOKUP(E111,Priors!$A$3:$C$6,2,FALSE)</f>
        <v>2.4013207263995197E-4</v>
      </c>
      <c r="AC111" s="16">
        <f>VLOOKUP(E111,Priors!$A$3:$C$6,3,FALSE)</f>
        <v>1.9810895992796044E-3</v>
      </c>
      <c r="AD111" s="12">
        <f t="shared" si="8"/>
        <v>5.4328523221708587E-5</v>
      </c>
      <c r="AE111" s="12">
        <f t="shared" si="9"/>
        <v>1.6699297735926705E-3</v>
      </c>
      <c r="AF111" s="17">
        <v>1</v>
      </c>
      <c r="AG111" s="17">
        <v>1</v>
      </c>
      <c r="AH111" s="16">
        <f>IFERROR(VLOOKUP(D111,Teams!$B$2:$I$21,7,FALSE),1)</f>
        <v>1</v>
      </c>
      <c r="AI111" s="12">
        <f t="shared" si="10"/>
        <v>5.4328523221708587E-5</v>
      </c>
      <c r="AJ111" s="12">
        <f t="shared" si="11"/>
        <v>1.6699297735926705E-3</v>
      </c>
      <c r="AK111" s="6" t="s">
        <v>66</v>
      </c>
      <c r="AL111" s="18"/>
      <c r="AM111" s="23"/>
      <c r="AN111" s="24">
        <v>0.16699999999999998</v>
      </c>
      <c r="AO111" s="25" t="b">
        <v>1</v>
      </c>
      <c r="AP111" s="23" t="s">
        <v>391</v>
      </c>
      <c r="AQ111" s="25" t="b">
        <v>0</v>
      </c>
      <c r="AR111" s="23"/>
      <c r="AS111" s="23" t="s">
        <v>68</v>
      </c>
    </row>
    <row r="112" spans="1:45" ht="60">
      <c r="A112" s="6">
        <v>110</v>
      </c>
      <c r="B112" s="6" t="s">
        <v>392</v>
      </c>
      <c r="C112" s="6" t="s">
        <v>393</v>
      </c>
      <c r="D112" s="6" t="s">
        <v>390</v>
      </c>
      <c r="E112" s="6" t="s">
        <v>7</v>
      </c>
      <c r="F112" s="9">
        <v>4.5</v>
      </c>
      <c r="G112" s="9">
        <v>4.5</v>
      </c>
      <c r="H112" s="10">
        <v>0</v>
      </c>
      <c r="I112" s="11">
        <v>0</v>
      </c>
      <c r="J112" s="11">
        <v>0</v>
      </c>
      <c r="K112" s="12">
        <f t="shared" si="6"/>
        <v>0</v>
      </c>
      <c r="L112" s="12">
        <f t="shared" si="7"/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1">
        <v>0</v>
      </c>
      <c r="S112" s="6"/>
      <c r="T112" s="6"/>
      <c r="U112" s="6"/>
      <c r="V112" s="7" t="b">
        <v>0</v>
      </c>
      <c r="W112" s="8">
        <f>IFERROR(VLOOKUP(D112,Teams!$B$2:$I$21,6,FALSE),"")</f>
        <v>0</v>
      </c>
      <c r="X112" s="2" t="s">
        <v>65</v>
      </c>
      <c r="Y112" s="13"/>
      <c r="Z112" s="14"/>
      <c r="AA112" s="15">
        <f>IFERROR(H112/(H112+Priors!$G$3),0)</f>
        <v>0</v>
      </c>
      <c r="AB112" s="16">
        <f>VLOOKUP(E112,Priors!$A$3:$C$6,2,FALSE)</f>
        <v>2.4013207263995197E-4</v>
      </c>
      <c r="AC112" s="16">
        <f>VLOOKUP(E112,Priors!$A$3:$C$6,3,FALSE)</f>
        <v>1.9810895992796044E-3</v>
      </c>
      <c r="AD112" s="12">
        <f t="shared" si="8"/>
        <v>2.4013207263995197E-4</v>
      </c>
      <c r="AE112" s="12">
        <f t="shared" si="9"/>
        <v>1.9810895992796044E-3</v>
      </c>
      <c r="AF112" s="17">
        <v>1</v>
      </c>
      <c r="AG112" s="17">
        <v>1</v>
      </c>
      <c r="AH112" s="16">
        <f>IFERROR(VLOOKUP(D112,Teams!$B$2:$I$21,7,FALSE),1)</f>
        <v>1</v>
      </c>
      <c r="AI112" s="12">
        <f t="shared" si="10"/>
        <v>2.4013207263995197E-4</v>
      </c>
      <c r="AJ112" s="12">
        <f t="shared" si="11"/>
        <v>1.9810895992796044E-3</v>
      </c>
      <c r="AK112" s="6" t="s">
        <v>66</v>
      </c>
      <c r="AL112" s="18"/>
      <c r="AM112" s="23"/>
      <c r="AN112" s="24">
        <v>6.0000000000000001E-3</v>
      </c>
      <c r="AO112" s="25" t="b">
        <v>1</v>
      </c>
      <c r="AP112" s="23" t="s">
        <v>273</v>
      </c>
      <c r="AQ112" s="25" t="b">
        <v>0</v>
      </c>
      <c r="AR112" s="23"/>
      <c r="AS112" s="23" t="s">
        <v>68</v>
      </c>
    </row>
    <row r="113" spans="1:45" ht="60">
      <c r="A113" s="6">
        <v>111</v>
      </c>
      <c r="B113" s="6" t="s">
        <v>394</v>
      </c>
      <c r="C113" s="6" t="s">
        <v>395</v>
      </c>
      <c r="D113" s="6" t="s">
        <v>390</v>
      </c>
      <c r="E113" s="6" t="s">
        <v>7</v>
      </c>
      <c r="F113" s="9">
        <v>4</v>
      </c>
      <c r="G113" s="9">
        <v>4</v>
      </c>
      <c r="H113" s="10">
        <v>0</v>
      </c>
      <c r="I113" s="11">
        <v>0</v>
      </c>
      <c r="J113" s="11">
        <v>0</v>
      </c>
      <c r="K113" s="12">
        <f t="shared" si="6"/>
        <v>0</v>
      </c>
      <c r="L113" s="12">
        <f t="shared" si="7"/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1">
        <v>0</v>
      </c>
      <c r="S113" s="6"/>
      <c r="T113" s="6"/>
      <c r="U113" s="6"/>
      <c r="V113" s="7" t="b">
        <v>0</v>
      </c>
      <c r="W113" s="8">
        <f>IFERROR(VLOOKUP(D113,Teams!$B$2:$I$21,6,FALSE),"")</f>
        <v>0</v>
      </c>
      <c r="X113" s="2" t="s">
        <v>65</v>
      </c>
      <c r="Y113" s="13"/>
      <c r="Z113" s="14"/>
      <c r="AA113" s="15">
        <f>IFERROR(H113/(H113+Priors!$G$3),0)</f>
        <v>0</v>
      </c>
      <c r="AB113" s="16">
        <f>VLOOKUP(E113,Priors!$A$3:$C$6,2,FALSE)</f>
        <v>2.4013207263995197E-4</v>
      </c>
      <c r="AC113" s="16">
        <f>VLOOKUP(E113,Priors!$A$3:$C$6,3,FALSE)</f>
        <v>1.9810895992796044E-3</v>
      </c>
      <c r="AD113" s="12">
        <f t="shared" si="8"/>
        <v>2.4013207263995197E-4</v>
      </c>
      <c r="AE113" s="12">
        <f t="shared" si="9"/>
        <v>1.9810895992796044E-3</v>
      </c>
      <c r="AF113" s="17">
        <v>1</v>
      </c>
      <c r="AG113" s="17">
        <v>1</v>
      </c>
      <c r="AH113" s="16">
        <f>IFERROR(VLOOKUP(D113,Teams!$B$2:$I$21,7,FALSE),1)</f>
        <v>1</v>
      </c>
      <c r="AI113" s="12">
        <f t="shared" si="10"/>
        <v>2.4013207263995197E-4</v>
      </c>
      <c r="AJ113" s="12">
        <f t="shared" si="11"/>
        <v>1.9810895992796044E-3</v>
      </c>
      <c r="AK113" s="6" t="s">
        <v>66</v>
      </c>
      <c r="AL113" s="18"/>
      <c r="AM113" s="23"/>
      <c r="AN113" s="24">
        <v>4.7E-2</v>
      </c>
      <c r="AO113" s="25" t="b">
        <v>1</v>
      </c>
      <c r="AP113" s="23" t="s">
        <v>285</v>
      </c>
      <c r="AQ113" s="25" t="b">
        <v>0</v>
      </c>
      <c r="AR113" s="23"/>
      <c r="AS113" s="23" t="s">
        <v>68</v>
      </c>
    </row>
    <row r="114" spans="1:45" ht="60">
      <c r="A114" s="6">
        <v>113</v>
      </c>
      <c r="B114" s="6" t="s">
        <v>396</v>
      </c>
      <c r="C114" s="6" t="s">
        <v>397</v>
      </c>
      <c r="D114" s="6" t="s">
        <v>390</v>
      </c>
      <c r="E114" s="6" t="s">
        <v>9</v>
      </c>
      <c r="F114" s="9">
        <v>4.5</v>
      </c>
      <c r="G114" s="9">
        <v>4.5</v>
      </c>
      <c r="H114" s="10">
        <v>3130</v>
      </c>
      <c r="I114" s="11">
        <v>2.06</v>
      </c>
      <c r="J114" s="11">
        <v>3.31</v>
      </c>
      <c r="K114" s="12">
        <f t="shared" si="6"/>
        <v>5.9233226837060705E-2</v>
      </c>
      <c r="L114" s="12">
        <f t="shared" si="7"/>
        <v>9.5175718849840246E-2</v>
      </c>
      <c r="M114" s="10">
        <v>1</v>
      </c>
      <c r="N114" s="10">
        <v>2</v>
      </c>
      <c r="O114" s="10">
        <v>118</v>
      </c>
      <c r="P114" s="10">
        <v>3.2</v>
      </c>
      <c r="Q114" s="10">
        <v>34</v>
      </c>
      <c r="R114" s="11">
        <v>4.8899999999999997</v>
      </c>
      <c r="S114" s="6"/>
      <c r="T114" s="6"/>
      <c r="U114" s="6">
        <v>7</v>
      </c>
      <c r="V114" s="7" t="b">
        <v>0</v>
      </c>
      <c r="W114" s="8">
        <f>IFERROR(VLOOKUP(D114,Teams!$B$2:$I$21,6,FALSE),"")</f>
        <v>0</v>
      </c>
      <c r="X114" s="2" t="s">
        <v>65</v>
      </c>
      <c r="Y114" s="13"/>
      <c r="Z114" s="14"/>
      <c r="AA114" s="15">
        <f>IFERROR(H114/(H114+Priors!$G$3),0)</f>
        <v>0.75786924939467315</v>
      </c>
      <c r="AB114" s="16">
        <f>VLOOKUP(E114,Priors!$A$3:$C$6,2,FALSE)</f>
        <v>6.0081391379341341E-2</v>
      </c>
      <c r="AC114" s="16">
        <f>VLOOKUP(E114,Priors!$A$3:$C$6,3,FALSE)</f>
        <v>5.9588191961478354E-2</v>
      </c>
      <c r="AD114" s="12">
        <f t="shared" si="8"/>
        <v>5.9438593554319935E-2</v>
      </c>
      <c r="AE114" s="12">
        <f t="shared" si="9"/>
        <v>8.6558884252173923E-2</v>
      </c>
      <c r="AF114" s="17">
        <v>1</v>
      </c>
      <c r="AG114" s="17">
        <v>1</v>
      </c>
      <c r="AH114" s="16">
        <f>IFERROR(VLOOKUP(D114,Teams!$B$2:$I$21,7,FALSE),1)</f>
        <v>1</v>
      </c>
      <c r="AI114" s="12">
        <f t="shared" si="10"/>
        <v>5.9438593554319935E-2</v>
      </c>
      <c r="AJ114" s="12">
        <f t="shared" si="11"/>
        <v>8.6558884252173923E-2</v>
      </c>
      <c r="AK114" s="6" t="s">
        <v>66</v>
      </c>
      <c r="AL114" s="18"/>
      <c r="AM114" s="23"/>
      <c r="AN114" s="24">
        <v>0.03</v>
      </c>
      <c r="AO114" s="25" t="b">
        <v>1</v>
      </c>
      <c r="AP114" s="23" t="s">
        <v>119</v>
      </c>
      <c r="AQ114" s="25" t="b">
        <v>0</v>
      </c>
      <c r="AR114" s="23"/>
      <c r="AS114" s="23" t="s">
        <v>68</v>
      </c>
    </row>
    <row r="115" spans="1:45" ht="60">
      <c r="A115" s="6">
        <v>114</v>
      </c>
      <c r="B115" s="6" t="s">
        <v>398</v>
      </c>
      <c r="C115" s="6" t="s">
        <v>399</v>
      </c>
      <c r="D115" s="6" t="s">
        <v>390</v>
      </c>
      <c r="E115" s="6" t="s">
        <v>9</v>
      </c>
      <c r="F115" s="9">
        <v>4.5</v>
      </c>
      <c r="G115" s="9">
        <v>4.5</v>
      </c>
      <c r="H115" s="10">
        <v>799</v>
      </c>
      <c r="I115" s="11">
        <v>0.05</v>
      </c>
      <c r="J115" s="11">
        <v>0.47</v>
      </c>
      <c r="K115" s="12">
        <f t="shared" si="6"/>
        <v>5.6320400500625778E-3</v>
      </c>
      <c r="L115" s="12">
        <f t="shared" si="7"/>
        <v>5.2941176470588235E-2</v>
      </c>
      <c r="M115" s="10">
        <v>0</v>
      </c>
      <c r="N115" s="10">
        <v>1</v>
      </c>
      <c r="O115" s="10">
        <v>39</v>
      </c>
      <c r="P115" s="10">
        <v>3.2</v>
      </c>
      <c r="Q115" s="10">
        <v>9</v>
      </c>
      <c r="R115" s="11">
        <v>8.7899999999999991</v>
      </c>
      <c r="S115" s="6"/>
      <c r="T115" s="6"/>
      <c r="U115" s="6"/>
      <c r="V115" s="7" t="b">
        <v>0</v>
      </c>
      <c r="W115" s="8">
        <f>IFERROR(VLOOKUP(D115,Teams!$B$2:$I$21,6,FALSE),"")</f>
        <v>0</v>
      </c>
      <c r="X115" s="2" t="s">
        <v>65</v>
      </c>
      <c r="Y115" s="13"/>
      <c r="Z115" s="14"/>
      <c r="AA115" s="15">
        <f>IFERROR(H115/(H115+Priors!$G$3),0)</f>
        <v>0.4441356309060589</v>
      </c>
      <c r="AB115" s="16">
        <f>VLOOKUP(E115,Priors!$A$3:$C$6,2,FALSE)</f>
        <v>6.0081391379341341E-2</v>
      </c>
      <c r="AC115" s="16">
        <f>VLOOKUP(E115,Priors!$A$3:$C$6,3,FALSE)</f>
        <v>5.9588191961478354E-2</v>
      </c>
      <c r="AD115" s="12">
        <f t="shared" si="8"/>
        <v>3.5898494374286459E-2</v>
      </c>
      <c r="AE115" s="12">
        <f t="shared" si="9"/>
        <v>5.6636015542789526E-2</v>
      </c>
      <c r="AF115" s="17">
        <v>1</v>
      </c>
      <c r="AG115" s="17">
        <v>1</v>
      </c>
      <c r="AH115" s="16">
        <f>IFERROR(VLOOKUP(D115,Teams!$B$2:$I$21,7,FALSE),1)</f>
        <v>1</v>
      </c>
      <c r="AI115" s="12">
        <f t="shared" si="10"/>
        <v>3.5898494374286459E-2</v>
      </c>
      <c r="AJ115" s="12">
        <f t="shared" si="11"/>
        <v>5.6636015542789526E-2</v>
      </c>
      <c r="AK115" s="6" t="s">
        <v>66</v>
      </c>
      <c r="AL115" s="18"/>
      <c r="AM115" s="23"/>
      <c r="AN115" s="24">
        <v>1E-3</v>
      </c>
      <c r="AO115" s="25" t="b">
        <v>1</v>
      </c>
      <c r="AP115" s="23" t="s">
        <v>400</v>
      </c>
      <c r="AQ115" s="25" t="b">
        <v>0</v>
      </c>
      <c r="AR115" s="23"/>
      <c r="AS115" s="23" t="s">
        <v>68</v>
      </c>
    </row>
    <row r="116" spans="1:45" ht="60">
      <c r="A116" s="6">
        <v>115</v>
      </c>
      <c r="B116" s="6" t="s">
        <v>401</v>
      </c>
      <c r="C116" s="6" t="s">
        <v>402</v>
      </c>
      <c r="D116" s="6" t="s">
        <v>390</v>
      </c>
      <c r="E116" s="6" t="s">
        <v>9</v>
      </c>
      <c r="F116" s="9">
        <v>4.5</v>
      </c>
      <c r="G116" s="9">
        <v>4.5</v>
      </c>
      <c r="H116" s="10">
        <v>1404</v>
      </c>
      <c r="I116" s="11">
        <v>1.66</v>
      </c>
      <c r="J116" s="11">
        <v>4.08</v>
      </c>
      <c r="K116" s="12">
        <f t="shared" si="6"/>
        <v>0.10641025641025642</v>
      </c>
      <c r="L116" s="12">
        <f t="shared" si="7"/>
        <v>0.26153846153846155</v>
      </c>
      <c r="M116" s="10">
        <v>2</v>
      </c>
      <c r="N116" s="10">
        <v>3</v>
      </c>
      <c r="O116" s="10">
        <v>84</v>
      </c>
      <c r="P116" s="10">
        <v>2.8</v>
      </c>
      <c r="Q116" s="10">
        <v>17</v>
      </c>
      <c r="R116" s="11">
        <v>4.0999999999999996</v>
      </c>
      <c r="S116" s="6"/>
      <c r="T116" s="6">
        <v>3</v>
      </c>
      <c r="U116" s="6"/>
      <c r="V116" s="7" t="b">
        <v>0</v>
      </c>
      <c r="W116" s="8">
        <f>IFERROR(VLOOKUP(D116,Teams!$B$2:$I$21,6,FALSE),"")</f>
        <v>0</v>
      </c>
      <c r="X116" s="2" t="s">
        <v>65</v>
      </c>
      <c r="Y116" s="13"/>
      <c r="Z116" s="14"/>
      <c r="AA116" s="15">
        <f>IFERROR(H116/(H116+Priors!$G$3),0)</f>
        <v>0.58402662229617308</v>
      </c>
      <c r="AB116" s="16">
        <f>VLOOKUP(E116,Priors!$A$3:$C$6,2,FALSE)</f>
        <v>6.0081391379341341E-2</v>
      </c>
      <c r="AC116" s="16">
        <f>VLOOKUP(E116,Priors!$A$3:$C$6,3,FALSE)</f>
        <v>5.9588191961478354E-2</v>
      </c>
      <c r="AD116" s="12">
        <f t="shared" si="8"/>
        <v>8.713868193816196E-2</v>
      </c>
      <c r="AE116" s="12">
        <f t="shared" si="9"/>
        <v>0.17753252577432543</v>
      </c>
      <c r="AF116" s="17">
        <v>1</v>
      </c>
      <c r="AG116" s="17">
        <v>1</v>
      </c>
      <c r="AH116" s="16">
        <f>IFERROR(VLOOKUP(D116,Teams!$B$2:$I$21,7,FALSE),1)</f>
        <v>1</v>
      </c>
      <c r="AI116" s="12">
        <f t="shared" si="10"/>
        <v>8.713868193816196E-2</v>
      </c>
      <c r="AJ116" s="12">
        <f t="shared" si="11"/>
        <v>0.17753252577432543</v>
      </c>
      <c r="AK116" s="6" t="s">
        <v>66</v>
      </c>
      <c r="AL116" s="18"/>
      <c r="AM116" s="23"/>
      <c r="AN116" s="24">
        <v>1.4999999999999999E-2</v>
      </c>
      <c r="AO116" s="25" t="b">
        <v>1</v>
      </c>
      <c r="AP116" s="23" t="s">
        <v>403</v>
      </c>
      <c r="AQ116" s="25" t="b">
        <v>0</v>
      </c>
      <c r="AR116" s="23"/>
      <c r="AS116" s="23" t="s">
        <v>68</v>
      </c>
    </row>
    <row r="117" spans="1:45" ht="60">
      <c r="A117" s="6">
        <v>116</v>
      </c>
      <c r="B117" s="6" t="s">
        <v>404</v>
      </c>
      <c r="C117" s="6" t="s">
        <v>405</v>
      </c>
      <c r="D117" s="6" t="s">
        <v>390</v>
      </c>
      <c r="E117" s="6" t="s">
        <v>9</v>
      </c>
      <c r="F117" s="9">
        <v>4.5</v>
      </c>
      <c r="G117" s="9">
        <v>4.5</v>
      </c>
      <c r="H117" s="10">
        <v>2837</v>
      </c>
      <c r="I117" s="11">
        <v>1.83</v>
      </c>
      <c r="J117" s="11">
        <v>0.56000000000000005</v>
      </c>
      <c r="K117" s="12">
        <f t="shared" si="6"/>
        <v>5.8054282692985557E-2</v>
      </c>
      <c r="L117" s="12">
        <f t="shared" si="7"/>
        <v>1.7765244977088476E-2</v>
      </c>
      <c r="M117" s="10">
        <v>1</v>
      </c>
      <c r="N117" s="10">
        <v>1</v>
      </c>
      <c r="O117" s="10">
        <v>100</v>
      </c>
      <c r="P117" s="10">
        <v>3</v>
      </c>
      <c r="Q117" s="10">
        <v>31</v>
      </c>
      <c r="R117" s="11">
        <v>7.33</v>
      </c>
      <c r="S117" s="6"/>
      <c r="T117" s="6">
        <v>2</v>
      </c>
      <c r="U117" s="6"/>
      <c r="V117" s="7" t="b">
        <v>0</v>
      </c>
      <c r="W117" s="8">
        <f>IFERROR(VLOOKUP(D117,Teams!$B$2:$I$21,6,FALSE),"")</f>
        <v>0</v>
      </c>
      <c r="X117" s="2" t="s">
        <v>65</v>
      </c>
      <c r="Y117" s="13"/>
      <c r="Z117" s="14"/>
      <c r="AA117" s="15">
        <f>IFERROR(H117/(H117+Priors!$G$3),0)</f>
        <v>0.73937972374250716</v>
      </c>
      <c r="AB117" s="16">
        <f>VLOOKUP(E117,Priors!$A$3:$C$6,2,FALSE)</f>
        <v>6.0081391379341341E-2</v>
      </c>
      <c r="AC117" s="16">
        <f>VLOOKUP(E117,Priors!$A$3:$C$6,3,FALSE)</f>
        <v>5.9588191961478354E-2</v>
      </c>
      <c r="AD117" s="12">
        <f t="shared" si="8"/>
        <v>5.8582588318827566E-2</v>
      </c>
      <c r="AE117" s="12">
        <f t="shared" si="9"/>
        <v>2.8665152974062642E-2</v>
      </c>
      <c r="AF117" s="17">
        <v>1</v>
      </c>
      <c r="AG117" s="17">
        <v>1</v>
      </c>
      <c r="AH117" s="16">
        <f>IFERROR(VLOOKUP(D117,Teams!$B$2:$I$21,7,FALSE),1)</f>
        <v>1</v>
      </c>
      <c r="AI117" s="12">
        <f t="shared" si="10"/>
        <v>5.8582588318827566E-2</v>
      </c>
      <c r="AJ117" s="12">
        <f t="shared" si="11"/>
        <v>2.8665152974062642E-2</v>
      </c>
      <c r="AK117" s="6" t="s">
        <v>66</v>
      </c>
      <c r="AL117" s="18"/>
      <c r="AM117" s="23"/>
      <c r="AN117" s="24">
        <v>6.9999999999999993E-3</v>
      </c>
      <c r="AO117" s="25" t="b">
        <v>1</v>
      </c>
      <c r="AP117" s="23" t="s">
        <v>406</v>
      </c>
      <c r="AQ117" s="25" t="b">
        <v>0</v>
      </c>
      <c r="AR117" s="23"/>
      <c r="AS117" s="23" t="s">
        <v>68</v>
      </c>
    </row>
    <row r="118" spans="1:45" ht="60">
      <c r="A118" s="6">
        <v>117</v>
      </c>
      <c r="B118" s="6" t="s">
        <v>407</v>
      </c>
      <c r="C118" s="6" t="s">
        <v>408</v>
      </c>
      <c r="D118" s="6" t="s">
        <v>390</v>
      </c>
      <c r="E118" s="6" t="s">
        <v>9</v>
      </c>
      <c r="F118" s="9">
        <v>4.5</v>
      </c>
      <c r="G118" s="9">
        <v>4.5</v>
      </c>
      <c r="H118" s="10">
        <v>193</v>
      </c>
      <c r="I118" s="11">
        <v>0</v>
      </c>
      <c r="J118" s="11">
        <v>0.01</v>
      </c>
      <c r="K118" s="12">
        <f t="shared" si="6"/>
        <v>0</v>
      </c>
      <c r="L118" s="12">
        <f t="shared" si="7"/>
        <v>4.6632124352331611E-3</v>
      </c>
      <c r="M118" s="10">
        <v>0</v>
      </c>
      <c r="N118" s="10">
        <v>0</v>
      </c>
      <c r="O118" s="10">
        <v>10</v>
      </c>
      <c r="P118" s="10">
        <v>2</v>
      </c>
      <c r="Q118" s="10">
        <v>2</v>
      </c>
      <c r="R118" s="11">
        <v>8.39</v>
      </c>
      <c r="S118" s="6"/>
      <c r="T118" s="6"/>
      <c r="U118" s="6"/>
      <c r="V118" s="7" t="b">
        <v>1</v>
      </c>
      <c r="W118" s="8">
        <f>IFERROR(VLOOKUP(D118,Teams!$B$2:$I$21,6,FALSE),"")</f>
        <v>0</v>
      </c>
      <c r="X118" s="2" t="s">
        <v>65</v>
      </c>
      <c r="Y118" s="13"/>
      <c r="Z118" s="14"/>
      <c r="AA118" s="15">
        <f>IFERROR(H118/(H118+Priors!$G$3),0)</f>
        <v>0.16177703269069574</v>
      </c>
      <c r="AB118" s="16">
        <f>VLOOKUP(E118,Priors!$A$3:$C$6,2,FALSE)</f>
        <v>6.0081391379341341E-2</v>
      </c>
      <c r="AC118" s="16">
        <f>VLOOKUP(E118,Priors!$A$3:$C$6,3,FALSE)</f>
        <v>5.9588191961478354E-2</v>
      </c>
      <c r="AD118" s="12">
        <f t="shared" si="8"/>
        <v>5.0361602162063153E-2</v>
      </c>
      <c r="AE118" s="12">
        <f t="shared" si="9"/>
        <v>5.0702591753125185E-2</v>
      </c>
      <c r="AF118" s="17">
        <v>1</v>
      </c>
      <c r="AG118" s="17">
        <v>1</v>
      </c>
      <c r="AH118" s="16">
        <f>IFERROR(VLOOKUP(D118,Teams!$B$2:$I$21,7,FALSE),1)</f>
        <v>1</v>
      </c>
      <c r="AI118" s="12">
        <f t="shared" si="10"/>
        <v>5.0361602162063153E-2</v>
      </c>
      <c r="AJ118" s="12">
        <f t="shared" si="11"/>
        <v>5.0702591753125185E-2</v>
      </c>
      <c r="AK118" s="6" t="s">
        <v>66</v>
      </c>
      <c r="AL118" s="18"/>
      <c r="AM118" s="23"/>
      <c r="AN118" s="24">
        <v>0</v>
      </c>
      <c r="AO118" s="25" t="b">
        <v>1</v>
      </c>
      <c r="AP118" s="23" t="s">
        <v>65</v>
      </c>
      <c r="AQ118" s="25" t="b">
        <v>0</v>
      </c>
      <c r="AR118" s="23"/>
      <c r="AS118" s="23" t="s">
        <v>68</v>
      </c>
    </row>
    <row r="119" spans="1:45" ht="60">
      <c r="A119" s="6">
        <v>118</v>
      </c>
      <c r="B119" s="6" t="s">
        <v>409</v>
      </c>
      <c r="C119" s="6" t="s">
        <v>410</v>
      </c>
      <c r="D119" s="6" t="s">
        <v>390</v>
      </c>
      <c r="E119" s="6" t="s">
        <v>9</v>
      </c>
      <c r="F119" s="9">
        <v>4.5</v>
      </c>
      <c r="G119" s="9">
        <v>4.5</v>
      </c>
      <c r="H119" s="10">
        <v>103</v>
      </c>
      <c r="I119" s="11">
        <v>0</v>
      </c>
      <c r="J119" s="11">
        <v>0</v>
      </c>
      <c r="K119" s="12">
        <f t="shared" si="6"/>
        <v>0</v>
      </c>
      <c r="L119" s="12">
        <f t="shared" si="7"/>
        <v>0</v>
      </c>
      <c r="M119" s="10">
        <v>0</v>
      </c>
      <c r="N119" s="10">
        <v>0</v>
      </c>
      <c r="O119" s="10">
        <v>6</v>
      </c>
      <c r="P119" s="10">
        <v>1.5</v>
      </c>
      <c r="Q119" s="10">
        <v>1</v>
      </c>
      <c r="R119" s="11">
        <v>11.36</v>
      </c>
      <c r="S119" s="6"/>
      <c r="T119" s="6"/>
      <c r="U119" s="6"/>
      <c r="V119" s="7" t="b">
        <v>0</v>
      </c>
      <c r="W119" s="8">
        <f>IFERROR(VLOOKUP(D119,Teams!$B$2:$I$21,6,FALSE),"")</f>
        <v>0</v>
      </c>
      <c r="X119" s="2" t="s">
        <v>65</v>
      </c>
      <c r="Y119" s="13"/>
      <c r="Z119" s="14"/>
      <c r="AA119" s="15">
        <f>IFERROR(H119/(H119+Priors!$G$3),0)</f>
        <v>9.3381686310063466E-2</v>
      </c>
      <c r="AB119" s="16">
        <f>VLOOKUP(E119,Priors!$A$3:$C$6,2,FALSE)</f>
        <v>6.0081391379341341E-2</v>
      </c>
      <c r="AC119" s="16">
        <f>VLOOKUP(E119,Priors!$A$3:$C$6,3,FALSE)</f>
        <v>5.9588191961478354E-2</v>
      </c>
      <c r="AD119" s="12">
        <f t="shared" si="8"/>
        <v>5.4470889736483535E-2</v>
      </c>
      <c r="AE119" s="12">
        <f t="shared" si="9"/>
        <v>5.4023746111947733E-2</v>
      </c>
      <c r="AF119" s="17">
        <v>1</v>
      </c>
      <c r="AG119" s="17">
        <v>1</v>
      </c>
      <c r="AH119" s="16">
        <f>IFERROR(VLOOKUP(D119,Teams!$B$2:$I$21,7,FALSE),1)</f>
        <v>1</v>
      </c>
      <c r="AI119" s="12">
        <f t="shared" si="10"/>
        <v>5.4470889736483535E-2</v>
      </c>
      <c r="AJ119" s="12">
        <f t="shared" si="11"/>
        <v>5.4023746111947733E-2</v>
      </c>
      <c r="AK119" s="6" t="s">
        <v>66</v>
      </c>
      <c r="AL119" s="18"/>
      <c r="AM119" s="23"/>
      <c r="AN119" s="24">
        <v>1E-3</v>
      </c>
      <c r="AO119" s="25" t="b">
        <v>1</v>
      </c>
      <c r="AP119" s="23" t="s">
        <v>411</v>
      </c>
      <c r="AQ119" s="25" t="b">
        <v>0</v>
      </c>
      <c r="AR119" s="23"/>
      <c r="AS119" s="23" t="s">
        <v>68</v>
      </c>
    </row>
    <row r="120" spans="1:45" ht="60">
      <c r="A120" s="6">
        <v>119</v>
      </c>
      <c r="B120" s="6" t="s">
        <v>412</v>
      </c>
      <c r="C120" s="6" t="s">
        <v>412</v>
      </c>
      <c r="D120" s="6" t="s">
        <v>390</v>
      </c>
      <c r="E120" s="6" t="s">
        <v>9</v>
      </c>
      <c r="F120" s="9">
        <v>4.5</v>
      </c>
      <c r="G120" s="9">
        <v>4.5</v>
      </c>
      <c r="H120" s="10">
        <v>0</v>
      </c>
      <c r="I120" s="11">
        <v>0</v>
      </c>
      <c r="J120" s="11">
        <v>0</v>
      </c>
      <c r="K120" s="12">
        <f t="shared" si="6"/>
        <v>0</v>
      </c>
      <c r="L120" s="12">
        <f t="shared" si="7"/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1">
        <v>0</v>
      </c>
      <c r="S120" s="6"/>
      <c r="T120" s="6"/>
      <c r="U120" s="6"/>
      <c r="V120" s="7" t="b">
        <v>1</v>
      </c>
      <c r="W120" s="8">
        <f>IFERROR(VLOOKUP(D120,Teams!$B$2:$I$21,6,FALSE),"")</f>
        <v>0</v>
      </c>
      <c r="X120" s="2" t="s">
        <v>65</v>
      </c>
      <c r="Y120" s="13"/>
      <c r="Z120" s="14"/>
      <c r="AA120" s="15">
        <f>IFERROR(H120/(H120+Priors!$G$3),0)</f>
        <v>0</v>
      </c>
      <c r="AB120" s="16">
        <f>VLOOKUP(E120,Priors!$A$3:$C$6,2,FALSE)</f>
        <v>6.0081391379341341E-2</v>
      </c>
      <c r="AC120" s="16">
        <f>VLOOKUP(E120,Priors!$A$3:$C$6,3,FALSE)</f>
        <v>5.9588191961478354E-2</v>
      </c>
      <c r="AD120" s="12">
        <f t="shared" si="8"/>
        <v>6.0081391379341341E-2</v>
      </c>
      <c r="AE120" s="12">
        <f t="shared" si="9"/>
        <v>5.9588191961478354E-2</v>
      </c>
      <c r="AF120" s="17">
        <v>1</v>
      </c>
      <c r="AG120" s="17">
        <v>1</v>
      </c>
      <c r="AH120" s="16">
        <f>IFERROR(VLOOKUP(D120,Teams!$B$2:$I$21,7,FALSE),1)</f>
        <v>1</v>
      </c>
      <c r="AI120" s="12">
        <f t="shared" si="10"/>
        <v>6.0081391379341341E-2</v>
      </c>
      <c r="AJ120" s="12">
        <f t="shared" si="11"/>
        <v>5.9588191961478354E-2</v>
      </c>
      <c r="AK120" s="6" t="s">
        <v>66</v>
      </c>
      <c r="AL120" s="18"/>
      <c r="AM120" s="23"/>
      <c r="AN120" s="24">
        <v>0</v>
      </c>
      <c r="AO120" s="25" t="b">
        <v>1</v>
      </c>
      <c r="AP120" s="23" t="s">
        <v>345</v>
      </c>
      <c r="AQ120" s="25" t="b">
        <v>0</v>
      </c>
      <c r="AR120" s="23"/>
      <c r="AS120" s="23" t="s">
        <v>68</v>
      </c>
    </row>
    <row r="121" spans="1:45" ht="60">
      <c r="A121" s="6">
        <v>120</v>
      </c>
      <c r="B121" s="6" t="s">
        <v>413</v>
      </c>
      <c r="C121" s="6" t="s">
        <v>414</v>
      </c>
      <c r="D121" s="6" t="s">
        <v>390</v>
      </c>
      <c r="E121" s="6" t="s">
        <v>9</v>
      </c>
      <c r="F121" s="9">
        <v>5</v>
      </c>
      <c r="G121" s="9">
        <v>5</v>
      </c>
      <c r="H121" s="10">
        <v>0</v>
      </c>
      <c r="I121" s="11">
        <v>0</v>
      </c>
      <c r="J121" s="11">
        <v>0</v>
      </c>
      <c r="K121" s="12">
        <f t="shared" si="6"/>
        <v>0</v>
      </c>
      <c r="L121" s="12">
        <f t="shared" si="7"/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1">
        <v>0</v>
      </c>
      <c r="S121" s="6"/>
      <c r="T121" s="6"/>
      <c r="U121" s="6"/>
      <c r="V121" s="7" t="b">
        <v>1</v>
      </c>
      <c r="W121" s="8">
        <f>IFERROR(VLOOKUP(D121,Teams!$B$2:$I$21,6,FALSE),"")</f>
        <v>0</v>
      </c>
      <c r="X121" s="2" t="s">
        <v>65</v>
      </c>
      <c r="Y121" s="13"/>
      <c r="Z121" s="14"/>
      <c r="AA121" s="15">
        <f>IFERROR(H121/(H121+Priors!$G$3),0)</f>
        <v>0</v>
      </c>
      <c r="AB121" s="16">
        <f>VLOOKUP(E121,Priors!$A$3:$C$6,2,FALSE)</f>
        <v>6.0081391379341341E-2</v>
      </c>
      <c r="AC121" s="16">
        <f>VLOOKUP(E121,Priors!$A$3:$C$6,3,FALSE)</f>
        <v>5.9588191961478354E-2</v>
      </c>
      <c r="AD121" s="12">
        <f t="shared" si="8"/>
        <v>6.0081391379341341E-2</v>
      </c>
      <c r="AE121" s="12">
        <f t="shared" si="9"/>
        <v>5.9588191961478354E-2</v>
      </c>
      <c r="AF121" s="17">
        <v>1</v>
      </c>
      <c r="AG121" s="17">
        <v>1</v>
      </c>
      <c r="AH121" s="16">
        <f>IFERROR(VLOOKUP(D121,Teams!$B$2:$I$21,7,FALSE),1)</f>
        <v>1</v>
      </c>
      <c r="AI121" s="12">
        <f t="shared" si="10"/>
        <v>6.0081391379341341E-2</v>
      </c>
      <c r="AJ121" s="12">
        <f t="shared" si="11"/>
        <v>5.9588191961478354E-2</v>
      </c>
      <c r="AK121" s="6" t="s">
        <v>66</v>
      </c>
      <c r="AL121" s="18"/>
      <c r="AM121" s="23"/>
      <c r="AN121" s="24">
        <v>1E-3</v>
      </c>
      <c r="AO121" s="25" t="b">
        <v>1</v>
      </c>
      <c r="AP121" s="23" t="s">
        <v>415</v>
      </c>
      <c r="AQ121" s="25" t="b">
        <v>0</v>
      </c>
      <c r="AR121" s="23"/>
      <c r="AS121" s="23" t="s">
        <v>68</v>
      </c>
    </row>
    <row r="122" spans="1:45" ht="60">
      <c r="A122" s="6">
        <v>121</v>
      </c>
      <c r="B122" s="6" t="s">
        <v>416</v>
      </c>
      <c r="C122" s="6" t="s">
        <v>417</v>
      </c>
      <c r="D122" s="6" t="s">
        <v>390</v>
      </c>
      <c r="E122" s="6" t="s">
        <v>11</v>
      </c>
      <c r="F122" s="9">
        <v>6</v>
      </c>
      <c r="G122" s="9">
        <v>6</v>
      </c>
      <c r="H122" s="10">
        <v>1714</v>
      </c>
      <c r="I122" s="11">
        <v>4.04</v>
      </c>
      <c r="J122" s="11">
        <v>2.74</v>
      </c>
      <c r="K122" s="12">
        <f t="shared" si="6"/>
        <v>0.21213535589264879</v>
      </c>
      <c r="L122" s="12">
        <f t="shared" si="7"/>
        <v>0.14387397899649942</v>
      </c>
      <c r="M122" s="10">
        <v>3</v>
      </c>
      <c r="N122" s="10">
        <v>1</v>
      </c>
      <c r="O122" s="10">
        <v>62</v>
      </c>
      <c r="P122" s="10">
        <v>2.5</v>
      </c>
      <c r="Q122" s="10">
        <v>19</v>
      </c>
      <c r="R122" s="11">
        <v>5.62</v>
      </c>
      <c r="S122" s="6"/>
      <c r="T122" s="6"/>
      <c r="U122" s="6"/>
      <c r="V122" s="7" t="b">
        <v>0</v>
      </c>
      <c r="W122" s="8">
        <f>IFERROR(VLOOKUP(D122,Teams!$B$2:$I$21,6,FALSE),"")</f>
        <v>0</v>
      </c>
      <c r="X122" s="2" t="s">
        <v>65</v>
      </c>
      <c r="Y122" s="13"/>
      <c r="Z122" s="14"/>
      <c r="AA122" s="15">
        <f>IFERROR(H122/(H122+Priors!$G$3),0)</f>
        <v>0.63154016212232866</v>
      </c>
      <c r="AB122" s="16">
        <f>VLOOKUP(E122,Priors!$A$3:$C$6,2,FALSE)</f>
        <v>0.15714383234350468</v>
      </c>
      <c r="AC122" s="16">
        <f>VLOOKUP(E122,Priors!$A$3:$C$6,3,FALSE)</f>
        <v>0.13222062939449797</v>
      </c>
      <c r="AD122" s="12">
        <f t="shared" si="8"/>
        <v>0.191873188041085</v>
      </c>
      <c r="AE122" s="12">
        <f t="shared" si="9"/>
        <v>0.13958018769141414</v>
      </c>
      <c r="AF122" s="17">
        <v>1</v>
      </c>
      <c r="AG122" s="17">
        <v>1</v>
      </c>
      <c r="AH122" s="16">
        <f>IFERROR(VLOOKUP(D122,Teams!$B$2:$I$21,7,FALSE),1)</f>
        <v>1</v>
      </c>
      <c r="AI122" s="12">
        <f t="shared" si="10"/>
        <v>0.191873188041085</v>
      </c>
      <c r="AJ122" s="12">
        <f t="shared" si="11"/>
        <v>0.13958018769141414</v>
      </c>
      <c r="AK122" s="6" t="s">
        <v>80</v>
      </c>
      <c r="AL122" s="18">
        <v>0</v>
      </c>
      <c r="AM122" s="23" t="s">
        <v>418</v>
      </c>
      <c r="AN122" s="24">
        <v>2E-3</v>
      </c>
      <c r="AO122" s="25" t="b">
        <v>1</v>
      </c>
      <c r="AP122" s="23" t="s">
        <v>419</v>
      </c>
      <c r="AQ122" s="25" t="b">
        <v>0</v>
      </c>
      <c r="AR122" s="23"/>
      <c r="AS122" s="23" t="s">
        <v>68</v>
      </c>
    </row>
    <row r="123" spans="1:45" ht="60">
      <c r="A123" s="6">
        <v>122</v>
      </c>
      <c r="B123" s="6" t="s">
        <v>420</v>
      </c>
      <c r="C123" s="6" t="s">
        <v>421</v>
      </c>
      <c r="D123" s="6" t="s">
        <v>390</v>
      </c>
      <c r="E123" s="6" t="s">
        <v>11</v>
      </c>
      <c r="F123" s="9">
        <v>6</v>
      </c>
      <c r="G123" s="9">
        <v>6</v>
      </c>
      <c r="H123" s="10">
        <v>2389</v>
      </c>
      <c r="I123" s="11">
        <v>3.81</v>
      </c>
      <c r="J123" s="11">
        <v>5.0599999999999996</v>
      </c>
      <c r="K123" s="12">
        <f t="shared" si="6"/>
        <v>0.14353285893679363</v>
      </c>
      <c r="L123" s="12">
        <f t="shared" si="7"/>
        <v>0.19062369192130599</v>
      </c>
      <c r="M123" s="10">
        <v>3</v>
      </c>
      <c r="N123" s="10">
        <v>8</v>
      </c>
      <c r="O123" s="10">
        <v>117</v>
      </c>
      <c r="P123" s="10">
        <v>3.4</v>
      </c>
      <c r="Q123" s="10">
        <v>26</v>
      </c>
      <c r="R123" s="11">
        <v>6.97</v>
      </c>
      <c r="S123" s="6"/>
      <c r="T123" s="6"/>
      <c r="U123" s="6">
        <v>6</v>
      </c>
      <c r="V123" s="7" t="b">
        <v>0</v>
      </c>
      <c r="W123" s="8">
        <f>IFERROR(VLOOKUP(D123,Teams!$B$2:$I$21,6,FALSE),"")</f>
        <v>0</v>
      </c>
      <c r="X123" s="2" t="s">
        <v>65</v>
      </c>
      <c r="Y123" s="13"/>
      <c r="Z123" s="14"/>
      <c r="AA123" s="15">
        <f>IFERROR(H123/(H123+Priors!$G$3),0)</f>
        <v>0.70492770728828558</v>
      </c>
      <c r="AB123" s="16">
        <f>VLOOKUP(E123,Priors!$A$3:$C$6,2,FALSE)</f>
        <v>0.15714383234350468</v>
      </c>
      <c r="AC123" s="16">
        <f>VLOOKUP(E123,Priors!$A$3:$C$6,3,FALSE)</f>
        <v>0.13222062939449797</v>
      </c>
      <c r="AD123" s="12">
        <f t="shared" si="8"/>
        <v>0.14754908006595002</v>
      </c>
      <c r="AE123" s="12">
        <f t="shared" si="9"/>
        <v>0.17339056636013511</v>
      </c>
      <c r="AF123" s="17">
        <v>1</v>
      </c>
      <c r="AG123" s="17">
        <v>1</v>
      </c>
      <c r="AH123" s="16">
        <f>IFERROR(VLOOKUP(D123,Teams!$B$2:$I$21,7,FALSE),1)</f>
        <v>1</v>
      </c>
      <c r="AI123" s="12">
        <f t="shared" si="10"/>
        <v>0.14754908006595002</v>
      </c>
      <c r="AJ123" s="12">
        <f t="shared" si="11"/>
        <v>0.17339056636013511</v>
      </c>
      <c r="AK123" s="6" t="s">
        <v>66</v>
      </c>
      <c r="AL123" s="18"/>
      <c r="AM123" s="23"/>
      <c r="AN123" s="24">
        <v>6.9999999999999993E-3</v>
      </c>
      <c r="AO123" s="25" t="b">
        <v>1</v>
      </c>
      <c r="AP123" s="23" t="s">
        <v>201</v>
      </c>
      <c r="AQ123" s="25" t="b">
        <v>0</v>
      </c>
      <c r="AR123" s="23"/>
      <c r="AS123" s="23" t="s">
        <v>68</v>
      </c>
    </row>
    <row r="124" spans="1:45" ht="60">
      <c r="A124" s="6">
        <v>123</v>
      </c>
      <c r="B124" s="6" t="s">
        <v>422</v>
      </c>
      <c r="C124" s="6" t="s">
        <v>423</v>
      </c>
      <c r="D124" s="6" t="s">
        <v>390</v>
      </c>
      <c r="E124" s="6" t="s">
        <v>11</v>
      </c>
      <c r="F124" s="9">
        <v>6</v>
      </c>
      <c r="G124" s="9">
        <v>6</v>
      </c>
      <c r="H124" s="10">
        <v>1736</v>
      </c>
      <c r="I124" s="11">
        <v>4.9400000000000004</v>
      </c>
      <c r="J124" s="11">
        <v>2.34</v>
      </c>
      <c r="K124" s="12">
        <f t="shared" si="6"/>
        <v>0.25610599078341018</v>
      </c>
      <c r="L124" s="12">
        <f t="shared" si="7"/>
        <v>0.12131336405529954</v>
      </c>
      <c r="M124" s="10">
        <v>4</v>
      </c>
      <c r="N124" s="10">
        <v>5</v>
      </c>
      <c r="O124" s="10">
        <v>91</v>
      </c>
      <c r="P124" s="10">
        <v>3.4</v>
      </c>
      <c r="Q124" s="10">
        <v>20</v>
      </c>
      <c r="R124" s="11">
        <v>5.91</v>
      </c>
      <c r="S124" s="6"/>
      <c r="T124" s="6"/>
      <c r="U124" s="6"/>
      <c r="V124" s="7" t="b">
        <v>0</v>
      </c>
      <c r="W124" s="8">
        <f>IFERROR(VLOOKUP(D124,Teams!$B$2:$I$21,6,FALSE),"")</f>
        <v>0</v>
      </c>
      <c r="X124" s="2" t="s">
        <v>65</v>
      </c>
      <c r="Y124" s="13"/>
      <c r="Z124" s="14"/>
      <c r="AA124" s="15">
        <f>IFERROR(H124/(H124+Priors!$G$3),0)</f>
        <v>0.63450292397660824</v>
      </c>
      <c r="AB124" s="16">
        <f>VLOOKUP(E124,Priors!$A$3:$C$6,2,FALSE)</f>
        <v>0.15714383234350468</v>
      </c>
      <c r="AC124" s="16">
        <f>VLOOKUP(E124,Priors!$A$3:$C$6,3,FALSE)</f>
        <v>0.13222062939449797</v>
      </c>
      <c r="AD124" s="12">
        <f t="shared" si="8"/>
        <v>0.21993561123666108</v>
      </c>
      <c r="AE124" s="12">
        <f t="shared" si="9"/>
        <v>0.12529993764418784</v>
      </c>
      <c r="AF124" s="17">
        <v>1</v>
      </c>
      <c r="AG124" s="17">
        <v>1</v>
      </c>
      <c r="AH124" s="16">
        <f>IFERROR(VLOOKUP(D124,Teams!$B$2:$I$21,7,FALSE),1)</f>
        <v>1</v>
      </c>
      <c r="AI124" s="12">
        <f t="shared" si="10"/>
        <v>0.21993561123666108</v>
      </c>
      <c r="AJ124" s="12">
        <f t="shared" si="11"/>
        <v>0.12529993764418784</v>
      </c>
      <c r="AK124" s="6" t="s">
        <v>66</v>
      </c>
      <c r="AL124" s="18"/>
      <c r="AM124" s="23"/>
      <c r="AN124" s="24">
        <v>3.0000000000000001E-3</v>
      </c>
      <c r="AO124" s="25" t="b">
        <v>1</v>
      </c>
      <c r="AP124" s="23" t="s">
        <v>424</v>
      </c>
      <c r="AQ124" s="25" t="b">
        <v>0</v>
      </c>
      <c r="AR124" s="23"/>
      <c r="AS124" s="23" t="s">
        <v>68</v>
      </c>
    </row>
    <row r="125" spans="1:45" ht="60">
      <c r="A125" s="6">
        <v>124</v>
      </c>
      <c r="B125" s="6" t="s">
        <v>425</v>
      </c>
      <c r="C125" s="6" t="s">
        <v>426</v>
      </c>
      <c r="D125" s="6" t="s">
        <v>390</v>
      </c>
      <c r="E125" s="6" t="s">
        <v>11</v>
      </c>
      <c r="F125" s="9">
        <v>5.5</v>
      </c>
      <c r="G125" s="9">
        <v>5.5</v>
      </c>
      <c r="H125" s="10">
        <v>1636</v>
      </c>
      <c r="I125" s="11">
        <v>1.39</v>
      </c>
      <c r="J125" s="11">
        <v>3.95</v>
      </c>
      <c r="K125" s="12">
        <f t="shared" si="6"/>
        <v>7.6466992665036676E-2</v>
      </c>
      <c r="L125" s="12">
        <f t="shared" si="7"/>
        <v>0.21729828850855745</v>
      </c>
      <c r="M125" s="10">
        <v>1</v>
      </c>
      <c r="N125" s="10">
        <v>6</v>
      </c>
      <c r="O125" s="10">
        <v>78</v>
      </c>
      <c r="P125" s="10">
        <v>4.0999999999999996</v>
      </c>
      <c r="Q125" s="10">
        <v>18</v>
      </c>
      <c r="R125" s="11">
        <v>7.98</v>
      </c>
      <c r="S125" s="6">
        <v>1</v>
      </c>
      <c r="T125" s="6"/>
      <c r="U125" s="6">
        <v>5</v>
      </c>
      <c r="V125" s="7" t="b">
        <v>0</v>
      </c>
      <c r="W125" s="8">
        <f>IFERROR(VLOOKUP(D125,Teams!$B$2:$I$21,6,FALSE),"")</f>
        <v>0</v>
      </c>
      <c r="X125" s="2" t="s">
        <v>65</v>
      </c>
      <c r="Y125" s="13"/>
      <c r="Z125" s="14"/>
      <c r="AA125" s="15">
        <f>IFERROR(H125/(H125+Priors!$G$3),0)</f>
        <v>0.62063732928679816</v>
      </c>
      <c r="AB125" s="16">
        <f>VLOOKUP(E125,Priors!$A$3:$C$6,2,FALSE)</f>
        <v>0.15714383234350468</v>
      </c>
      <c r="AC125" s="16">
        <f>VLOOKUP(E125,Priors!$A$3:$C$6,3,FALSE)</f>
        <v>0.13222062939449797</v>
      </c>
      <c r="AD125" s="12">
        <f t="shared" si="8"/>
        <v>0.10707277403016111</v>
      </c>
      <c r="AE125" s="12">
        <f t="shared" si="9"/>
        <v>0.18502300052902046</v>
      </c>
      <c r="AF125" s="17">
        <v>1</v>
      </c>
      <c r="AG125" s="17">
        <v>1</v>
      </c>
      <c r="AH125" s="16">
        <f>IFERROR(VLOOKUP(D125,Teams!$B$2:$I$21,7,FALSE),1)</f>
        <v>1</v>
      </c>
      <c r="AI125" s="12">
        <f t="shared" si="10"/>
        <v>0.10707277403016111</v>
      </c>
      <c r="AJ125" s="12">
        <f t="shared" si="11"/>
        <v>0.18502300052902046</v>
      </c>
      <c r="AK125" s="6" t="s">
        <v>66</v>
      </c>
      <c r="AL125" s="18"/>
      <c r="AM125" s="23"/>
      <c r="AN125" s="24">
        <v>7.2000000000000008E-2</v>
      </c>
      <c r="AO125" s="25" t="b">
        <v>1</v>
      </c>
      <c r="AP125" s="23" t="s">
        <v>240</v>
      </c>
      <c r="AQ125" s="25" t="b">
        <v>0</v>
      </c>
      <c r="AR125" s="23"/>
      <c r="AS125" s="23" t="s">
        <v>68</v>
      </c>
    </row>
    <row r="126" spans="1:45" ht="60">
      <c r="A126" s="6">
        <v>125</v>
      </c>
      <c r="B126" s="6" t="s">
        <v>427</v>
      </c>
      <c r="C126" s="6" t="s">
        <v>428</v>
      </c>
      <c r="D126" s="6" t="s">
        <v>390</v>
      </c>
      <c r="E126" s="6" t="s">
        <v>14</v>
      </c>
      <c r="F126" s="9">
        <v>5.5</v>
      </c>
      <c r="G126" s="9">
        <v>5.5</v>
      </c>
      <c r="H126" s="10">
        <v>1776</v>
      </c>
      <c r="I126" s="11">
        <v>2.9</v>
      </c>
      <c r="J126" s="11">
        <v>2.9</v>
      </c>
      <c r="K126" s="12">
        <f t="shared" si="6"/>
        <v>0.14695945945945946</v>
      </c>
      <c r="L126" s="12">
        <f t="shared" si="7"/>
        <v>0.14695945945945946</v>
      </c>
      <c r="M126" s="10">
        <v>3</v>
      </c>
      <c r="N126" s="10">
        <v>5</v>
      </c>
      <c r="O126" s="10">
        <v>87</v>
      </c>
      <c r="P126" s="10">
        <v>2.7</v>
      </c>
      <c r="Q126" s="10">
        <v>20</v>
      </c>
      <c r="R126" s="11">
        <v>6.64</v>
      </c>
      <c r="S126" s="6"/>
      <c r="T126" s="6"/>
      <c r="U126" s="6"/>
      <c r="V126" s="7" t="b">
        <v>0</v>
      </c>
      <c r="W126" s="8">
        <f>IFERROR(VLOOKUP(D126,Teams!$B$2:$I$21,6,FALSE),"")</f>
        <v>0</v>
      </c>
      <c r="X126" s="2" t="s">
        <v>65</v>
      </c>
      <c r="Y126" s="13"/>
      <c r="Z126" s="14"/>
      <c r="AA126" s="15">
        <f>IFERROR(H126/(H126+Priors!$G$3),0)</f>
        <v>0.63976945244956773</v>
      </c>
      <c r="AB126" s="16">
        <f>VLOOKUP(E126,Priors!$A$3:$C$6,2,FALSE)</f>
        <v>0.44625207326425426</v>
      </c>
      <c r="AC126" s="16">
        <f>VLOOKUP(E126,Priors!$A$3:$C$6,3,FALSE)</f>
        <v>5.8217260259314105E-2</v>
      </c>
      <c r="AD126" s="12">
        <f t="shared" si="8"/>
        <v>0.25477380160816077</v>
      </c>
      <c r="AE126" s="12">
        <f t="shared" si="9"/>
        <v>0.11499180845076157</v>
      </c>
      <c r="AF126" s="17">
        <v>1</v>
      </c>
      <c r="AG126" s="17">
        <v>1</v>
      </c>
      <c r="AH126" s="16">
        <f>IFERROR(VLOOKUP(D126,Teams!$B$2:$I$21,7,FALSE),1)</f>
        <v>1</v>
      </c>
      <c r="AI126" s="12">
        <f t="shared" si="10"/>
        <v>0.25477380160816077</v>
      </c>
      <c r="AJ126" s="12">
        <f t="shared" si="11"/>
        <v>0.11499180845076157</v>
      </c>
      <c r="AK126" s="6" t="s">
        <v>66</v>
      </c>
      <c r="AL126" s="18"/>
      <c r="AM126" s="23"/>
      <c r="AN126" s="24">
        <v>6.9999999999999993E-3</v>
      </c>
      <c r="AO126" s="25" t="b">
        <v>1</v>
      </c>
      <c r="AP126" s="23" t="s">
        <v>429</v>
      </c>
      <c r="AQ126" s="25" t="b">
        <v>0</v>
      </c>
      <c r="AR126" s="23"/>
      <c r="AS126" s="23" t="s">
        <v>68</v>
      </c>
    </row>
    <row r="127" spans="1:45" ht="60">
      <c r="A127" s="6">
        <v>126</v>
      </c>
      <c r="B127" s="6" t="s">
        <v>430</v>
      </c>
      <c r="C127" s="6" t="s">
        <v>431</v>
      </c>
      <c r="D127" s="6" t="s">
        <v>390</v>
      </c>
      <c r="E127" s="6" t="s">
        <v>11</v>
      </c>
      <c r="F127" s="9">
        <v>5.5</v>
      </c>
      <c r="G127" s="9">
        <v>5.5</v>
      </c>
      <c r="H127" s="10">
        <v>202</v>
      </c>
      <c r="I127" s="11">
        <v>1.21</v>
      </c>
      <c r="J127" s="11">
        <v>0.18</v>
      </c>
      <c r="K127" s="12">
        <f t="shared" si="6"/>
        <v>0.53910891089108903</v>
      </c>
      <c r="L127" s="12">
        <f t="shared" si="7"/>
        <v>8.01980198019802E-2</v>
      </c>
      <c r="M127" s="10">
        <v>1</v>
      </c>
      <c r="N127" s="10">
        <v>0</v>
      </c>
      <c r="O127" s="10">
        <v>16</v>
      </c>
      <c r="P127" s="10">
        <v>2.7</v>
      </c>
      <c r="Q127" s="10">
        <v>2</v>
      </c>
      <c r="R127" s="11">
        <v>4.46</v>
      </c>
      <c r="S127" s="6">
        <v>2</v>
      </c>
      <c r="T127" s="6"/>
      <c r="U127" s="6"/>
      <c r="V127" s="7" t="b">
        <v>0</v>
      </c>
      <c r="W127" s="8">
        <f>IFERROR(VLOOKUP(D127,Teams!$B$2:$I$21,6,FALSE),"")</f>
        <v>0</v>
      </c>
      <c r="X127" s="2" t="s">
        <v>65</v>
      </c>
      <c r="Y127" s="13"/>
      <c r="Z127" s="14"/>
      <c r="AA127" s="15">
        <f>IFERROR(H127/(H127+Priors!$G$3),0)</f>
        <v>0.16805324459234608</v>
      </c>
      <c r="AB127" s="16">
        <f>VLOOKUP(E127,Priors!$A$3:$C$6,2,FALSE)</f>
        <v>0.15714383234350468</v>
      </c>
      <c r="AC127" s="16">
        <f>VLOOKUP(E127,Priors!$A$3:$C$6,3,FALSE)</f>
        <v>0.13222062939449797</v>
      </c>
      <c r="AD127" s="12">
        <f t="shared" si="8"/>
        <v>0.22133430311439656</v>
      </c>
      <c r="AE127" s="12">
        <f t="shared" si="9"/>
        <v>0.12347806106031445</v>
      </c>
      <c r="AF127" s="17">
        <v>1</v>
      </c>
      <c r="AG127" s="17">
        <v>1</v>
      </c>
      <c r="AH127" s="16">
        <f>IFERROR(VLOOKUP(D127,Teams!$B$2:$I$21,7,FALSE),1)</f>
        <v>1</v>
      </c>
      <c r="AI127" s="12">
        <f t="shared" si="10"/>
        <v>0.22133430311439656</v>
      </c>
      <c r="AJ127" s="12">
        <f t="shared" si="11"/>
        <v>0.12347806106031445</v>
      </c>
      <c r="AK127" s="6" t="s">
        <v>66</v>
      </c>
      <c r="AL127" s="18"/>
      <c r="AM127" s="23"/>
      <c r="AN127" s="24">
        <v>1E-3</v>
      </c>
      <c r="AO127" s="25" t="b">
        <v>1</v>
      </c>
      <c r="AP127" s="23" t="s">
        <v>432</v>
      </c>
      <c r="AQ127" s="25" t="b">
        <v>0</v>
      </c>
      <c r="AR127" s="23"/>
      <c r="AS127" s="23" t="s">
        <v>68</v>
      </c>
    </row>
    <row r="128" spans="1:45" ht="60">
      <c r="A128" s="6">
        <v>127</v>
      </c>
      <c r="B128" s="6" t="s">
        <v>433</v>
      </c>
      <c r="C128" s="6" t="s">
        <v>434</v>
      </c>
      <c r="D128" s="6" t="s">
        <v>390</v>
      </c>
      <c r="E128" s="6" t="s">
        <v>11</v>
      </c>
      <c r="F128" s="9">
        <v>5</v>
      </c>
      <c r="G128" s="9">
        <v>5</v>
      </c>
      <c r="H128" s="10">
        <v>2117</v>
      </c>
      <c r="I128" s="11">
        <v>6.24</v>
      </c>
      <c r="J128" s="11">
        <v>1.72</v>
      </c>
      <c r="K128" s="12">
        <f t="shared" si="6"/>
        <v>0.26528105810108643</v>
      </c>
      <c r="L128" s="12">
        <f t="shared" si="7"/>
        <v>7.3122342938119991E-2</v>
      </c>
      <c r="M128" s="10">
        <v>5</v>
      </c>
      <c r="N128" s="10">
        <v>1</v>
      </c>
      <c r="O128" s="10">
        <v>97</v>
      </c>
      <c r="P128" s="10">
        <v>3</v>
      </c>
      <c r="Q128" s="10">
        <v>26</v>
      </c>
      <c r="R128" s="11">
        <v>10.119999999999999</v>
      </c>
      <c r="S128" s="6"/>
      <c r="T128" s="6">
        <v>4</v>
      </c>
      <c r="U128" s="6"/>
      <c r="V128" s="7" t="b">
        <v>0</v>
      </c>
      <c r="W128" s="8">
        <f>IFERROR(VLOOKUP(D128,Teams!$B$2:$I$21,6,FALSE),"")</f>
        <v>0</v>
      </c>
      <c r="X128" s="2" t="s">
        <v>65</v>
      </c>
      <c r="Y128" s="13"/>
      <c r="Z128" s="14"/>
      <c r="AA128" s="15">
        <f>IFERROR(H128/(H128+Priors!$G$3),0)</f>
        <v>0.67917869746551174</v>
      </c>
      <c r="AB128" s="16">
        <f>VLOOKUP(E128,Priors!$A$3:$C$6,2,FALSE)</f>
        <v>0.15714383234350468</v>
      </c>
      <c r="AC128" s="16">
        <f>VLOOKUP(E128,Priors!$A$3:$C$6,3,FALSE)</f>
        <v>0.13222062939449797</v>
      </c>
      <c r="AD128" s="12">
        <f t="shared" si="8"/>
        <v>0.23058833248107305</v>
      </c>
      <c r="AE128" s="12">
        <f t="shared" si="9"/>
        <v>9.2082332176611478E-2</v>
      </c>
      <c r="AF128" s="17">
        <v>1</v>
      </c>
      <c r="AG128" s="17">
        <v>1</v>
      </c>
      <c r="AH128" s="16">
        <f>IFERROR(VLOOKUP(D128,Teams!$B$2:$I$21,7,FALSE),1)</f>
        <v>1</v>
      </c>
      <c r="AI128" s="12">
        <f t="shared" si="10"/>
        <v>0.23058833248107305</v>
      </c>
      <c r="AJ128" s="12">
        <f t="shared" si="11"/>
        <v>9.2082332176611478E-2</v>
      </c>
      <c r="AK128" s="6" t="s">
        <v>66</v>
      </c>
      <c r="AL128" s="18"/>
      <c r="AM128" s="23"/>
      <c r="AN128" s="24">
        <v>1.8000000000000002E-2</v>
      </c>
      <c r="AO128" s="25" t="b">
        <v>1</v>
      </c>
      <c r="AP128" s="23" t="s">
        <v>435</v>
      </c>
      <c r="AQ128" s="25" t="b">
        <v>0</v>
      </c>
      <c r="AR128" s="23"/>
      <c r="AS128" s="23" t="s">
        <v>68</v>
      </c>
    </row>
    <row r="129" spans="1:45" ht="60">
      <c r="A129" s="6">
        <v>128</v>
      </c>
      <c r="B129" s="6" t="s">
        <v>436</v>
      </c>
      <c r="C129" s="6" t="s">
        <v>437</v>
      </c>
      <c r="D129" s="6" t="s">
        <v>390</v>
      </c>
      <c r="E129" s="6" t="s">
        <v>11</v>
      </c>
      <c r="F129" s="9">
        <v>5</v>
      </c>
      <c r="G129" s="9">
        <v>5</v>
      </c>
      <c r="H129" s="10">
        <v>81</v>
      </c>
      <c r="I129" s="11">
        <v>0.06</v>
      </c>
      <c r="J129" s="11">
        <v>0.28000000000000003</v>
      </c>
      <c r="K129" s="12">
        <f t="shared" si="6"/>
        <v>6.6666666666666666E-2</v>
      </c>
      <c r="L129" s="12">
        <f t="shared" si="7"/>
        <v>0.31111111111111117</v>
      </c>
      <c r="M129" s="10">
        <v>0</v>
      </c>
      <c r="N129" s="10">
        <v>0</v>
      </c>
      <c r="O129" s="10">
        <v>3</v>
      </c>
      <c r="P129" s="10">
        <v>0.8</v>
      </c>
      <c r="Q129" s="10">
        <v>1</v>
      </c>
      <c r="R129" s="11">
        <v>6.67</v>
      </c>
      <c r="S129" s="6"/>
      <c r="T129" s="6"/>
      <c r="U129" s="6"/>
      <c r="V129" s="7" t="b">
        <v>0</v>
      </c>
      <c r="W129" s="8">
        <f>IFERROR(VLOOKUP(D129,Teams!$B$2:$I$21,6,FALSE),"")</f>
        <v>0</v>
      </c>
      <c r="X129" s="2" t="s">
        <v>65</v>
      </c>
      <c r="Y129" s="13"/>
      <c r="Z129" s="14"/>
      <c r="AA129" s="15">
        <f>IFERROR(H129/(H129+Priors!$G$3),0)</f>
        <v>7.4930619796484743E-2</v>
      </c>
      <c r="AB129" s="16">
        <f>VLOOKUP(E129,Priors!$A$3:$C$6,2,FALSE)</f>
        <v>0.15714383234350468</v>
      </c>
      <c r="AC129" s="16">
        <f>VLOOKUP(E129,Priors!$A$3:$C$6,3,FALSE)</f>
        <v>0.13222062939449797</v>
      </c>
      <c r="AD129" s="12">
        <f t="shared" si="8"/>
        <v>0.15036432224190999</v>
      </c>
      <c r="AE129" s="12">
        <f t="shared" si="9"/>
        <v>0.1456250040652155</v>
      </c>
      <c r="AF129" s="17">
        <v>1</v>
      </c>
      <c r="AG129" s="17">
        <v>1</v>
      </c>
      <c r="AH129" s="16">
        <f>IFERROR(VLOOKUP(D129,Teams!$B$2:$I$21,7,FALSE),1)</f>
        <v>1</v>
      </c>
      <c r="AI129" s="12">
        <f t="shared" si="10"/>
        <v>0.15036432224190999</v>
      </c>
      <c r="AJ129" s="12">
        <f t="shared" si="11"/>
        <v>0.1456250040652155</v>
      </c>
      <c r="AK129" s="6" t="s">
        <v>66</v>
      </c>
      <c r="AL129" s="18"/>
      <c r="AM129" s="23"/>
      <c r="AN129" s="24">
        <v>1E-3</v>
      </c>
      <c r="AO129" s="25" t="b">
        <v>1</v>
      </c>
      <c r="AP129" s="23" t="s">
        <v>438</v>
      </c>
      <c r="AQ129" s="25" t="b">
        <v>0</v>
      </c>
      <c r="AR129" s="23"/>
      <c r="AS129" s="23" t="s">
        <v>68</v>
      </c>
    </row>
    <row r="130" spans="1:45" ht="60">
      <c r="A130" s="6">
        <v>129</v>
      </c>
      <c r="B130" s="6" t="s">
        <v>439</v>
      </c>
      <c r="C130" s="6" t="s">
        <v>440</v>
      </c>
      <c r="D130" s="6" t="s">
        <v>390</v>
      </c>
      <c r="E130" s="6" t="s">
        <v>11</v>
      </c>
      <c r="F130" s="9">
        <v>5.5</v>
      </c>
      <c r="G130" s="9">
        <v>5.5</v>
      </c>
      <c r="H130" s="10">
        <v>1921</v>
      </c>
      <c r="I130" s="11">
        <v>2.7</v>
      </c>
      <c r="J130" s="11">
        <v>1.1499999999999999</v>
      </c>
      <c r="K130" s="12">
        <f t="shared" ref="K130:K193" si="12">IFERROR(I130*90/H130,0)</f>
        <v>0.12649661634565332</v>
      </c>
      <c r="L130" s="12">
        <f t="shared" ref="L130:L193" si="13">IFERROR(J130*90/H130,0)</f>
        <v>5.3878188443518993E-2</v>
      </c>
      <c r="M130" s="10">
        <v>3</v>
      </c>
      <c r="N130" s="10">
        <v>4</v>
      </c>
      <c r="O130" s="10">
        <v>98</v>
      </c>
      <c r="P130" s="10">
        <v>3.4</v>
      </c>
      <c r="Q130" s="10">
        <v>20</v>
      </c>
      <c r="R130" s="11">
        <v>10.54</v>
      </c>
      <c r="S130" s="6"/>
      <c r="T130" s="6">
        <v>1</v>
      </c>
      <c r="U130" s="6">
        <v>8</v>
      </c>
      <c r="V130" s="7" t="b">
        <v>0</v>
      </c>
      <c r="W130" s="8">
        <f>IFERROR(VLOOKUP(D130,Teams!$B$2:$I$21,6,FALSE),"")</f>
        <v>0</v>
      </c>
      <c r="X130" s="2" t="s">
        <v>65</v>
      </c>
      <c r="Y130" s="13"/>
      <c r="Z130" s="14"/>
      <c r="AA130" s="15">
        <f>IFERROR(H130/(H130+Priors!$G$3),0)</f>
        <v>0.6576514892160219</v>
      </c>
      <c r="AB130" s="16">
        <f>VLOOKUP(E130,Priors!$A$3:$C$6,2,FALSE)</f>
        <v>0.15714383234350468</v>
      </c>
      <c r="AC130" s="16">
        <f>VLOOKUP(E130,Priors!$A$3:$C$6,3,FALSE)</f>
        <v>0.13222062939449797</v>
      </c>
      <c r="AD130" s="12">
        <f t="shared" ref="AD130:AD193" si="14">AA130*K130+(1-AA130)*AB130</f>
        <v>0.13698864510219264</v>
      </c>
      <c r="AE130" s="12">
        <f t="shared" ref="AE130:AE193" si="15">AA130*L130+(1-AA130)*AC130</f>
        <v>8.0698606434268377E-2</v>
      </c>
      <c r="AF130" s="17">
        <v>1</v>
      </c>
      <c r="AG130" s="17">
        <v>1</v>
      </c>
      <c r="AH130" s="16">
        <f>IFERROR(VLOOKUP(D130,Teams!$B$2:$I$21,7,FALSE),1)</f>
        <v>1</v>
      </c>
      <c r="AI130" s="12">
        <f t="shared" ref="AI130:AI193" si="16">AD130*AF130*AG130*AH130</f>
        <v>0.13698864510219264</v>
      </c>
      <c r="AJ130" s="12">
        <f t="shared" ref="AJ130:AJ193" si="17">AE130*AF130*AG130*AH130</f>
        <v>8.0698606434268377E-2</v>
      </c>
      <c r="AK130" s="6" t="s">
        <v>66</v>
      </c>
      <c r="AL130" s="18"/>
      <c r="AM130" s="23"/>
      <c r="AN130" s="24">
        <v>5.0000000000000001E-3</v>
      </c>
      <c r="AO130" s="25" t="b">
        <v>1</v>
      </c>
      <c r="AP130" s="23" t="s">
        <v>441</v>
      </c>
      <c r="AQ130" s="25" t="b">
        <v>0</v>
      </c>
      <c r="AR130" s="23"/>
      <c r="AS130" s="23" t="s">
        <v>68</v>
      </c>
    </row>
    <row r="131" spans="1:45" ht="60">
      <c r="A131" s="6">
        <v>130</v>
      </c>
      <c r="B131" s="6" t="s">
        <v>442</v>
      </c>
      <c r="C131" s="6" t="s">
        <v>443</v>
      </c>
      <c r="D131" s="6" t="s">
        <v>390</v>
      </c>
      <c r="E131" s="6" t="s">
        <v>9</v>
      </c>
      <c r="F131" s="9">
        <v>5</v>
      </c>
      <c r="G131" s="9">
        <v>5</v>
      </c>
      <c r="H131" s="10">
        <v>1901</v>
      </c>
      <c r="I131" s="11">
        <v>1.92</v>
      </c>
      <c r="J131" s="11">
        <v>1.86</v>
      </c>
      <c r="K131" s="12">
        <f t="shared" si="12"/>
        <v>9.0899526564965805E-2</v>
      </c>
      <c r="L131" s="12">
        <f t="shared" si="13"/>
        <v>8.8058916359810627E-2</v>
      </c>
      <c r="M131" s="10">
        <v>2</v>
      </c>
      <c r="N131" s="10">
        <v>4</v>
      </c>
      <c r="O131" s="10">
        <v>94</v>
      </c>
      <c r="P131" s="10">
        <v>3.6</v>
      </c>
      <c r="Q131" s="10">
        <v>23</v>
      </c>
      <c r="R131" s="11">
        <v>12.74</v>
      </c>
      <c r="S131" s="6"/>
      <c r="T131" s="6"/>
      <c r="U131" s="6"/>
      <c r="V131" s="7" t="b">
        <v>0</v>
      </c>
      <c r="W131" s="8">
        <f>IFERROR(VLOOKUP(D131,Teams!$B$2:$I$21,6,FALSE),"")</f>
        <v>0</v>
      </c>
      <c r="X131" s="2" t="s">
        <v>65</v>
      </c>
      <c r="Y131" s="13"/>
      <c r="Z131" s="14"/>
      <c r="AA131" s="15">
        <f>IFERROR(H131/(H131+Priors!$G$3),0)</f>
        <v>0.65529127886935534</v>
      </c>
      <c r="AB131" s="16">
        <f>VLOOKUP(E131,Priors!$A$3:$C$6,2,FALSE)</f>
        <v>6.0081391379341341E-2</v>
      </c>
      <c r="AC131" s="16">
        <f>VLOOKUP(E131,Priors!$A$3:$C$6,3,FALSE)</f>
        <v>5.9588191961478354E-2</v>
      </c>
      <c r="AD131" s="12">
        <f t="shared" si="14"/>
        <v>8.027624659749788E-2</v>
      </c>
      <c r="AE131" s="12">
        <f t="shared" si="15"/>
        <v>7.824480936279847E-2</v>
      </c>
      <c r="AF131" s="17">
        <v>1</v>
      </c>
      <c r="AG131" s="17">
        <v>1</v>
      </c>
      <c r="AH131" s="16">
        <f>IFERROR(VLOOKUP(D131,Teams!$B$2:$I$21,7,FALSE),1)</f>
        <v>1</v>
      </c>
      <c r="AI131" s="12">
        <f t="shared" si="16"/>
        <v>8.027624659749788E-2</v>
      </c>
      <c r="AJ131" s="12">
        <f t="shared" si="17"/>
        <v>7.824480936279847E-2</v>
      </c>
      <c r="AK131" s="6" t="s">
        <v>66</v>
      </c>
      <c r="AL131" s="18"/>
      <c r="AM131" s="23"/>
      <c r="AN131" s="24">
        <v>3.0000000000000001E-3</v>
      </c>
      <c r="AO131" s="25" t="b">
        <v>1</v>
      </c>
      <c r="AP131" s="23" t="s">
        <v>444</v>
      </c>
      <c r="AQ131" s="25" t="b">
        <v>0</v>
      </c>
      <c r="AR131" s="23"/>
      <c r="AS131" s="23" t="s">
        <v>68</v>
      </c>
    </row>
    <row r="132" spans="1:45" ht="60">
      <c r="A132" s="6">
        <v>131</v>
      </c>
      <c r="B132" s="6" t="s">
        <v>445</v>
      </c>
      <c r="C132" s="6" t="s">
        <v>446</v>
      </c>
      <c r="D132" s="6" t="s">
        <v>390</v>
      </c>
      <c r="E132" s="6" t="s">
        <v>11</v>
      </c>
      <c r="F132" s="9">
        <v>5</v>
      </c>
      <c r="G132" s="9">
        <v>5</v>
      </c>
      <c r="H132" s="10">
        <v>1646</v>
      </c>
      <c r="I132" s="11">
        <v>0.78</v>
      </c>
      <c r="J132" s="11">
        <v>0.72</v>
      </c>
      <c r="K132" s="12">
        <f t="shared" si="12"/>
        <v>4.2648845686512761E-2</v>
      </c>
      <c r="L132" s="12">
        <f t="shared" si="13"/>
        <v>3.9368165249088698E-2</v>
      </c>
      <c r="M132" s="10">
        <v>0</v>
      </c>
      <c r="N132" s="10">
        <v>0</v>
      </c>
      <c r="O132" s="10">
        <v>56</v>
      </c>
      <c r="P132" s="10">
        <v>1.8</v>
      </c>
      <c r="Q132" s="10">
        <v>23</v>
      </c>
      <c r="R132" s="11">
        <v>11.43</v>
      </c>
      <c r="S132" s="6"/>
      <c r="T132" s="6"/>
      <c r="U132" s="6"/>
      <c r="V132" s="7" t="b">
        <v>0</v>
      </c>
      <c r="W132" s="8">
        <f>IFERROR(VLOOKUP(D132,Teams!$B$2:$I$21,6,FALSE),"")</f>
        <v>0</v>
      </c>
      <c r="X132" s="2" t="s">
        <v>65</v>
      </c>
      <c r="Y132" s="13"/>
      <c r="Z132" s="14"/>
      <c r="AA132" s="15">
        <f>IFERROR(H132/(H132+Priors!$G$3),0)</f>
        <v>0.62207105064247925</v>
      </c>
      <c r="AB132" s="16">
        <f>VLOOKUP(E132,Priors!$A$3:$C$6,2,FALSE)</f>
        <v>0.15714383234350468</v>
      </c>
      <c r="AC132" s="16">
        <f>VLOOKUP(E132,Priors!$A$3:$C$6,3,FALSE)</f>
        <v>0.13222062939449797</v>
      </c>
      <c r="AD132" s="12">
        <f t="shared" si="14"/>
        <v>8.5919815700493077E-2</v>
      </c>
      <c r="AE132" s="12">
        <f t="shared" si="15"/>
        <v>7.4459799468820087E-2</v>
      </c>
      <c r="AF132" s="17">
        <v>1</v>
      </c>
      <c r="AG132" s="17">
        <v>1</v>
      </c>
      <c r="AH132" s="16">
        <f>IFERROR(VLOOKUP(D132,Teams!$B$2:$I$21,7,FALSE),1)</f>
        <v>1</v>
      </c>
      <c r="AI132" s="12">
        <f t="shared" si="16"/>
        <v>8.5919815700493077E-2</v>
      </c>
      <c r="AJ132" s="12">
        <f t="shared" si="17"/>
        <v>7.4459799468820087E-2</v>
      </c>
      <c r="AK132" s="6" t="s">
        <v>66</v>
      </c>
      <c r="AL132" s="18"/>
      <c r="AM132" s="23"/>
      <c r="AN132" s="24">
        <v>6.0000000000000001E-3</v>
      </c>
      <c r="AO132" s="25" t="b">
        <v>1</v>
      </c>
      <c r="AP132" s="23" t="s">
        <v>447</v>
      </c>
      <c r="AQ132" s="25" t="b">
        <v>0</v>
      </c>
      <c r="AR132" s="23"/>
      <c r="AS132" s="23" t="s">
        <v>68</v>
      </c>
    </row>
    <row r="133" spans="1:45" ht="60">
      <c r="A133" s="6">
        <v>132</v>
      </c>
      <c r="B133" s="6" t="s">
        <v>448</v>
      </c>
      <c r="C133" s="6" t="s">
        <v>449</v>
      </c>
      <c r="D133" s="6" t="s">
        <v>390</v>
      </c>
      <c r="E133" s="6" t="s">
        <v>11</v>
      </c>
      <c r="F133" s="9">
        <v>4.5</v>
      </c>
      <c r="G133" s="9">
        <v>4.5</v>
      </c>
      <c r="H133" s="10">
        <v>92</v>
      </c>
      <c r="I133" s="11">
        <v>0</v>
      </c>
      <c r="J133" s="11">
        <v>0.03</v>
      </c>
      <c r="K133" s="12">
        <f t="shared" si="12"/>
        <v>0</v>
      </c>
      <c r="L133" s="12">
        <f t="shared" si="13"/>
        <v>2.9347826086956519E-2</v>
      </c>
      <c r="M133" s="10">
        <v>0</v>
      </c>
      <c r="N133" s="10">
        <v>0</v>
      </c>
      <c r="O133" s="10">
        <v>4</v>
      </c>
      <c r="P133" s="10">
        <v>1.3</v>
      </c>
      <c r="Q133" s="10">
        <v>1</v>
      </c>
      <c r="R133" s="11">
        <v>6.85</v>
      </c>
      <c r="S133" s="6"/>
      <c r="T133" s="6"/>
      <c r="U133" s="6"/>
      <c r="V133" s="7" t="b">
        <v>1</v>
      </c>
      <c r="W133" s="8">
        <f>IFERROR(VLOOKUP(D133,Teams!$B$2:$I$21,6,FALSE),"")</f>
        <v>0</v>
      </c>
      <c r="X133" s="2" t="s">
        <v>65</v>
      </c>
      <c r="Y133" s="13"/>
      <c r="Z133" s="14"/>
      <c r="AA133" s="15">
        <f>IFERROR(H133/(H133+Priors!$G$3),0)</f>
        <v>8.4249084249084255E-2</v>
      </c>
      <c r="AB133" s="16">
        <f>VLOOKUP(E133,Priors!$A$3:$C$6,2,FALSE)</f>
        <v>0.15714383234350468</v>
      </c>
      <c r="AC133" s="16">
        <f>VLOOKUP(E133,Priors!$A$3:$C$6,3,FALSE)</f>
        <v>0.13222062939449797</v>
      </c>
      <c r="AD133" s="12">
        <f t="shared" si="14"/>
        <v>0.14390460837317279</v>
      </c>
      <c r="AE133" s="12">
        <f t="shared" si="15"/>
        <v>0.12355368992170143</v>
      </c>
      <c r="AF133" s="17">
        <v>1</v>
      </c>
      <c r="AG133" s="17">
        <v>1</v>
      </c>
      <c r="AH133" s="16">
        <f>IFERROR(VLOOKUP(D133,Teams!$B$2:$I$21,7,FALSE),1)</f>
        <v>1</v>
      </c>
      <c r="AI133" s="12">
        <f t="shared" si="16"/>
        <v>0.14390460837317279</v>
      </c>
      <c r="AJ133" s="12">
        <f t="shared" si="17"/>
        <v>0.12355368992170143</v>
      </c>
      <c r="AK133" s="6" t="s">
        <v>66</v>
      </c>
      <c r="AL133" s="18"/>
      <c r="AM133" s="23"/>
      <c r="AN133" s="24">
        <v>3.0000000000000001E-3</v>
      </c>
      <c r="AO133" s="25" t="b">
        <v>1</v>
      </c>
      <c r="AP133" s="23" t="s">
        <v>65</v>
      </c>
      <c r="AQ133" s="25" t="b">
        <v>0</v>
      </c>
      <c r="AR133" s="23"/>
      <c r="AS133" s="23" t="s">
        <v>68</v>
      </c>
    </row>
    <row r="134" spans="1:45" ht="60">
      <c r="A134" s="6">
        <v>133</v>
      </c>
      <c r="B134" s="6" t="s">
        <v>450</v>
      </c>
      <c r="C134" s="6" t="s">
        <v>451</v>
      </c>
      <c r="D134" s="6" t="s">
        <v>390</v>
      </c>
      <c r="E134" s="6" t="s">
        <v>11</v>
      </c>
      <c r="F134" s="9">
        <v>5</v>
      </c>
      <c r="G134" s="9">
        <v>5</v>
      </c>
      <c r="H134" s="10">
        <v>57</v>
      </c>
      <c r="I134" s="11">
        <v>0.04</v>
      </c>
      <c r="J134" s="11">
        <v>0.03</v>
      </c>
      <c r="K134" s="12">
        <f t="shared" si="12"/>
        <v>6.3157894736842107E-2</v>
      </c>
      <c r="L134" s="12">
        <f t="shared" si="13"/>
        <v>4.7368421052631574E-2</v>
      </c>
      <c r="M134" s="10">
        <v>0</v>
      </c>
      <c r="N134" s="10">
        <v>0</v>
      </c>
      <c r="O134" s="10">
        <v>5</v>
      </c>
      <c r="P134" s="10">
        <v>0.8</v>
      </c>
      <c r="Q134" s="10">
        <v>0</v>
      </c>
      <c r="R134" s="11">
        <v>7.89</v>
      </c>
      <c r="S134" s="6"/>
      <c r="T134" s="6"/>
      <c r="U134" s="6"/>
      <c r="V134" s="7" t="b">
        <v>0</v>
      </c>
      <c r="W134" s="8">
        <f>IFERROR(VLOOKUP(D134,Teams!$B$2:$I$21,6,FALSE),"")</f>
        <v>0</v>
      </c>
      <c r="X134" s="2" t="s">
        <v>65</v>
      </c>
      <c r="Y134" s="13"/>
      <c r="Z134" s="14"/>
      <c r="AA134" s="15">
        <f>IFERROR(H134/(H134+Priors!$G$3),0)</f>
        <v>5.392620624408704E-2</v>
      </c>
      <c r="AB134" s="16">
        <f>VLOOKUP(E134,Priors!$A$3:$C$6,2,FALSE)</f>
        <v>0.15714383234350468</v>
      </c>
      <c r="AC134" s="16">
        <f>VLOOKUP(E134,Priors!$A$3:$C$6,3,FALSE)</f>
        <v>0.13222062939449797</v>
      </c>
      <c r="AD134" s="12">
        <f t="shared" si="14"/>
        <v>0.15207552728808391</v>
      </c>
      <c r="AE134" s="12">
        <f t="shared" si="15"/>
        <v>0.12764487170718825</v>
      </c>
      <c r="AF134" s="17">
        <v>1</v>
      </c>
      <c r="AG134" s="17">
        <v>1</v>
      </c>
      <c r="AH134" s="16">
        <f>IFERROR(VLOOKUP(D134,Teams!$B$2:$I$21,7,FALSE),1)</f>
        <v>1</v>
      </c>
      <c r="AI134" s="12">
        <f t="shared" si="16"/>
        <v>0.15207552728808391</v>
      </c>
      <c r="AJ134" s="12">
        <f t="shared" si="17"/>
        <v>0.12764487170718825</v>
      </c>
      <c r="AK134" s="6" t="s">
        <v>368</v>
      </c>
      <c r="AL134" s="18">
        <v>0</v>
      </c>
      <c r="AM134" s="23" t="s">
        <v>452</v>
      </c>
      <c r="AN134" s="24">
        <v>0</v>
      </c>
      <c r="AO134" s="25" t="b">
        <v>0</v>
      </c>
      <c r="AP134" s="23" t="s">
        <v>453</v>
      </c>
      <c r="AQ134" s="25" t="b">
        <v>0</v>
      </c>
      <c r="AR134" s="23"/>
      <c r="AS134" s="23" t="s">
        <v>68</v>
      </c>
    </row>
    <row r="135" spans="1:45" ht="60">
      <c r="A135" s="6">
        <v>134</v>
      </c>
      <c r="B135" s="6" t="s">
        <v>454</v>
      </c>
      <c r="C135" s="6" t="s">
        <v>455</v>
      </c>
      <c r="D135" s="6" t="s">
        <v>390</v>
      </c>
      <c r="E135" s="6" t="s">
        <v>11</v>
      </c>
      <c r="F135" s="9">
        <v>4.5</v>
      </c>
      <c r="G135" s="9">
        <v>4.5</v>
      </c>
      <c r="H135" s="10">
        <v>1</v>
      </c>
      <c r="I135" s="11">
        <v>0</v>
      </c>
      <c r="J135" s="11">
        <v>0</v>
      </c>
      <c r="K135" s="12">
        <f t="shared" si="12"/>
        <v>0</v>
      </c>
      <c r="L135" s="12">
        <f t="shared" si="13"/>
        <v>0</v>
      </c>
      <c r="M135" s="10">
        <v>0</v>
      </c>
      <c r="N135" s="10">
        <v>0</v>
      </c>
      <c r="O135" s="10">
        <v>1</v>
      </c>
      <c r="P135" s="10">
        <v>1</v>
      </c>
      <c r="Q135" s="10">
        <v>0</v>
      </c>
      <c r="R135" s="11">
        <v>0</v>
      </c>
      <c r="S135" s="6"/>
      <c r="T135" s="6"/>
      <c r="U135" s="6"/>
      <c r="V135" s="7" t="b">
        <v>1</v>
      </c>
      <c r="W135" s="8">
        <f>IFERROR(VLOOKUP(D135,Teams!$B$2:$I$21,6,FALSE),"")</f>
        <v>0</v>
      </c>
      <c r="X135" s="2" t="s">
        <v>65</v>
      </c>
      <c r="Y135" s="13"/>
      <c r="Z135" s="14"/>
      <c r="AA135" s="15">
        <f>IFERROR(H135/(H135+Priors!$G$3),0)</f>
        <v>9.99000999000999E-4</v>
      </c>
      <c r="AB135" s="16">
        <f>VLOOKUP(E135,Priors!$A$3:$C$6,2,FALSE)</f>
        <v>0.15714383234350468</v>
      </c>
      <c r="AC135" s="16">
        <f>VLOOKUP(E135,Priors!$A$3:$C$6,3,FALSE)</f>
        <v>0.13222062939449797</v>
      </c>
      <c r="AD135" s="12">
        <f t="shared" si="14"/>
        <v>0.15698684549800668</v>
      </c>
      <c r="AE135" s="12">
        <f t="shared" si="15"/>
        <v>0.13208854085364433</v>
      </c>
      <c r="AF135" s="17">
        <v>1</v>
      </c>
      <c r="AG135" s="17">
        <v>1</v>
      </c>
      <c r="AH135" s="16">
        <f>IFERROR(VLOOKUP(D135,Teams!$B$2:$I$21,7,FALSE),1)</f>
        <v>1</v>
      </c>
      <c r="AI135" s="12">
        <f t="shared" si="16"/>
        <v>0.15698684549800668</v>
      </c>
      <c r="AJ135" s="12">
        <f t="shared" si="17"/>
        <v>0.13208854085364433</v>
      </c>
      <c r="AK135" s="6" t="s">
        <v>66</v>
      </c>
      <c r="AL135" s="18"/>
      <c r="AM135" s="23"/>
      <c r="AN135" s="24">
        <v>2E-3</v>
      </c>
      <c r="AO135" s="25" t="b">
        <v>1</v>
      </c>
      <c r="AP135" s="23" t="s">
        <v>65</v>
      </c>
      <c r="AQ135" s="25" t="b">
        <v>0</v>
      </c>
      <c r="AR135" s="23"/>
      <c r="AS135" s="23" t="s">
        <v>68</v>
      </c>
    </row>
    <row r="136" spans="1:45" ht="60">
      <c r="A136" s="6">
        <v>135</v>
      </c>
      <c r="B136" s="6" t="s">
        <v>456</v>
      </c>
      <c r="C136" s="6" t="s">
        <v>457</v>
      </c>
      <c r="D136" s="6" t="s">
        <v>390</v>
      </c>
      <c r="E136" s="6" t="s">
        <v>11</v>
      </c>
      <c r="F136" s="9">
        <v>5</v>
      </c>
      <c r="G136" s="9">
        <v>5</v>
      </c>
      <c r="H136" s="10">
        <v>0</v>
      </c>
      <c r="I136" s="11">
        <v>0</v>
      </c>
      <c r="J136" s="11">
        <v>0</v>
      </c>
      <c r="K136" s="12">
        <f t="shared" si="12"/>
        <v>0</v>
      </c>
      <c r="L136" s="12">
        <f t="shared" si="13"/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1">
        <v>0</v>
      </c>
      <c r="S136" s="6"/>
      <c r="T136" s="6"/>
      <c r="U136" s="6"/>
      <c r="V136" s="7" t="b">
        <v>1</v>
      </c>
      <c r="W136" s="8">
        <f>IFERROR(VLOOKUP(D136,Teams!$B$2:$I$21,6,FALSE),"")</f>
        <v>0</v>
      </c>
      <c r="X136" s="2" t="s">
        <v>65</v>
      </c>
      <c r="Y136" s="13"/>
      <c r="Z136" s="14"/>
      <c r="AA136" s="15">
        <f>IFERROR(H136/(H136+Priors!$G$3),0)</f>
        <v>0</v>
      </c>
      <c r="AB136" s="16">
        <f>VLOOKUP(E136,Priors!$A$3:$C$6,2,FALSE)</f>
        <v>0.15714383234350468</v>
      </c>
      <c r="AC136" s="16">
        <f>VLOOKUP(E136,Priors!$A$3:$C$6,3,FALSE)</f>
        <v>0.13222062939449797</v>
      </c>
      <c r="AD136" s="12">
        <f t="shared" si="14"/>
        <v>0.15714383234350468</v>
      </c>
      <c r="AE136" s="12">
        <f t="shared" si="15"/>
        <v>0.13222062939449797</v>
      </c>
      <c r="AF136" s="17">
        <v>1</v>
      </c>
      <c r="AG136" s="17">
        <v>1</v>
      </c>
      <c r="AH136" s="16">
        <f>IFERROR(VLOOKUP(D136,Teams!$B$2:$I$21,7,FALSE),1)</f>
        <v>1</v>
      </c>
      <c r="AI136" s="12">
        <f t="shared" si="16"/>
        <v>0.15714383234350468</v>
      </c>
      <c r="AJ136" s="12">
        <f t="shared" si="17"/>
        <v>0.13222062939449797</v>
      </c>
      <c r="AK136" s="6" t="s">
        <v>66</v>
      </c>
      <c r="AL136" s="18"/>
      <c r="AM136" s="23"/>
      <c r="AN136" s="24">
        <v>1E-3</v>
      </c>
      <c r="AO136" s="25" t="b">
        <v>1</v>
      </c>
      <c r="AP136" s="23" t="s">
        <v>345</v>
      </c>
      <c r="AQ136" s="25" t="b">
        <v>0</v>
      </c>
      <c r="AR136" s="23"/>
      <c r="AS136" s="23" t="s">
        <v>68</v>
      </c>
    </row>
    <row r="137" spans="1:45" ht="60">
      <c r="A137" s="6">
        <v>137</v>
      </c>
      <c r="B137" s="6" t="s">
        <v>458</v>
      </c>
      <c r="C137" s="6" t="s">
        <v>459</v>
      </c>
      <c r="D137" s="6" t="s">
        <v>390</v>
      </c>
      <c r="E137" s="6" t="s">
        <v>14</v>
      </c>
      <c r="F137" s="9">
        <v>5.5</v>
      </c>
      <c r="G137" s="9">
        <v>5.5</v>
      </c>
      <c r="H137" s="10">
        <v>132</v>
      </c>
      <c r="I137" s="11">
        <v>0.44</v>
      </c>
      <c r="J137" s="11">
        <v>0.11</v>
      </c>
      <c r="K137" s="12">
        <f t="shared" si="12"/>
        <v>0.3</v>
      </c>
      <c r="L137" s="12">
        <f t="shared" si="13"/>
        <v>7.4999999999999997E-2</v>
      </c>
      <c r="M137" s="10">
        <v>1</v>
      </c>
      <c r="N137" s="10">
        <v>1</v>
      </c>
      <c r="O137" s="10">
        <v>16</v>
      </c>
      <c r="P137" s="10">
        <v>1.8</v>
      </c>
      <c r="Q137" s="10">
        <v>1</v>
      </c>
      <c r="R137" s="11">
        <v>10.23</v>
      </c>
      <c r="S137" s="6"/>
      <c r="T137" s="6"/>
      <c r="U137" s="6"/>
      <c r="V137" s="7" t="b">
        <v>0</v>
      </c>
      <c r="W137" s="8">
        <f>IFERROR(VLOOKUP(D137,Teams!$B$2:$I$21,6,FALSE),"")</f>
        <v>0</v>
      </c>
      <c r="X137" s="2" t="s">
        <v>65</v>
      </c>
      <c r="Y137" s="13"/>
      <c r="Z137" s="14"/>
      <c r="AA137" s="15">
        <f>IFERROR(H137/(H137+Priors!$G$3),0)</f>
        <v>0.1166077738515901</v>
      </c>
      <c r="AB137" s="16">
        <f>VLOOKUP(E137,Priors!$A$3:$C$6,2,FALSE)</f>
        <v>0.44625207326425426</v>
      </c>
      <c r="AC137" s="16">
        <f>VLOOKUP(E137,Priors!$A$3:$C$6,3,FALSE)</f>
        <v>5.8217260259314105E-2</v>
      </c>
      <c r="AD137" s="12">
        <f t="shared" si="14"/>
        <v>0.42919794457972993</v>
      </c>
      <c r="AE137" s="12">
        <f t="shared" si="15"/>
        <v>6.0174258179606102E-2</v>
      </c>
      <c r="AF137" s="17">
        <v>1</v>
      </c>
      <c r="AG137" s="17">
        <v>1</v>
      </c>
      <c r="AH137" s="16">
        <f>IFERROR(VLOOKUP(D137,Teams!$B$2:$I$21,7,FALSE),1)</f>
        <v>1</v>
      </c>
      <c r="AI137" s="12">
        <f t="shared" si="16"/>
        <v>0.42919794457972993</v>
      </c>
      <c r="AJ137" s="12">
        <f t="shared" si="17"/>
        <v>6.0174258179606102E-2</v>
      </c>
      <c r="AK137" s="6" t="s">
        <v>204</v>
      </c>
      <c r="AL137" s="18">
        <v>75</v>
      </c>
      <c r="AM137" s="23" t="s">
        <v>205</v>
      </c>
      <c r="AN137" s="24">
        <v>0</v>
      </c>
      <c r="AO137" s="25" t="b">
        <v>1</v>
      </c>
      <c r="AP137" s="23" t="s">
        <v>460</v>
      </c>
      <c r="AQ137" s="25" t="b">
        <v>0</v>
      </c>
      <c r="AR137" s="23"/>
      <c r="AS137" s="23" t="s">
        <v>68</v>
      </c>
    </row>
    <row r="138" spans="1:45" ht="60">
      <c r="A138" s="6">
        <v>138</v>
      </c>
      <c r="B138" s="6" t="s">
        <v>461</v>
      </c>
      <c r="C138" s="6" t="s">
        <v>462</v>
      </c>
      <c r="D138" s="6" t="s">
        <v>390</v>
      </c>
      <c r="E138" s="6" t="s">
        <v>14</v>
      </c>
      <c r="F138" s="9">
        <v>5.5</v>
      </c>
      <c r="G138" s="9">
        <v>5.5</v>
      </c>
      <c r="H138" s="10">
        <v>351</v>
      </c>
      <c r="I138" s="11">
        <v>2.12</v>
      </c>
      <c r="J138" s="11">
        <v>0.54</v>
      </c>
      <c r="K138" s="12">
        <f t="shared" si="12"/>
        <v>0.54358974358974366</v>
      </c>
      <c r="L138" s="12">
        <f t="shared" si="13"/>
        <v>0.13846153846153847</v>
      </c>
      <c r="M138" s="10">
        <v>2</v>
      </c>
      <c r="N138" s="10">
        <v>1</v>
      </c>
      <c r="O138" s="10">
        <v>35</v>
      </c>
      <c r="P138" s="10">
        <v>1.7</v>
      </c>
      <c r="Q138" s="10">
        <v>2</v>
      </c>
      <c r="R138" s="11">
        <v>10.51</v>
      </c>
      <c r="S138" s="6"/>
      <c r="T138" s="6"/>
      <c r="U138" s="6"/>
      <c r="V138" s="7" t="b">
        <v>0</v>
      </c>
      <c r="W138" s="8">
        <f>IFERROR(VLOOKUP(D138,Teams!$B$2:$I$21,6,FALSE),"")</f>
        <v>0</v>
      </c>
      <c r="X138" s="2" t="s">
        <v>65</v>
      </c>
      <c r="Y138" s="13"/>
      <c r="Z138" s="14"/>
      <c r="AA138" s="15">
        <f>IFERROR(H138/(H138+Priors!$G$3),0)</f>
        <v>0.25980754996299038</v>
      </c>
      <c r="AB138" s="16">
        <f>VLOOKUP(E138,Priors!$A$3:$C$6,2,FALSE)</f>
        <v>0.44625207326425426</v>
      </c>
      <c r="AC138" s="16">
        <f>VLOOKUP(E138,Priors!$A$3:$C$6,3,FALSE)</f>
        <v>5.8217260259314105E-2</v>
      </c>
      <c r="AD138" s="12">
        <f t="shared" si="14"/>
        <v>0.47154113491062494</v>
      </c>
      <c r="AE138" s="12">
        <f t="shared" si="15"/>
        <v>7.906532957758261E-2</v>
      </c>
      <c r="AF138" s="17">
        <v>1</v>
      </c>
      <c r="AG138" s="17">
        <v>1</v>
      </c>
      <c r="AH138" s="16">
        <f>IFERROR(VLOOKUP(D138,Teams!$B$2:$I$21,7,FALSE),1)</f>
        <v>1</v>
      </c>
      <c r="AI138" s="12">
        <f t="shared" si="16"/>
        <v>0.47154113491062494</v>
      </c>
      <c r="AJ138" s="12">
        <f t="shared" si="17"/>
        <v>7.906532957758261E-2</v>
      </c>
      <c r="AK138" s="6" t="s">
        <v>66</v>
      </c>
      <c r="AL138" s="18"/>
      <c r="AM138" s="23"/>
      <c r="AN138" s="24">
        <v>3.0000000000000001E-3</v>
      </c>
      <c r="AO138" s="25" t="b">
        <v>1</v>
      </c>
      <c r="AP138" s="23" t="s">
        <v>71</v>
      </c>
      <c r="AQ138" s="25" t="b">
        <v>0</v>
      </c>
      <c r="AR138" s="23"/>
      <c r="AS138" s="23" t="s">
        <v>68</v>
      </c>
    </row>
    <row r="139" spans="1:45" ht="60">
      <c r="A139" s="6">
        <v>139</v>
      </c>
      <c r="B139" s="6" t="s">
        <v>463</v>
      </c>
      <c r="C139" s="6" t="s">
        <v>464</v>
      </c>
      <c r="D139" s="6" t="s">
        <v>390</v>
      </c>
      <c r="E139" s="6" t="s">
        <v>14</v>
      </c>
      <c r="F139" s="9">
        <v>5</v>
      </c>
      <c r="G139" s="9">
        <v>5</v>
      </c>
      <c r="H139" s="10">
        <v>0</v>
      </c>
      <c r="I139" s="11">
        <v>0</v>
      </c>
      <c r="J139" s="11">
        <v>0</v>
      </c>
      <c r="K139" s="12">
        <f t="shared" si="12"/>
        <v>0</v>
      </c>
      <c r="L139" s="12">
        <f t="shared" si="13"/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1">
        <v>0</v>
      </c>
      <c r="S139" s="6"/>
      <c r="T139" s="6"/>
      <c r="U139" s="6"/>
      <c r="V139" s="7" t="b">
        <v>0</v>
      </c>
      <c r="W139" s="8">
        <f>IFERROR(VLOOKUP(D139,Teams!$B$2:$I$21,6,FALSE),"")</f>
        <v>0</v>
      </c>
      <c r="X139" s="2" t="s">
        <v>65</v>
      </c>
      <c r="Y139" s="13"/>
      <c r="Z139" s="14"/>
      <c r="AA139" s="15">
        <f>IFERROR(H139/(H139+Priors!$G$3),0)</f>
        <v>0</v>
      </c>
      <c r="AB139" s="16">
        <f>VLOOKUP(E139,Priors!$A$3:$C$6,2,FALSE)</f>
        <v>0.44625207326425426</v>
      </c>
      <c r="AC139" s="16">
        <f>VLOOKUP(E139,Priors!$A$3:$C$6,3,FALSE)</f>
        <v>5.8217260259314105E-2</v>
      </c>
      <c r="AD139" s="12">
        <f t="shared" si="14"/>
        <v>0.44625207326425426</v>
      </c>
      <c r="AE139" s="12">
        <f t="shared" si="15"/>
        <v>5.8217260259314105E-2</v>
      </c>
      <c r="AF139" s="17">
        <v>1</v>
      </c>
      <c r="AG139" s="17">
        <v>1</v>
      </c>
      <c r="AH139" s="16">
        <f>IFERROR(VLOOKUP(D139,Teams!$B$2:$I$21,7,FALSE),1)</f>
        <v>1</v>
      </c>
      <c r="AI139" s="12">
        <f t="shared" si="16"/>
        <v>0.44625207326425426</v>
      </c>
      <c r="AJ139" s="12">
        <f t="shared" si="17"/>
        <v>5.8217260259314105E-2</v>
      </c>
      <c r="AK139" s="6" t="s">
        <v>80</v>
      </c>
      <c r="AL139" s="18">
        <v>0</v>
      </c>
      <c r="AM139" s="23" t="s">
        <v>465</v>
      </c>
      <c r="AN139" s="24">
        <v>0</v>
      </c>
      <c r="AO139" s="25" t="b">
        <v>1</v>
      </c>
      <c r="AP139" s="23" t="s">
        <v>466</v>
      </c>
      <c r="AQ139" s="25" t="b">
        <v>0</v>
      </c>
      <c r="AR139" s="23"/>
      <c r="AS139" s="23" t="s">
        <v>68</v>
      </c>
    </row>
    <row r="140" spans="1:45" ht="60">
      <c r="A140" s="6">
        <v>328</v>
      </c>
      <c r="B140" s="6" t="s">
        <v>467</v>
      </c>
      <c r="C140" s="6" t="s">
        <v>468</v>
      </c>
      <c r="D140" s="6" t="s">
        <v>390</v>
      </c>
      <c r="E140" s="6" t="s">
        <v>9</v>
      </c>
      <c r="F140" s="9">
        <v>5</v>
      </c>
      <c r="G140" s="9">
        <v>5</v>
      </c>
      <c r="H140" s="10">
        <v>2935</v>
      </c>
      <c r="I140" s="11">
        <v>3.06</v>
      </c>
      <c r="J140" s="11">
        <v>0.76</v>
      </c>
      <c r="K140" s="12">
        <f t="shared" si="12"/>
        <v>9.3833049403747856E-2</v>
      </c>
      <c r="L140" s="12">
        <f t="shared" si="13"/>
        <v>2.3304940374787055E-2</v>
      </c>
      <c r="M140" s="10">
        <v>0</v>
      </c>
      <c r="N140" s="10">
        <v>1</v>
      </c>
      <c r="O140" s="10">
        <v>108</v>
      </c>
      <c r="P140" s="10">
        <v>3.2</v>
      </c>
      <c r="Q140" s="10">
        <v>33</v>
      </c>
      <c r="R140" s="11">
        <v>9.11</v>
      </c>
      <c r="S140" s="6"/>
      <c r="T140" s="6"/>
      <c r="U140" s="6"/>
      <c r="V140" s="7" t="b">
        <v>1</v>
      </c>
      <c r="W140" s="8">
        <f>IFERROR(VLOOKUP(D140,Teams!$B$2:$I$21,6,FALSE),"")</f>
        <v>0</v>
      </c>
      <c r="X140" s="2" t="s">
        <v>65</v>
      </c>
      <c r="Y140" s="13"/>
      <c r="Z140" s="14"/>
      <c r="AA140" s="15">
        <f>IFERROR(H140/(H140+Priors!$G$3),0)</f>
        <v>0.74587039390088949</v>
      </c>
      <c r="AB140" s="16">
        <f>VLOOKUP(E140,Priors!$A$3:$C$6,2,FALSE)</f>
        <v>6.0081391379341341E-2</v>
      </c>
      <c r="AC140" s="16">
        <f>VLOOKUP(E140,Priors!$A$3:$C$6,3,FALSE)</f>
        <v>5.9588191961478354E-2</v>
      </c>
      <c r="AD140" s="12">
        <f t="shared" si="14"/>
        <v>8.5255753844813556E-2</v>
      </c>
      <c r="AE140" s="12">
        <f t="shared" si="15"/>
        <v>3.2525588808507838E-2</v>
      </c>
      <c r="AF140" s="17">
        <v>1</v>
      </c>
      <c r="AG140" s="17">
        <v>1</v>
      </c>
      <c r="AH140" s="16">
        <f>IFERROR(VLOOKUP(D140,Teams!$B$2:$I$21,7,FALSE),1)</f>
        <v>1</v>
      </c>
      <c r="AI140" s="12">
        <f t="shared" si="16"/>
        <v>8.5255753844813556E-2</v>
      </c>
      <c r="AJ140" s="12">
        <f t="shared" si="17"/>
        <v>3.2525588808507838E-2</v>
      </c>
      <c r="AK140" s="6" t="s">
        <v>66</v>
      </c>
      <c r="AL140" s="18"/>
      <c r="AM140" s="23"/>
      <c r="AN140" s="24">
        <v>5.0000000000000001E-3</v>
      </c>
      <c r="AO140" s="25" t="b">
        <v>1</v>
      </c>
      <c r="AP140" s="23" t="s">
        <v>469</v>
      </c>
      <c r="AQ140" s="25" t="b">
        <v>0</v>
      </c>
      <c r="AR140" s="23"/>
      <c r="AS140" s="23" t="s">
        <v>68</v>
      </c>
    </row>
    <row r="141" spans="1:45" ht="60">
      <c r="A141" s="6">
        <v>504</v>
      </c>
      <c r="B141" s="6" t="s">
        <v>470</v>
      </c>
      <c r="C141" s="6" t="s">
        <v>471</v>
      </c>
      <c r="D141" s="6" t="s">
        <v>390</v>
      </c>
      <c r="E141" s="6" t="s">
        <v>9</v>
      </c>
      <c r="F141" s="9">
        <v>5</v>
      </c>
      <c r="G141" s="9">
        <v>5</v>
      </c>
      <c r="H141" s="10">
        <v>0</v>
      </c>
      <c r="I141" s="11">
        <v>0</v>
      </c>
      <c r="J141" s="11">
        <v>0</v>
      </c>
      <c r="K141" s="12">
        <f t="shared" si="12"/>
        <v>0</v>
      </c>
      <c r="L141" s="12">
        <f t="shared" si="13"/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1">
        <v>0</v>
      </c>
      <c r="S141" s="6"/>
      <c r="T141" s="6"/>
      <c r="U141" s="6"/>
      <c r="V141" s="7" t="b">
        <v>1</v>
      </c>
      <c r="W141" s="8">
        <f>IFERROR(VLOOKUP(D141,Teams!$B$2:$I$21,6,FALSE),"")</f>
        <v>0</v>
      </c>
      <c r="X141" s="2" t="s">
        <v>65</v>
      </c>
      <c r="Y141" s="13"/>
      <c r="Z141" s="14"/>
      <c r="AA141" s="15">
        <f>IFERROR(H141/(H141+Priors!$G$3),0)</f>
        <v>0</v>
      </c>
      <c r="AB141" s="16">
        <f>VLOOKUP(E141,Priors!$A$3:$C$6,2,FALSE)</f>
        <v>6.0081391379341341E-2</v>
      </c>
      <c r="AC141" s="16">
        <f>VLOOKUP(E141,Priors!$A$3:$C$6,3,FALSE)</f>
        <v>5.9588191961478354E-2</v>
      </c>
      <c r="AD141" s="12">
        <f t="shared" si="14"/>
        <v>6.0081391379341341E-2</v>
      </c>
      <c r="AE141" s="12">
        <f t="shared" si="15"/>
        <v>5.9588191961478354E-2</v>
      </c>
      <c r="AF141" s="17">
        <v>1</v>
      </c>
      <c r="AG141" s="17">
        <v>1</v>
      </c>
      <c r="AH141" s="16">
        <f>IFERROR(VLOOKUP(D141,Teams!$B$2:$I$21,7,FALSE),1)</f>
        <v>1</v>
      </c>
      <c r="AI141" s="12">
        <f t="shared" si="16"/>
        <v>6.0081391379341341E-2</v>
      </c>
      <c r="AJ141" s="12">
        <f t="shared" si="17"/>
        <v>5.9588191961478354E-2</v>
      </c>
      <c r="AK141" s="6" t="s">
        <v>66</v>
      </c>
      <c r="AL141" s="18"/>
      <c r="AM141" s="23"/>
      <c r="AN141" s="24">
        <v>0.03</v>
      </c>
      <c r="AO141" s="25" t="b">
        <v>1</v>
      </c>
      <c r="AP141" s="23" t="s">
        <v>306</v>
      </c>
      <c r="AQ141" s="25" t="b">
        <v>0</v>
      </c>
      <c r="AR141" s="23"/>
      <c r="AS141" s="23" t="s">
        <v>68</v>
      </c>
    </row>
    <row r="142" spans="1:45" ht="60">
      <c r="A142" s="6">
        <v>40</v>
      </c>
      <c r="B142" s="6" t="s">
        <v>472</v>
      </c>
      <c r="C142" s="6" t="s">
        <v>473</v>
      </c>
      <c r="D142" s="6" t="s">
        <v>474</v>
      </c>
      <c r="E142" s="6" t="s">
        <v>11</v>
      </c>
      <c r="F142" s="9">
        <v>7.5</v>
      </c>
      <c r="G142" s="9">
        <v>7.5</v>
      </c>
      <c r="H142" s="10">
        <v>3280</v>
      </c>
      <c r="I142" s="11">
        <v>6.84</v>
      </c>
      <c r="J142" s="11">
        <v>4.32</v>
      </c>
      <c r="K142" s="12">
        <f t="shared" si="12"/>
        <v>0.18768292682926829</v>
      </c>
      <c r="L142" s="12">
        <f t="shared" si="13"/>
        <v>0.11853658536585367</v>
      </c>
      <c r="M142" s="10">
        <v>10</v>
      </c>
      <c r="N142" s="10">
        <v>8</v>
      </c>
      <c r="O142" s="10">
        <v>169</v>
      </c>
      <c r="P142" s="10">
        <v>4.5999999999999996</v>
      </c>
      <c r="Q142" s="10">
        <v>37</v>
      </c>
      <c r="R142" s="11">
        <v>6.31</v>
      </c>
      <c r="S142" s="6"/>
      <c r="T142" s="6"/>
      <c r="U142" s="6"/>
      <c r="V142" s="7" t="b">
        <v>1</v>
      </c>
      <c r="W142" s="8">
        <f>IFERROR(VLOOKUP(D142,Teams!$B$2:$I$21,6,FALSE),"")</f>
        <v>0</v>
      </c>
      <c r="X142" s="2" t="s">
        <v>65</v>
      </c>
      <c r="Y142" s="13"/>
      <c r="Z142" s="14"/>
      <c r="AA142" s="15">
        <f>IFERROR(H142/(H142+Priors!$G$3),0)</f>
        <v>0.76635514018691586</v>
      </c>
      <c r="AB142" s="16">
        <f>VLOOKUP(E142,Priors!$A$3:$C$6,2,FALSE)</f>
        <v>0.15714383234350468</v>
      </c>
      <c r="AC142" s="16">
        <f>VLOOKUP(E142,Priors!$A$3:$C$6,3,FALSE)</f>
        <v>0.13222062939449797</v>
      </c>
      <c r="AD142" s="12">
        <f t="shared" si="14"/>
        <v>0.18054762437932353</v>
      </c>
      <c r="AE142" s="12">
        <f t="shared" si="15"/>
        <v>0.12173379191460235</v>
      </c>
      <c r="AF142" s="17">
        <v>1</v>
      </c>
      <c r="AG142" s="17">
        <v>1</v>
      </c>
      <c r="AH142" s="16">
        <f>IFERROR(VLOOKUP(D142,Teams!$B$2:$I$21,7,FALSE),1)</f>
        <v>1</v>
      </c>
      <c r="AI142" s="12">
        <f t="shared" si="16"/>
        <v>0.18054762437932353</v>
      </c>
      <c r="AJ142" s="12">
        <f t="shared" si="17"/>
        <v>0.12173379191460235</v>
      </c>
      <c r="AK142" s="6" t="s">
        <v>66</v>
      </c>
      <c r="AL142" s="18"/>
      <c r="AM142" s="23"/>
      <c r="AN142" s="24">
        <v>0.307</v>
      </c>
      <c r="AO142" s="25" t="b">
        <v>1</v>
      </c>
      <c r="AP142" s="23" t="s">
        <v>475</v>
      </c>
      <c r="AQ142" s="25" t="b">
        <v>0</v>
      </c>
      <c r="AR142" s="23"/>
      <c r="AS142" s="23" t="s">
        <v>68</v>
      </c>
    </row>
    <row r="143" spans="1:45" ht="60">
      <c r="A143" s="6">
        <v>136</v>
      </c>
      <c r="B143" s="6" t="s">
        <v>476</v>
      </c>
      <c r="C143" s="6" t="s">
        <v>477</v>
      </c>
      <c r="D143" s="6" t="s">
        <v>474</v>
      </c>
      <c r="E143" s="6" t="s">
        <v>14</v>
      </c>
      <c r="F143" s="9">
        <v>6</v>
      </c>
      <c r="G143" s="9">
        <v>6</v>
      </c>
      <c r="H143" s="10">
        <v>2249</v>
      </c>
      <c r="I143" s="11">
        <v>12.36</v>
      </c>
      <c r="J143" s="11">
        <v>1.4</v>
      </c>
      <c r="K143" s="12">
        <f t="shared" si="12"/>
        <v>0.49461983103601592</v>
      </c>
      <c r="L143" s="12">
        <f t="shared" si="13"/>
        <v>5.6024899955535785E-2</v>
      </c>
      <c r="M143" s="10">
        <v>13</v>
      </c>
      <c r="N143" s="10">
        <v>1</v>
      </c>
      <c r="O143" s="10">
        <v>126</v>
      </c>
      <c r="P143" s="10">
        <v>3.4</v>
      </c>
      <c r="Q143" s="10">
        <v>26</v>
      </c>
      <c r="R143" s="11">
        <v>4.4800000000000004</v>
      </c>
      <c r="S143" s="6"/>
      <c r="T143" s="6"/>
      <c r="U143" s="6"/>
      <c r="V143" s="7" t="b">
        <v>1</v>
      </c>
      <c r="W143" s="8">
        <f>IFERROR(VLOOKUP(D143,Teams!$B$2:$I$21,6,FALSE),"")</f>
        <v>0</v>
      </c>
      <c r="X143" s="2" t="s">
        <v>65</v>
      </c>
      <c r="Y143" s="13"/>
      <c r="Z143" s="14"/>
      <c r="AA143" s="15">
        <f>IFERROR(H143/(H143+Priors!$G$3),0)</f>
        <v>0.69221298861188063</v>
      </c>
      <c r="AB143" s="16">
        <f>VLOOKUP(E143,Priors!$A$3:$C$6,2,FALSE)</f>
        <v>0.44625207326425426</v>
      </c>
      <c r="AC143" s="16">
        <f>VLOOKUP(E143,Priors!$A$3:$C$6,3,FALSE)</f>
        <v>5.8217260259314105E-2</v>
      </c>
      <c r="AD143" s="12">
        <f t="shared" si="14"/>
        <v>0.47973286342390087</v>
      </c>
      <c r="AE143" s="12">
        <f t="shared" si="15"/>
        <v>5.6699679981321666E-2</v>
      </c>
      <c r="AF143" s="17">
        <v>1</v>
      </c>
      <c r="AG143" s="17">
        <v>1</v>
      </c>
      <c r="AH143" s="16">
        <f>IFERROR(VLOOKUP(D143,Teams!$B$2:$I$21,7,FALSE),1)</f>
        <v>1</v>
      </c>
      <c r="AI143" s="12">
        <f t="shared" si="16"/>
        <v>0.47973286342390087</v>
      </c>
      <c r="AJ143" s="12">
        <f t="shared" si="17"/>
        <v>5.6699679981321666E-2</v>
      </c>
      <c r="AK143" s="6" t="s">
        <v>66</v>
      </c>
      <c r="AL143" s="18"/>
      <c r="AM143" s="23"/>
      <c r="AN143" s="24">
        <v>2.7999999999999997E-2</v>
      </c>
      <c r="AO143" s="25" t="b">
        <v>1</v>
      </c>
      <c r="AP143" s="23" t="s">
        <v>309</v>
      </c>
      <c r="AQ143" s="25" t="b">
        <v>0</v>
      </c>
      <c r="AR143" s="23"/>
      <c r="AS143" s="23" t="s">
        <v>68</v>
      </c>
    </row>
    <row r="144" spans="1:45" ht="60">
      <c r="A144" s="6">
        <v>140</v>
      </c>
      <c r="B144" s="6" t="s">
        <v>478</v>
      </c>
      <c r="C144" s="6" t="s">
        <v>479</v>
      </c>
      <c r="D144" s="6" t="s">
        <v>474</v>
      </c>
      <c r="E144" s="6" t="s">
        <v>7</v>
      </c>
      <c r="F144" s="9">
        <v>5</v>
      </c>
      <c r="G144" s="9">
        <v>5</v>
      </c>
      <c r="H144" s="10">
        <v>3040</v>
      </c>
      <c r="I144" s="11">
        <v>0</v>
      </c>
      <c r="J144" s="11">
        <v>0.04</v>
      </c>
      <c r="K144" s="12">
        <f t="shared" si="12"/>
        <v>0</v>
      </c>
      <c r="L144" s="12">
        <f t="shared" si="13"/>
        <v>1.1842105263157896E-3</v>
      </c>
      <c r="M144" s="10">
        <v>0</v>
      </c>
      <c r="N144" s="10">
        <v>1</v>
      </c>
      <c r="O144" s="10">
        <v>113</v>
      </c>
      <c r="P144" s="10">
        <v>3.2</v>
      </c>
      <c r="Q144" s="10">
        <v>35</v>
      </c>
      <c r="R144" s="11">
        <v>0</v>
      </c>
      <c r="S144" s="6"/>
      <c r="T144" s="6"/>
      <c r="U144" s="6"/>
      <c r="V144" s="7" t="b">
        <v>0</v>
      </c>
      <c r="W144" s="8">
        <f>IFERROR(VLOOKUP(D144,Teams!$B$2:$I$21,6,FALSE),"")</f>
        <v>0</v>
      </c>
      <c r="X144" s="2" t="s">
        <v>65</v>
      </c>
      <c r="Y144" s="13"/>
      <c r="Z144" s="14"/>
      <c r="AA144" s="15">
        <f>IFERROR(H144/(H144+Priors!$G$3),0)</f>
        <v>0.75247524752475248</v>
      </c>
      <c r="AB144" s="16">
        <f>VLOOKUP(E144,Priors!$A$3:$C$6,2,FALSE)</f>
        <v>2.4013207263995197E-4</v>
      </c>
      <c r="AC144" s="16">
        <f>VLOOKUP(E144,Priors!$A$3:$C$6,3,FALSE)</f>
        <v>1.9810895992796044E-3</v>
      </c>
      <c r="AD144" s="12">
        <f t="shared" si="14"/>
        <v>5.943863184157227E-5</v>
      </c>
      <c r="AE144" s="12">
        <f t="shared" si="15"/>
        <v>1.3814578216038626E-3</v>
      </c>
      <c r="AF144" s="17">
        <v>1</v>
      </c>
      <c r="AG144" s="17">
        <v>1</v>
      </c>
      <c r="AH144" s="16">
        <f>IFERROR(VLOOKUP(D144,Teams!$B$2:$I$21,7,FALSE),1)</f>
        <v>1</v>
      </c>
      <c r="AI144" s="12">
        <f t="shared" si="16"/>
        <v>5.943863184157227E-5</v>
      </c>
      <c r="AJ144" s="12">
        <f t="shared" si="17"/>
        <v>1.3814578216038626E-3</v>
      </c>
      <c r="AK144" s="6" t="s">
        <v>66</v>
      </c>
      <c r="AL144" s="18"/>
      <c r="AM144" s="23"/>
      <c r="AN144" s="24">
        <v>0.02</v>
      </c>
      <c r="AO144" s="25" t="b">
        <v>1</v>
      </c>
      <c r="AP144" s="23" t="s">
        <v>480</v>
      </c>
      <c r="AQ144" s="25" t="b">
        <v>0</v>
      </c>
      <c r="AR144" s="23"/>
      <c r="AS144" s="23" t="s">
        <v>68</v>
      </c>
    </row>
    <row r="145" spans="1:45" ht="60">
      <c r="A145" s="6">
        <v>141</v>
      </c>
      <c r="B145" s="6" t="s">
        <v>481</v>
      </c>
      <c r="C145" s="6" t="s">
        <v>482</v>
      </c>
      <c r="D145" s="6" t="s">
        <v>474</v>
      </c>
      <c r="E145" s="6" t="s">
        <v>7</v>
      </c>
      <c r="F145" s="9">
        <v>5</v>
      </c>
      <c r="G145" s="9">
        <v>5</v>
      </c>
      <c r="H145" s="10">
        <v>378</v>
      </c>
      <c r="I145" s="11">
        <v>0</v>
      </c>
      <c r="J145" s="11">
        <v>0</v>
      </c>
      <c r="K145" s="12">
        <f t="shared" si="12"/>
        <v>0</v>
      </c>
      <c r="L145" s="12">
        <f t="shared" si="13"/>
        <v>0</v>
      </c>
      <c r="M145" s="10">
        <v>0</v>
      </c>
      <c r="N145" s="10">
        <v>0</v>
      </c>
      <c r="O145" s="10">
        <v>9</v>
      </c>
      <c r="P145" s="10">
        <v>1.8</v>
      </c>
      <c r="Q145" s="10">
        <v>3</v>
      </c>
      <c r="R145" s="11">
        <v>0</v>
      </c>
      <c r="S145" s="6"/>
      <c r="T145" s="6"/>
      <c r="U145" s="6"/>
      <c r="V145" s="7" t="b">
        <v>0</v>
      </c>
      <c r="W145" s="8">
        <f>IFERROR(VLOOKUP(D145,Teams!$B$2:$I$21,6,FALSE),"")</f>
        <v>0</v>
      </c>
      <c r="X145" s="2" t="s">
        <v>65</v>
      </c>
      <c r="Y145" s="13"/>
      <c r="Z145" s="14"/>
      <c r="AA145" s="15">
        <f>IFERROR(H145/(H145+Priors!$G$3),0)</f>
        <v>0.27431059506531202</v>
      </c>
      <c r="AB145" s="16">
        <f>VLOOKUP(E145,Priors!$A$3:$C$6,2,FALSE)</f>
        <v>2.4013207263995197E-4</v>
      </c>
      <c r="AC145" s="16">
        <f>VLOOKUP(E145,Priors!$A$3:$C$6,3,FALSE)</f>
        <v>1.9810895992796044E-3</v>
      </c>
      <c r="AD145" s="12">
        <f t="shared" si="14"/>
        <v>1.7426130089982002E-4</v>
      </c>
      <c r="AE145" s="12">
        <f t="shared" si="15"/>
        <v>1.4376557324235156E-3</v>
      </c>
      <c r="AF145" s="17">
        <v>1</v>
      </c>
      <c r="AG145" s="17">
        <v>1</v>
      </c>
      <c r="AH145" s="16">
        <f>IFERROR(VLOOKUP(D145,Teams!$B$2:$I$21,7,FALSE),1)</f>
        <v>1</v>
      </c>
      <c r="AI145" s="12">
        <f t="shared" si="16"/>
        <v>1.7426130089982002E-4</v>
      </c>
      <c r="AJ145" s="12">
        <f t="shared" si="17"/>
        <v>1.4376557324235156E-3</v>
      </c>
      <c r="AK145" s="6" t="s">
        <v>66</v>
      </c>
      <c r="AL145" s="18"/>
      <c r="AM145" s="23"/>
      <c r="AN145" s="24">
        <v>1E-3</v>
      </c>
      <c r="AO145" s="25" t="b">
        <v>1</v>
      </c>
      <c r="AP145" s="23" t="s">
        <v>483</v>
      </c>
      <c r="AQ145" s="25" t="b">
        <v>0</v>
      </c>
      <c r="AR145" s="23"/>
      <c r="AS145" s="23" t="s">
        <v>68</v>
      </c>
    </row>
    <row r="146" spans="1:45" ht="60">
      <c r="A146" s="6">
        <v>142</v>
      </c>
      <c r="B146" s="6" t="s">
        <v>484</v>
      </c>
      <c r="C146" s="6" t="s">
        <v>485</v>
      </c>
      <c r="D146" s="6" t="s">
        <v>474</v>
      </c>
      <c r="E146" s="6" t="s">
        <v>9</v>
      </c>
      <c r="F146" s="9">
        <v>5.5</v>
      </c>
      <c r="G146" s="9">
        <v>5.5</v>
      </c>
      <c r="H146" s="10">
        <v>1957</v>
      </c>
      <c r="I146" s="11">
        <v>1.04</v>
      </c>
      <c r="J146" s="11">
        <v>3.2</v>
      </c>
      <c r="K146" s="12">
        <f t="shared" si="12"/>
        <v>4.7828308635666839E-2</v>
      </c>
      <c r="L146" s="12">
        <f t="shared" si="13"/>
        <v>0.14716402657128258</v>
      </c>
      <c r="M146" s="10">
        <v>2</v>
      </c>
      <c r="N146" s="10">
        <v>6</v>
      </c>
      <c r="O146" s="10">
        <v>115</v>
      </c>
      <c r="P146" s="10">
        <v>4</v>
      </c>
      <c r="Q146" s="10">
        <v>20</v>
      </c>
      <c r="R146" s="11">
        <v>5.89</v>
      </c>
      <c r="S146" s="6"/>
      <c r="T146" s="6">
        <v>1</v>
      </c>
      <c r="U146" s="6">
        <v>5</v>
      </c>
      <c r="V146" s="7" t="b">
        <v>0</v>
      </c>
      <c r="W146" s="8">
        <f>IFERROR(VLOOKUP(D146,Teams!$B$2:$I$21,6,FALSE),"")</f>
        <v>0</v>
      </c>
      <c r="X146" s="2" t="s">
        <v>65</v>
      </c>
      <c r="Y146" s="13"/>
      <c r="Z146" s="14"/>
      <c r="AA146" s="15">
        <f>IFERROR(H146/(H146+Priors!$G$3),0)</f>
        <v>0.66181941156577617</v>
      </c>
      <c r="AB146" s="16">
        <f>VLOOKUP(E146,Priors!$A$3:$C$6,2,FALSE)</f>
        <v>6.0081391379341341E-2</v>
      </c>
      <c r="AC146" s="16">
        <f>VLOOKUP(E146,Priors!$A$3:$C$6,3,FALSE)</f>
        <v>5.9588191961478354E-2</v>
      </c>
      <c r="AD146" s="12">
        <f t="shared" si="14"/>
        <v>5.1972063368055918E-2</v>
      </c>
      <c r="AE146" s="12">
        <f t="shared" si="15"/>
        <v>0.11754757929032071</v>
      </c>
      <c r="AF146" s="17">
        <v>1</v>
      </c>
      <c r="AG146" s="17">
        <v>1</v>
      </c>
      <c r="AH146" s="16">
        <f>IFERROR(VLOOKUP(D146,Teams!$B$2:$I$21,7,FALSE),1)</f>
        <v>1</v>
      </c>
      <c r="AI146" s="12">
        <f t="shared" si="16"/>
        <v>5.1972063368055918E-2</v>
      </c>
      <c r="AJ146" s="12">
        <f t="shared" si="17"/>
        <v>0.11754757929032071</v>
      </c>
      <c r="AK146" s="6" t="s">
        <v>66</v>
      </c>
      <c r="AL146" s="18"/>
      <c r="AM146" s="23"/>
      <c r="AN146" s="24">
        <v>0.08</v>
      </c>
      <c r="AO146" s="25" t="b">
        <v>1</v>
      </c>
      <c r="AP146" s="23" t="s">
        <v>486</v>
      </c>
      <c r="AQ146" s="25" t="b">
        <v>0</v>
      </c>
      <c r="AR146" s="23"/>
      <c r="AS146" s="23" t="s">
        <v>68</v>
      </c>
    </row>
    <row r="147" spans="1:45" ht="60">
      <c r="A147" s="6">
        <v>143</v>
      </c>
      <c r="B147" s="6" t="s">
        <v>487</v>
      </c>
      <c r="C147" s="6" t="s">
        <v>488</v>
      </c>
      <c r="D147" s="6" t="s">
        <v>474</v>
      </c>
      <c r="E147" s="6" t="s">
        <v>9</v>
      </c>
      <c r="F147" s="9">
        <v>5.5</v>
      </c>
      <c r="G147" s="9">
        <v>5.5</v>
      </c>
      <c r="H147" s="10">
        <v>2780</v>
      </c>
      <c r="I147" s="11">
        <v>1.44</v>
      </c>
      <c r="J147" s="11">
        <v>1.03</v>
      </c>
      <c r="K147" s="12">
        <f t="shared" si="12"/>
        <v>4.6618705035971222E-2</v>
      </c>
      <c r="L147" s="12">
        <f t="shared" si="13"/>
        <v>3.3345323741007196E-2</v>
      </c>
      <c r="M147" s="10">
        <v>3</v>
      </c>
      <c r="N147" s="10">
        <v>1</v>
      </c>
      <c r="O147" s="10">
        <v>136</v>
      </c>
      <c r="P147" s="10">
        <v>4</v>
      </c>
      <c r="Q147" s="10">
        <v>31</v>
      </c>
      <c r="R147" s="11">
        <v>8.58</v>
      </c>
      <c r="S147" s="6"/>
      <c r="T147" s="6"/>
      <c r="U147" s="6"/>
      <c r="V147" s="7" t="b">
        <v>0</v>
      </c>
      <c r="W147" s="8">
        <f>IFERROR(VLOOKUP(D147,Teams!$B$2:$I$21,6,FALSE),"")</f>
        <v>0</v>
      </c>
      <c r="X147" s="2" t="s">
        <v>65</v>
      </c>
      <c r="Y147" s="13"/>
      <c r="Z147" s="14"/>
      <c r="AA147" s="15">
        <f>IFERROR(H147/(H147+Priors!$G$3),0)</f>
        <v>0.73544973544973546</v>
      </c>
      <c r="AB147" s="16">
        <f>VLOOKUP(E147,Priors!$A$3:$C$6,2,FALSE)</f>
        <v>6.0081391379341341E-2</v>
      </c>
      <c r="AC147" s="16">
        <f>VLOOKUP(E147,Priors!$A$3:$C$6,3,FALSE)</f>
        <v>5.9588191961478354E-2</v>
      </c>
      <c r="AD147" s="12">
        <f t="shared" si="14"/>
        <v>5.0180262269667021E-2</v>
      </c>
      <c r="AE147" s="12">
        <f t="shared" si="15"/>
        <v>4.0287881471290574E-2</v>
      </c>
      <c r="AF147" s="17">
        <v>1</v>
      </c>
      <c r="AG147" s="17">
        <v>1</v>
      </c>
      <c r="AH147" s="16">
        <f>IFERROR(VLOOKUP(D147,Teams!$B$2:$I$21,7,FALSE),1)</f>
        <v>1</v>
      </c>
      <c r="AI147" s="12">
        <f t="shared" si="16"/>
        <v>5.0180262269667021E-2</v>
      </c>
      <c r="AJ147" s="12">
        <f t="shared" si="17"/>
        <v>4.0287881471290574E-2</v>
      </c>
      <c r="AK147" s="6" t="s">
        <v>66</v>
      </c>
      <c r="AL147" s="18"/>
      <c r="AM147" s="23"/>
      <c r="AN147" s="24">
        <v>0.02</v>
      </c>
      <c r="AO147" s="25" t="b">
        <v>1</v>
      </c>
      <c r="AP147" s="23" t="s">
        <v>489</v>
      </c>
      <c r="AQ147" s="25" t="b">
        <v>0</v>
      </c>
      <c r="AR147" s="23"/>
      <c r="AS147" s="23" t="s">
        <v>68</v>
      </c>
    </row>
    <row r="148" spans="1:45" ht="60">
      <c r="A148" s="6">
        <v>144</v>
      </c>
      <c r="B148" s="6" t="s">
        <v>490</v>
      </c>
      <c r="C148" s="6" t="s">
        <v>491</v>
      </c>
      <c r="D148" s="6" t="s">
        <v>474</v>
      </c>
      <c r="E148" s="6" t="s">
        <v>9</v>
      </c>
      <c r="F148" s="9">
        <v>5</v>
      </c>
      <c r="G148" s="9">
        <v>5</v>
      </c>
      <c r="H148" s="10">
        <v>2255</v>
      </c>
      <c r="I148" s="11">
        <v>1.56</v>
      </c>
      <c r="J148" s="11">
        <v>2.97</v>
      </c>
      <c r="K148" s="12">
        <f t="shared" si="12"/>
        <v>6.2261640798226166E-2</v>
      </c>
      <c r="L148" s="12">
        <f t="shared" si="13"/>
        <v>0.11853658536585367</v>
      </c>
      <c r="M148" s="10">
        <v>2</v>
      </c>
      <c r="N148" s="10">
        <v>3</v>
      </c>
      <c r="O148" s="10">
        <v>96</v>
      </c>
      <c r="P148" s="10">
        <v>2.8</v>
      </c>
      <c r="Q148" s="10">
        <v>26</v>
      </c>
      <c r="R148" s="11">
        <v>5.03</v>
      </c>
      <c r="S148" s="6"/>
      <c r="T148" s="6"/>
      <c r="U148" s="6"/>
      <c r="V148" s="7" t="b">
        <v>0</v>
      </c>
      <c r="W148" s="8">
        <f>IFERROR(VLOOKUP(D148,Teams!$B$2:$I$21,6,FALSE),"")</f>
        <v>0</v>
      </c>
      <c r="X148" s="2" t="s">
        <v>65</v>
      </c>
      <c r="Y148" s="13"/>
      <c r="Z148" s="14"/>
      <c r="AA148" s="15">
        <f>IFERROR(H148/(H148+Priors!$G$3),0)</f>
        <v>0.6927803379416283</v>
      </c>
      <c r="AB148" s="16">
        <f>VLOOKUP(E148,Priors!$A$3:$C$6,2,FALSE)</f>
        <v>6.0081391379341341E-2</v>
      </c>
      <c r="AC148" s="16">
        <f>VLOOKUP(E148,Priors!$A$3:$C$6,3,FALSE)</f>
        <v>5.9588191961478354E-2</v>
      </c>
      <c r="AD148" s="12">
        <f t="shared" si="14"/>
        <v>6.1591825308553408E-2</v>
      </c>
      <c r="AE148" s="12">
        <f t="shared" si="15"/>
        <v>0.10042647986527753</v>
      </c>
      <c r="AF148" s="17">
        <v>1</v>
      </c>
      <c r="AG148" s="17">
        <v>1</v>
      </c>
      <c r="AH148" s="16">
        <f>IFERROR(VLOOKUP(D148,Teams!$B$2:$I$21,7,FALSE),1)</f>
        <v>1</v>
      </c>
      <c r="AI148" s="12">
        <f t="shared" si="16"/>
        <v>6.1591825308553408E-2</v>
      </c>
      <c r="AJ148" s="12">
        <f t="shared" si="17"/>
        <v>0.10042647986527753</v>
      </c>
      <c r="AK148" s="6" t="s">
        <v>66</v>
      </c>
      <c r="AL148" s="18"/>
      <c r="AM148" s="23"/>
      <c r="AN148" s="24">
        <v>1.2E-2</v>
      </c>
      <c r="AO148" s="25" t="b">
        <v>1</v>
      </c>
      <c r="AP148" s="23" t="s">
        <v>492</v>
      </c>
      <c r="AQ148" s="25" t="b">
        <v>0</v>
      </c>
      <c r="AR148" s="23"/>
      <c r="AS148" s="23" t="s">
        <v>68</v>
      </c>
    </row>
    <row r="149" spans="1:45" ht="60">
      <c r="A149" s="6">
        <v>145</v>
      </c>
      <c r="B149" s="6" t="s">
        <v>493</v>
      </c>
      <c r="C149" s="6" t="s">
        <v>494</v>
      </c>
      <c r="D149" s="6" t="s">
        <v>474</v>
      </c>
      <c r="E149" s="6" t="s">
        <v>9</v>
      </c>
      <c r="F149" s="9">
        <v>5</v>
      </c>
      <c r="G149" s="9">
        <v>5</v>
      </c>
      <c r="H149" s="10">
        <v>1718</v>
      </c>
      <c r="I149" s="11">
        <v>0.72</v>
      </c>
      <c r="J149" s="11">
        <v>0.6</v>
      </c>
      <c r="K149" s="12">
        <f t="shared" si="12"/>
        <v>3.7718277066356228E-2</v>
      </c>
      <c r="L149" s="12">
        <f t="shared" si="13"/>
        <v>3.1431897555296857E-2</v>
      </c>
      <c r="M149" s="10">
        <v>0</v>
      </c>
      <c r="N149" s="10">
        <v>2</v>
      </c>
      <c r="O149" s="10">
        <v>65</v>
      </c>
      <c r="P149" s="10">
        <v>2.6</v>
      </c>
      <c r="Q149" s="10">
        <v>20</v>
      </c>
      <c r="R149" s="11">
        <v>10.79</v>
      </c>
      <c r="S149" s="6"/>
      <c r="T149" s="6"/>
      <c r="U149" s="6"/>
      <c r="V149" s="7" t="b">
        <v>0</v>
      </c>
      <c r="W149" s="8">
        <f>IFERROR(VLOOKUP(D149,Teams!$B$2:$I$21,6,FALSE),"")</f>
        <v>0</v>
      </c>
      <c r="X149" s="2" t="s">
        <v>65</v>
      </c>
      <c r="Y149" s="13"/>
      <c r="Z149" s="14"/>
      <c r="AA149" s="15">
        <f>IFERROR(H149/(H149+Priors!$G$3),0)</f>
        <v>0.63208241353936723</v>
      </c>
      <c r="AB149" s="16">
        <f>VLOOKUP(E149,Priors!$A$3:$C$6,2,FALSE)</f>
        <v>6.0081391379341341E-2</v>
      </c>
      <c r="AC149" s="16">
        <f>VLOOKUP(E149,Priors!$A$3:$C$6,3,FALSE)</f>
        <v>5.9588191961478354E-2</v>
      </c>
      <c r="AD149" s="12">
        <f t="shared" si="14"/>
        <v>4.5946060110132941E-2</v>
      </c>
      <c r="AE149" s="12">
        <f t="shared" si="15"/>
        <v>4.1791093436894168E-2</v>
      </c>
      <c r="AF149" s="17">
        <v>1</v>
      </c>
      <c r="AG149" s="17">
        <v>1</v>
      </c>
      <c r="AH149" s="16">
        <f>IFERROR(VLOOKUP(D149,Teams!$B$2:$I$21,7,FALSE),1)</f>
        <v>1</v>
      </c>
      <c r="AI149" s="12">
        <f t="shared" si="16"/>
        <v>4.5946060110132941E-2</v>
      </c>
      <c r="AJ149" s="12">
        <f t="shared" si="17"/>
        <v>4.1791093436894168E-2</v>
      </c>
      <c r="AK149" s="6" t="s">
        <v>288</v>
      </c>
      <c r="AL149" s="18">
        <v>0</v>
      </c>
      <c r="AM149" s="23" t="s">
        <v>495</v>
      </c>
      <c r="AN149" s="24">
        <v>0</v>
      </c>
      <c r="AO149" s="25" t="b">
        <v>1</v>
      </c>
      <c r="AP149" s="23" t="s">
        <v>496</v>
      </c>
      <c r="AQ149" s="25" t="b">
        <v>0</v>
      </c>
      <c r="AR149" s="23"/>
      <c r="AS149" s="23" t="s">
        <v>68</v>
      </c>
    </row>
    <row r="150" spans="1:45" ht="60">
      <c r="A150" s="6">
        <v>146</v>
      </c>
      <c r="B150" s="6" t="s">
        <v>497</v>
      </c>
      <c r="C150" s="6" t="s">
        <v>498</v>
      </c>
      <c r="D150" s="6" t="s">
        <v>474</v>
      </c>
      <c r="E150" s="6" t="s">
        <v>9</v>
      </c>
      <c r="F150" s="9">
        <v>4.5</v>
      </c>
      <c r="G150" s="9">
        <v>4.5</v>
      </c>
      <c r="H150" s="10">
        <v>470</v>
      </c>
      <c r="I150" s="11">
        <v>0</v>
      </c>
      <c r="J150" s="11">
        <v>0.06</v>
      </c>
      <c r="K150" s="12">
        <f t="shared" si="12"/>
        <v>0</v>
      </c>
      <c r="L150" s="12">
        <f t="shared" si="13"/>
        <v>1.1489361702127658E-2</v>
      </c>
      <c r="M150" s="10">
        <v>0</v>
      </c>
      <c r="N150" s="10">
        <v>0</v>
      </c>
      <c r="O150" s="10">
        <v>7</v>
      </c>
      <c r="P150" s="10">
        <v>0.9</v>
      </c>
      <c r="Q150" s="10">
        <v>6</v>
      </c>
      <c r="R150" s="11">
        <v>9.19</v>
      </c>
      <c r="S150" s="6"/>
      <c r="T150" s="6"/>
      <c r="U150" s="6"/>
      <c r="V150" s="7" t="b">
        <v>0</v>
      </c>
      <c r="W150" s="8">
        <f>IFERROR(VLOOKUP(D150,Teams!$B$2:$I$21,6,FALSE),"")</f>
        <v>0</v>
      </c>
      <c r="X150" s="2" t="s">
        <v>65</v>
      </c>
      <c r="Y150" s="13"/>
      <c r="Z150" s="14"/>
      <c r="AA150" s="15">
        <f>IFERROR(H150/(H150+Priors!$G$3),0)</f>
        <v>0.31972789115646261</v>
      </c>
      <c r="AB150" s="16">
        <f>VLOOKUP(E150,Priors!$A$3:$C$6,2,FALSE)</f>
        <v>6.0081391379341341E-2</v>
      </c>
      <c r="AC150" s="16">
        <f>VLOOKUP(E150,Priors!$A$3:$C$6,3,FALSE)</f>
        <v>5.9588191961478354E-2</v>
      </c>
      <c r="AD150" s="12">
        <f t="shared" si="14"/>
        <v>4.0871694815878462E-2</v>
      </c>
      <c r="AE150" s="12">
        <f t="shared" si="15"/>
        <v>4.4209654395563507E-2</v>
      </c>
      <c r="AF150" s="17">
        <v>1</v>
      </c>
      <c r="AG150" s="17">
        <v>1</v>
      </c>
      <c r="AH150" s="16">
        <f>IFERROR(VLOOKUP(D150,Teams!$B$2:$I$21,7,FALSE),1)</f>
        <v>1</v>
      </c>
      <c r="AI150" s="12">
        <f t="shared" si="16"/>
        <v>4.0871694815878462E-2</v>
      </c>
      <c r="AJ150" s="12">
        <f t="shared" si="17"/>
        <v>4.4209654395563507E-2</v>
      </c>
      <c r="AK150" s="6" t="s">
        <v>66</v>
      </c>
      <c r="AL150" s="18"/>
      <c r="AM150" s="23"/>
      <c r="AN150" s="24">
        <v>0</v>
      </c>
      <c r="AO150" s="25" t="b">
        <v>1</v>
      </c>
      <c r="AP150" s="23" t="s">
        <v>499</v>
      </c>
      <c r="AQ150" s="25" t="b">
        <v>0</v>
      </c>
      <c r="AR150" s="23"/>
      <c r="AS150" s="23" t="s">
        <v>68</v>
      </c>
    </row>
    <row r="151" spans="1:45" ht="60">
      <c r="A151" s="6">
        <v>147</v>
      </c>
      <c r="B151" s="6" t="s">
        <v>500</v>
      </c>
      <c r="C151" s="6" t="s">
        <v>501</v>
      </c>
      <c r="D151" s="6" t="s">
        <v>474</v>
      </c>
      <c r="E151" s="6" t="s">
        <v>9</v>
      </c>
      <c r="F151" s="9">
        <v>4.5</v>
      </c>
      <c r="G151" s="9">
        <v>4.5</v>
      </c>
      <c r="H151" s="10">
        <v>788</v>
      </c>
      <c r="I151" s="11">
        <v>0.11</v>
      </c>
      <c r="J151" s="11">
        <v>0.4</v>
      </c>
      <c r="K151" s="12">
        <f t="shared" si="12"/>
        <v>1.2563451776649746E-2</v>
      </c>
      <c r="L151" s="12">
        <f t="shared" si="13"/>
        <v>4.5685279187817257E-2</v>
      </c>
      <c r="M151" s="10">
        <v>0</v>
      </c>
      <c r="N151" s="10">
        <v>0</v>
      </c>
      <c r="O151" s="10">
        <v>34</v>
      </c>
      <c r="P151" s="10">
        <v>2.1</v>
      </c>
      <c r="Q151" s="10">
        <v>8</v>
      </c>
      <c r="R151" s="11">
        <v>11.08</v>
      </c>
      <c r="S151" s="6"/>
      <c r="T151" s="6"/>
      <c r="U151" s="6"/>
      <c r="V151" s="7" t="b">
        <v>0</v>
      </c>
      <c r="W151" s="8">
        <f>IFERROR(VLOOKUP(D151,Teams!$B$2:$I$21,6,FALSE),"")</f>
        <v>0</v>
      </c>
      <c r="X151" s="2" t="s">
        <v>65</v>
      </c>
      <c r="Y151" s="13"/>
      <c r="Z151" s="14"/>
      <c r="AA151" s="15">
        <f>IFERROR(H151/(H151+Priors!$G$3),0)</f>
        <v>0.4407158836689038</v>
      </c>
      <c r="AB151" s="16">
        <f>VLOOKUP(E151,Priors!$A$3:$C$6,2,FALSE)</f>
        <v>6.0081391379341341E-2</v>
      </c>
      <c r="AC151" s="16">
        <f>VLOOKUP(E151,Priors!$A$3:$C$6,3,FALSE)</f>
        <v>5.9588191961478354E-2</v>
      </c>
      <c r="AD151" s="12">
        <f t="shared" si="14"/>
        <v>3.9139480637215514E-2</v>
      </c>
      <c r="AE151" s="12">
        <f t="shared" si="15"/>
        <v>5.3460957472862614E-2</v>
      </c>
      <c r="AF151" s="17">
        <v>1</v>
      </c>
      <c r="AG151" s="17">
        <v>1</v>
      </c>
      <c r="AH151" s="16">
        <f>IFERROR(VLOOKUP(D151,Teams!$B$2:$I$21,7,FALSE),1)</f>
        <v>1</v>
      </c>
      <c r="AI151" s="12">
        <f t="shared" si="16"/>
        <v>3.9139480637215514E-2</v>
      </c>
      <c r="AJ151" s="12">
        <f t="shared" si="17"/>
        <v>5.3460957472862614E-2</v>
      </c>
      <c r="AK151" s="6" t="s">
        <v>66</v>
      </c>
      <c r="AL151" s="18"/>
      <c r="AM151" s="23"/>
      <c r="AN151" s="24">
        <v>1E-3</v>
      </c>
      <c r="AO151" s="25" t="b">
        <v>1</v>
      </c>
      <c r="AP151" s="23" t="s">
        <v>201</v>
      </c>
      <c r="AQ151" s="25" t="b">
        <v>0</v>
      </c>
      <c r="AR151" s="23"/>
      <c r="AS151" s="23" t="s">
        <v>68</v>
      </c>
    </row>
    <row r="152" spans="1:45" ht="60">
      <c r="A152" s="6">
        <v>148</v>
      </c>
      <c r="B152" s="6" t="s">
        <v>502</v>
      </c>
      <c r="C152" s="6" t="s">
        <v>503</v>
      </c>
      <c r="D152" s="6" t="s">
        <v>474</v>
      </c>
      <c r="E152" s="6" t="s">
        <v>9</v>
      </c>
      <c r="F152" s="9">
        <v>4.5</v>
      </c>
      <c r="G152" s="9">
        <v>4.5</v>
      </c>
      <c r="H152" s="10">
        <v>1139</v>
      </c>
      <c r="I152" s="11">
        <v>0.3</v>
      </c>
      <c r="J152" s="11">
        <v>0.61</v>
      </c>
      <c r="K152" s="12">
        <f t="shared" si="12"/>
        <v>2.3705004389815629E-2</v>
      </c>
      <c r="L152" s="12">
        <f t="shared" si="13"/>
        <v>4.8200175592625107E-2</v>
      </c>
      <c r="M152" s="10">
        <v>0</v>
      </c>
      <c r="N152" s="10">
        <v>0</v>
      </c>
      <c r="O152" s="10">
        <v>19</v>
      </c>
      <c r="P152" s="10">
        <v>0.9</v>
      </c>
      <c r="Q152" s="10">
        <v>12</v>
      </c>
      <c r="R152" s="11">
        <v>7.82</v>
      </c>
      <c r="S152" s="6"/>
      <c r="T152" s="6"/>
      <c r="U152" s="6"/>
      <c r="V152" s="7" t="b">
        <v>0</v>
      </c>
      <c r="W152" s="8">
        <f>IFERROR(VLOOKUP(D152,Teams!$B$2:$I$21,6,FALSE),"")</f>
        <v>0</v>
      </c>
      <c r="X152" s="2" t="s">
        <v>65</v>
      </c>
      <c r="Y152" s="13"/>
      <c r="Z152" s="14"/>
      <c r="AA152" s="15">
        <f>IFERROR(H152/(H152+Priors!$G$3),0)</f>
        <v>0.5324918186068256</v>
      </c>
      <c r="AB152" s="16">
        <f>VLOOKUP(E152,Priors!$A$3:$C$6,2,FALSE)</f>
        <v>6.0081391379341341E-2</v>
      </c>
      <c r="AC152" s="16">
        <f>VLOOKUP(E152,Priors!$A$3:$C$6,3,FALSE)</f>
        <v>5.9588191961478354E-2</v>
      </c>
      <c r="AD152" s="12">
        <f t="shared" si="14"/>
        <v>4.0711262916943124E-2</v>
      </c>
      <c r="AE152" s="12">
        <f t="shared" si="15"/>
        <v>5.3524166414903387E-2</v>
      </c>
      <c r="AF152" s="17">
        <v>1</v>
      </c>
      <c r="AG152" s="17">
        <v>1</v>
      </c>
      <c r="AH152" s="16">
        <f>IFERROR(VLOOKUP(D152,Teams!$B$2:$I$21,7,FALSE),1)</f>
        <v>1</v>
      </c>
      <c r="AI152" s="12">
        <f t="shared" si="16"/>
        <v>4.0711262916943124E-2</v>
      </c>
      <c r="AJ152" s="12">
        <f t="shared" si="17"/>
        <v>5.3524166414903387E-2</v>
      </c>
      <c r="AK152" s="6" t="s">
        <v>66</v>
      </c>
      <c r="AL152" s="18"/>
      <c r="AM152" s="23"/>
      <c r="AN152" s="24">
        <v>1.2E-2</v>
      </c>
      <c r="AO152" s="25" t="b">
        <v>1</v>
      </c>
      <c r="AP152" s="23" t="s">
        <v>504</v>
      </c>
      <c r="AQ152" s="25" t="b">
        <v>0</v>
      </c>
      <c r="AR152" s="23"/>
      <c r="AS152" s="23" t="s">
        <v>68</v>
      </c>
    </row>
    <row r="153" spans="1:45" ht="60">
      <c r="A153" s="6">
        <v>149</v>
      </c>
      <c r="B153" s="6" t="s">
        <v>505</v>
      </c>
      <c r="C153" s="6" t="s">
        <v>506</v>
      </c>
      <c r="D153" s="6" t="s">
        <v>474</v>
      </c>
      <c r="E153" s="6" t="s">
        <v>9</v>
      </c>
      <c r="F153" s="9">
        <v>5</v>
      </c>
      <c r="G153" s="9">
        <v>5</v>
      </c>
      <c r="H153" s="10">
        <v>225</v>
      </c>
      <c r="I153" s="11">
        <v>0</v>
      </c>
      <c r="J153" s="11">
        <v>0.12</v>
      </c>
      <c r="K153" s="12">
        <f t="shared" si="12"/>
        <v>0</v>
      </c>
      <c r="L153" s="12">
        <f t="shared" si="13"/>
        <v>4.7999999999999994E-2</v>
      </c>
      <c r="M153" s="10">
        <v>0</v>
      </c>
      <c r="N153" s="10">
        <v>0</v>
      </c>
      <c r="O153" s="10">
        <v>8</v>
      </c>
      <c r="P153" s="10">
        <v>2.7</v>
      </c>
      <c r="Q153" s="10">
        <v>2</v>
      </c>
      <c r="R153" s="11">
        <v>10</v>
      </c>
      <c r="S153" s="6"/>
      <c r="T153" s="6"/>
      <c r="U153" s="6"/>
      <c r="V153" s="7" t="b">
        <v>0</v>
      </c>
      <c r="W153" s="8">
        <f>IFERROR(VLOOKUP(D153,Teams!$B$2:$I$21,6,FALSE),"")</f>
        <v>0</v>
      </c>
      <c r="X153" s="2" t="s">
        <v>65</v>
      </c>
      <c r="Y153" s="13"/>
      <c r="Z153" s="14"/>
      <c r="AA153" s="15">
        <f>IFERROR(H153/(H153+Priors!$G$3),0)</f>
        <v>0.18367346938775511</v>
      </c>
      <c r="AB153" s="16">
        <f>VLOOKUP(E153,Priors!$A$3:$C$6,2,FALSE)</f>
        <v>6.0081391379341341E-2</v>
      </c>
      <c r="AC153" s="16">
        <f>VLOOKUP(E153,Priors!$A$3:$C$6,3,FALSE)</f>
        <v>5.9588191961478354E-2</v>
      </c>
      <c r="AD153" s="12">
        <f t="shared" si="14"/>
        <v>4.9046033779054157E-2</v>
      </c>
      <c r="AE153" s="12">
        <f t="shared" si="15"/>
        <v>5.7459748539982328E-2</v>
      </c>
      <c r="AF153" s="17">
        <v>1</v>
      </c>
      <c r="AG153" s="17">
        <v>1</v>
      </c>
      <c r="AH153" s="16">
        <f>IFERROR(VLOOKUP(D153,Teams!$B$2:$I$21,7,FALSE),1)</f>
        <v>1</v>
      </c>
      <c r="AI153" s="12">
        <f t="shared" si="16"/>
        <v>4.9046033779054157E-2</v>
      </c>
      <c r="AJ153" s="12">
        <f t="shared" si="17"/>
        <v>5.7459748539982328E-2</v>
      </c>
      <c r="AK153" s="6" t="s">
        <v>66</v>
      </c>
      <c r="AL153" s="18"/>
      <c r="AM153" s="23"/>
      <c r="AN153" s="24">
        <v>1.9E-2</v>
      </c>
      <c r="AO153" s="25" t="b">
        <v>1</v>
      </c>
      <c r="AP153" s="23" t="s">
        <v>507</v>
      </c>
      <c r="AQ153" s="25" t="b">
        <v>0</v>
      </c>
      <c r="AR153" s="23"/>
      <c r="AS153" s="23" t="s">
        <v>68</v>
      </c>
    </row>
    <row r="154" spans="1:45" ht="60">
      <c r="A154" s="6">
        <v>150</v>
      </c>
      <c r="B154" s="6" t="s">
        <v>508</v>
      </c>
      <c r="C154" s="6" t="s">
        <v>509</v>
      </c>
      <c r="D154" s="6" t="s">
        <v>474</v>
      </c>
      <c r="E154" s="6" t="s">
        <v>9</v>
      </c>
      <c r="F154" s="9">
        <v>4.5</v>
      </c>
      <c r="G154" s="9">
        <v>4.5</v>
      </c>
      <c r="H154" s="10">
        <v>100</v>
      </c>
      <c r="I154" s="11">
        <v>0.35</v>
      </c>
      <c r="J154" s="11">
        <v>0</v>
      </c>
      <c r="K154" s="12">
        <f t="shared" si="12"/>
        <v>0.31499999999999995</v>
      </c>
      <c r="L154" s="12">
        <f t="shared" si="13"/>
        <v>0</v>
      </c>
      <c r="M154" s="10">
        <v>0</v>
      </c>
      <c r="N154" s="10">
        <v>0</v>
      </c>
      <c r="O154" s="10">
        <v>3</v>
      </c>
      <c r="P154" s="10">
        <v>1</v>
      </c>
      <c r="Q154" s="10">
        <v>1</v>
      </c>
      <c r="R154" s="11">
        <v>7.2</v>
      </c>
      <c r="S154" s="6"/>
      <c r="T154" s="6"/>
      <c r="U154" s="6"/>
      <c r="V154" s="7" t="b">
        <v>0</v>
      </c>
      <c r="W154" s="8">
        <f>IFERROR(VLOOKUP(D154,Teams!$B$2:$I$21,6,FALSE),"")</f>
        <v>0</v>
      </c>
      <c r="X154" s="2" t="s">
        <v>65</v>
      </c>
      <c r="Y154" s="13"/>
      <c r="Z154" s="14"/>
      <c r="AA154" s="15">
        <f>IFERROR(H154/(H154+Priors!$G$3),0)</f>
        <v>9.0909090909090912E-2</v>
      </c>
      <c r="AB154" s="16">
        <f>VLOOKUP(E154,Priors!$A$3:$C$6,2,FALSE)</f>
        <v>6.0081391379341341E-2</v>
      </c>
      <c r="AC154" s="16">
        <f>VLOOKUP(E154,Priors!$A$3:$C$6,3,FALSE)</f>
        <v>5.9588191961478354E-2</v>
      </c>
      <c r="AD154" s="12">
        <f t="shared" si="14"/>
        <v>8.3255810344855768E-2</v>
      </c>
      <c r="AE154" s="12">
        <f t="shared" si="15"/>
        <v>5.4171083601343956E-2</v>
      </c>
      <c r="AF154" s="17">
        <v>1</v>
      </c>
      <c r="AG154" s="17">
        <v>1</v>
      </c>
      <c r="AH154" s="16">
        <f>IFERROR(VLOOKUP(D154,Teams!$B$2:$I$21,7,FALSE),1)</f>
        <v>1</v>
      </c>
      <c r="AI154" s="12">
        <f t="shared" si="16"/>
        <v>8.3255810344855768E-2</v>
      </c>
      <c r="AJ154" s="12">
        <f t="shared" si="17"/>
        <v>5.4171083601343956E-2</v>
      </c>
      <c r="AK154" s="6" t="s">
        <v>66</v>
      </c>
      <c r="AL154" s="18"/>
      <c r="AM154" s="23"/>
      <c r="AN154" s="24">
        <v>1E-3</v>
      </c>
      <c r="AO154" s="25" t="b">
        <v>1</v>
      </c>
      <c r="AP154" s="23" t="s">
        <v>510</v>
      </c>
      <c r="AQ154" s="25" t="b">
        <v>0</v>
      </c>
      <c r="AR154" s="23"/>
      <c r="AS154" s="23" t="s">
        <v>68</v>
      </c>
    </row>
    <row r="155" spans="1:45" ht="60">
      <c r="A155" s="6">
        <v>151</v>
      </c>
      <c r="B155" s="6" t="s">
        <v>511</v>
      </c>
      <c r="C155" s="6" t="s">
        <v>512</v>
      </c>
      <c r="D155" s="6" t="s">
        <v>474</v>
      </c>
      <c r="E155" s="6" t="s">
        <v>9</v>
      </c>
      <c r="F155" s="9">
        <v>4.5</v>
      </c>
      <c r="G155" s="9">
        <v>4.5</v>
      </c>
      <c r="H155" s="10">
        <v>657</v>
      </c>
      <c r="I155" s="11">
        <v>0.62</v>
      </c>
      <c r="J155" s="11">
        <v>0.13</v>
      </c>
      <c r="K155" s="12">
        <f t="shared" si="12"/>
        <v>8.4931506849315067E-2</v>
      </c>
      <c r="L155" s="12">
        <f t="shared" si="13"/>
        <v>1.7808219178082195E-2</v>
      </c>
      <c r="M155" s="10">
        <v>1</v>
      </c>
      <c r="N155" s="10">
        <v>0</v>
      </c>
      <c r="O155" s="10">
        <v>39</v>
      </c>
      <c r="P155" s="10">
        <v>2.2999999999999998</v>
      </c>
      <c r="Q155" s="10">
        <v>8</v>
      </c>
      <c r="R155" s="11">
        <v>6.03</v>
      </c>
      <c r="S155" s="6"/>
      <c r="T155" s="6"/>
      <c r="U155" s="6"/>
      <c r="V155" s="7" t="b">
        <v>0</v>
      </c>
      <c r="W155" s="8">
        <f>IFERROR(VLOOKUP(D155,Teams!$B$2:$I$21,6,FALSE),"")</f>
        <v>0</v>
      </c>
      <c r="X155" s="2" t="s">
        <v>65</v>
      </c>
      <c r="Y155" s="13"/>
      <c r="Z155" s="14"/>
      <c r="AA155" s="15">
        <f>IFERROR(H155/(H155+Priors!$G$3),0)</f>
        <v>0.3964996982498491</v>
      </c>
      <c r="AB155" s="16">
        <f>VLOOKUP(E155,Priors!$A$3:$C$6,2,FALSE)</f>
        <v>6.0081391379341341E-2</v>
      </c>
      <c r="AC155" s="16">
        <f>VLOOKUP(E155,Priors!$A$3:$C$6,3,FALSE)</f>
        <v>5.9588191961478354E-2</v>
      </c>
      <c r="AD155" s="12">
        <f t="shared" si="14"/>
        <v>6.9934454664659834E-2</v>
      </c>
      <c r="AE155" s="12">
        <f t="shared" si="15"/>
        <v>4.3022445359974869E-2</v>
      </c>
      <c r="AF155" s="17">
        <v>1</v>
      </c>
      <c r="AG155" s="17">
        <v>1</v>
      </c>
      <c r="AH155" s="16">
        <f>IFERROR(VLOOKUP(D155,Teams!$B$2:$I$21,7,FALSE),1)</f>
        <v>1</v>
      </c>
      <c r="AI155" s="12">
        <f t="shared" si="16"/>
        <v>6.9934454664659834E-2</v>
      </c>
      <c r="AJ155" s="12">
        <f t="shared" si="17"/>
        <v>4.3022445359974869E-2</v>
      </c>
      <c r="AK155" s="6" t="s">
        <v>66</v>
      </c>
      <c r="AL155" s="18"/>
      <c r="AM155" s="23"/>
      <c r="AN155" s="24">
        <v>2E-3</v>
      </c>
      <c r="AO155" s="25" t="b">
        <v>1</v>
      </c>
      <c r="AP155" s="23" t="s">
        <v>513</v>
      </c>
      <c r="AQ155" s="25" t="b">
        <v>0</v>
      </c>
      <c r="AR155" s="23"/>
      <c r="AS155" s="23" t="s">
        <v>68</v>
      </c>
    </row>
    <row r="156" spans="1:45" ht="60">
      <c r="A156" s="6">
        <v>152</v>
      </c>
      <c r="B156" s="6" t="s">
        <v>514</v>
      </c>
      <c r="C156" s="6" t="s">
        <v>515</v>
      </c>
      <c r="D156" s="6" t="s">
        <v>474</v>
      </c>
      <c r="E156" s="6" t="s">
        <v>9</v>
      </c>
      <c r="F156" s="9">
        <v>5.5</v>
      </c>
      <c r="G156" s="9">
        <v>5.5</v>
      </c>
      <c r="H156" s="10">
        <v>0</v>
      </c>
      <c r="I156" s="11">
        <v>0</v>
      </c>
      <c r="J156" s="11">
        <v>0</v>
      </c>
      <c r="K156" s="12">
        <f t="shared" si="12"/>
        <v>0</v>
      </c>
      <c r="L156" s="12">
        <f t="shared" si="13"/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1">
        <v>0</v>
      </c>
      <c r="S156" s="6"/>
      <c r="T156" s="6"/>
      <c r="U156" s="6"/>
      <c r="V156" s="7" t="b">
        <v>1</v>
      </c>
      <c r="W156" s="8">
        <f>IFERROR(VLOOKUP(D156,Teams!$B$2:$I$21,6,FALSE),"")</f>
        <v>0</v>
      </c>
      <c r="X156" s="2" t="s">
        <v>65</v>
      </c>
      <c r="Y156" s="13"/>
      <c r="Z156" s="14"/>
      <c r="AA156" s="15">
        <f>IFERROR(H156/(H156+Priors!$G$3),0)</f>
        <v>0</v>
      </c>
      <c r="AB156" s="16">
        <f>VLOOKUP(E156,Priors!$A$3:$C$6,2,FALSE)</f>
        <v>6.0081391379341341E-2</v>
      </c>
      <c r="AC156" s="16">
        <f>VLOOKUP(E156,Priors!$A$3:$C$6,3,FALSE)</f>
        <v>5.9588191961478354E-2</v>
      </c>
      <c r="AD156" s="12">
        <f t="shared" si="14"/>
        <v>6.0081391379341341E-2</v>
      </c>
      <c r="AE156" s="12">
        <f t="shared" si="15"/>
        <v>5.9588191961478354E-2</v>
      </c>
      <c r="AF156" s="17">
        <v>1</v>
      </c>
      <c r="AG156" s="17">
        <v>1</v>
      </c>
      <c r="AH156" s="16">
        <f>IFERROR(VLOOKUP(D156,Teams!$B$2:$I$21,7,FALSE),1)</f>
        <v>1</v>
      </c>
      <c r="AI156" s="12">
        <f t="shared" si="16"/>
        <v>6.0081391379341341E-2</v>
      </c>
      <c r="AJ156" s="12">
        <f t="shared" si="17"/>
        <v>5.9588191961478354E-2</v>
      </c>
      <c r="AK156" s="6" t="s">
        <v>66</v>
      </c>
      <c r="AL156" s="18"/>
      <c r="AM156" s="23"/>
      <c r="AN156" s="24">
        <v>1.4999999999999999E-2</v>
      </c>
      <c r="AO156" s="25" t="b">
        <v>1</v>
      </c>
      <c r="AP156" s="23" t="s">
        <v>95</v>
      </c>
      <c r="AQ156" s="25" t="b">
        <v>0</v>
      </c>
      <c r="AR156" s="23"/>
      <c r="AS156" s="23" t="s">
        <v>68</v>
      </c>
    </row>
    <row r="157" spans="1:45" ht="60">
      <c r="A157" s="6">
        <v>153</v>
      </c>
      <c r="B157" s="6" t="s">
        <v>516</v>
      </c>
      <c r="C157" s="6" t="s">
        <v>517</v>
      </c>
      <c r="D157" s="6" t="s">
        <v>474</v>
      </c>
      <c r="E157" s="6" t="s">
        <v>9</v>
      </c>
      <c r="F157" s="9">
        <v>4.5</v>
      </c>
      <c r="G157" s="9">
        <v>4.5</v>
      </c>
      <c r="H157" s="10">
        <v>0</v>
      </c>
      <c r="I157" s="11">
        <v>0</v>
      </c>
      <c r="J157" s="11">
        <v>0</v>
      </c>
      <c r="K157" s="12">
        <f t="shared" si="12"/>
        <v>0</v>
      </c>
      <c r="L157" s="12">
        <f t="shared" si="13"/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1">
        <v>0</v>
      </c>
      <c r="S157" s="6"/>
      <c r="T157" s="6"/>
      <c r="U157" s="6"/>
      <c r="V157" s="7" t="b">
        <v>0</v>
      </c>
      <c r="W157" s="8">
        <f>IFERROR(VLOOKUP(D157,Teams!$B$2:$I$21,6,FALSE),"")</f>
        <v>0</v>
      </c>
      <c r="X157" s="2" t="s">
        <v>65</v>
      </c>
      <c r="Y157" s="13"/>
      <c r="Z157" s="14"/>
      <c r="AA157" s="15">
        <f>IFERROR(H157/(H157+Priors!$G$3),0)</f>
        <v>0</v>
      </c>
      <c r="AB157" s="16">
        <f>VLOOKUP(E157,Priors!$A$3:$C$6,2,FALSE)</f>
        <v>6.0081391379341341E-2</v>
      </c>
      <c r="AC157" s="16">
        <f>VLOOKUP(E157,Priors!$A$3:$C$6,3,FALSE)</f>
        <v>5.9588191961478354E-2</v>
      </c>
      <c r="AD157" s="12">
        <f t="shared" si="14"/>
        <v>6.0081391379341341E-2</v>
      </c>
      <c r="AE157" s="12">
        <f t="shared" si="15"/>
        <v>5.9588191961478354E-2</v>
      </c>
      <c r="AF157" s="17">
        <v>1</v>
      </c>
      <c r="AG157" s="17">
        <v>1</v>
      </c>
      <c r="AH157" s="16">
        <f>IFERROR(VLOOKUP(D157,Teams!$B$2:$I$21,7,FALSE),1)</f>
        <v>1</v>
      </c>
      <c r="AI157" s="12">
        <f t="shared" si="16"/>
        <v>6.0081391379341341E-2</v>
      </c>
      <c r="AJ157" s="12">
        <f t="shared" si="17"/>
        <v>5.9588191961478354E-2</v>
      </c>
      <c r="AK157" s="6" t="s">
        <v>66</v>
      </c>
      <c r="AL157" s="18"/>
      <c r="AM157" s="23"/>
      <c r="AN157" s="24">
        <v>1E-3</v>
      </c>
      <c r="AO157" s="25" t="b">
        <v>1</v>
      </c>
      <c r="AP157" s="23" t="s">
        <v>518</v>
      </c>
      <c r="AQ157" s="25" t="b">
        <v>0</v>
      </c>
      <c r="AR157" s="23"/>
      <c r="AS157" s="23" t="s">
        <v>68</v>
      </c>
    </row>
    <row r="158" spans="1:45" ht="60">
      <c r="A158" s="6">
        <v>154</v>
      </c>
      <c r="B158" s="6" t="s">
        <v>519</v>
      </c>
      <c r="C158" s="6" t="s">
        <v>520</v>
      </c>
      <c r="D158" s="6" t="s">
        <v>474</v>
      </c>
      <c r="E158" s="6" t="s">
        <v>11</v>
      </c>
      <c r="F158" s="9">
        <v>9.5</v>
      </c>
      <c r="G158" s="9">
        <v>9.5</v>
      </c>
      <c r="H158" s="10">
        <v>1954</v>
      </c>
      <c r="I158" s="11">
        <v>10.55</v>
      </c>
      <c r="J158" s="11">
        <v>2.4900000000000002</v>
      </c>
      <c r="K158" s="12">
        <f t="shared" si="12"/>
        <v>0.48592630501535317</v>
      </c>
      <c r="L158" s="12">
        <f t="shared" si="13"/>
        <v>0.1146878198567042</v>
      </c>
      <c r="M158" s="10">
        <v>10</v>
      </c>
      <c r="N158" s="10">
        <v>2</v>
      </c>
      <c r="O158" s="10">
        <v>114</v>
      </c>
      <c r="P158" s="10">
        <v>4.4000000000000004</v>
      </c>
      <c r="Q158" s="10">
        <v>24</v>
      </c>
      <c r="R158" s="11">
        <v>6.22</v>
      </c>
      <c r="S158" s="6">
        <v>1</v>
      </c>
      <c r="T158" s="6">
        <v>3</v>
      </c>
      <c r="U158" s="6"/>
      <c r="V158" s="7" t="b">
        <v>0</v>
      </c>
      <c r="W158" s="8">
        <f>IFERROR(VLOOKUP(D158,Teams!$B$2:$I$21,6,FALSE),"")</f>
        <v>0</v>
      </c>
      <c r="X158" s="2" t="s">
        <v>65</v>
      </c>
      <c r="Y158" s="13"/>
      <c r="Z158" s="14"/>
      <c r="AA158" s="15">
        <f>IFERROR(H158/(H158+Priors!$G$3),0)</f>
        <v>0.66147596479350035</v>
      </c>
      <c r="AB158" s="16">
        <f>VLOOKUP(E158,Priors!$A$3:$C$6,2,FALSE)</f>
        <v>0.15714383234350468</v>
      </c>
      <c r="AC158" s="16">
        <f>VLOOKUP(E158,Priors!$A$3:$C$6,3,FALSE)</f>
        <v>0.13222062939449797</v>
      </c>
      <c r="AD158" s="12">
        <f t="shared" si="14"/>
        <v>0.3746255356613083</v>
      </c>
      <c r="AE158" s="12">
        <f t="shared" si="15"/>
        <v>0.12062309728994515</v>
      </c>
      <c r="AF158" s="17">
        <v>1</v>
      </c>
      <c r="AG158" s="17">
        <v>1</v>
      </c>
      <c r="AH158" s="16">
        <f>IFERROR(VLOOKUP(D158,Teams!$B$2:$I$21,7,FALSE),1)</f>
        <v>1</v>
      </c>
      <c r="AI158" s="12">
        <f t="shared" si="16"/>
        <v>0.3746255356613083</v>
      </c>
      <c r="AJ158" s="12">
        <f t="shared" si="17"/>
        <v>0.12062309728994515</v>
      </c>
      <c r="AK158" s="6" t="s">
        <v>66</v>
      </c>
      <c r="AL158" s="18"/>
      <c r="AM158" s="23"/>
      <c r="AN158" s="24">
        <v>0.127</v>
      </c>
      <c r="AO158" s="25" t="b">
        <v>1</v>
      </c>
      <c r="AP158" s="23" t="s">
        <v>521</v>
      </c>
      <c r="AQ158" s="25" t="b">
        <v>0</v>
      </c>
      <c r="AR158" s="23"/>
      <c r="AS158" s="23" t="s">
        <v>68</v>
      </c>
    </row>
    <row r="159" spans="1:45" ht="60">
      <c r="A159" s="6">
        <v>155</v>
      </c>
      <c r="B159" s="6" t="s">
        <v>522</v>
      </c>
      <c r="C159" s="6" t="s">
        <v>523</v>
      </c>
      <c r="D159" s="6" t="s">
        <v>474</v>
      </c>
      <c r="E159" s="6" t="s">
        <v>11</v>
      </c>
      <c r="F159" s="9">
        <v>7</v>
      </c>
      <c r="G159" s="9">
        <v>7</v>
      </c>
      <c r="H159" s="10">
        <v>3114</v>
      </c>
      <c r="I159" s="11">
        <v>11.26</v>
      </c>
      <c r="J159" s="11">
        <v>7.26</v>
      </c>
      <c r="K159" s="12">
        <f t="shared" si="12"/>
        <v>0.32543352601156067</v>
      </c>
      <c r="L159" s="12">
        <f t="shared" si="13"/>
        <v>0.20982658959537573</v>
      </c>
      <c r="M159" s="10">
        <v>10</v>
      </c>
      <c r="N159" s="10">
        <v>5</v>
      </c>
      <c r="O159" s="10">
        <v>157</v>
      </c>
      <c r="P159" s="10">
        <v>4.4000000000000004</v>
      </c>
      <c r="Q159" s="10">
        <v>35</v>
      </c>
      <c r="R159" s="11">
        <v>7.05</v>
      </c>
      <c r="S159" s="6">
        <v>2</v>
      </c>
      <c r="T159" s="6">
        <v>2</v>
      </c>
      <c r="U159" s="6">
        <v>7</v>
      </c>
      <c r="V159" s="7" t="b">
        <v>0</v>
      </c>
      <c r="W159" s="8">
        <f>IFERROR(VLOOKUP(D159,Teams!$B$2:$I$21,6,FALSE),"")</f>
        <v>0</v>
      </c>
      <c r="X159" s="2" t="s">
        <v>65</v>
      </c>
      <c r="Y159" s="13"/>
      <c r="Z159" s="14"/>
      <c r="AA159" s="15">
        <f>IFERROR(H159/(H159+Priors!$G$3),0)</f>
        <v>0.7569275644141954</v>
      </c>
      <c r="AB159" s="16">
        <f>VLOOKUP(E159,Priors!$A$3:$C$6,2,FALSE)</f>
        <v>0.15714383234350468</v>
      </c>
      <c r="AC159" s="16">
        <f>VLOOKUP(E159,Priors!$A$3:$C$6,3,FALSE)</f>
        <v>0.13222062939449797</v>
      </c>
      <c r="AD159" s="12">
        <f t="shared" si="14"/>
        <v>0.28452694028767733</v>
      </c>
      <c r="AE159" s="12">
        <f t="shared" si="15"/>
        <v>0.19096271983337335</v>
      </c>
      <c r="AF159" s="17">
        <v>1</v>
      </c>
      <c r="AG159" s="17">
        <v>1</v>
      </c>
      <c r="AH159" s="16">
        <f>IFERROR(VLOOKUP(D159,Teams!$B$2:$I$21,7,FALSE),1)</f>
        <v>1</v>
      </c>
      <c r="AI159" s="12">
        <f t="shared" si="16"/>
        <v>0.28452694028767733</v>
      </c>
      <c r="AJ159" s="12">
        <f t="shared" si="17"/>
        <v>0.19096271983337335</v>
      </c>
      <c r="AK159" s="6" t="s">
        <v>66</v>
      </c>
      <c r="AL159" s="18"/>
      <c r="AM159" s="23"/>
      <c r="AN159" s="24">
        <v>5.4000000000000006E-2</v>
      </c>
      <c r="AO159" s="25" t="b">
        <v>1</v>
      </c>
      <c r="AP159" s="23" t="s">
        <v>524</v>
      </c>
      <c r="AQ159" s="25" t="b">
        <v>0</v>
      </c>
      <c r="AR159" s="23"/>
      <c r="AS159" s="23" t="s">
        <v>68</v>
      </c>
    </row>
    <row r="160" spans="1:45" ht="60">
      <c r="A160" s="6">
        <v>156</v>
      </c>
      <c r="B160" s="6" t="s">
        <v>525</v>
      </c>
      <c r="C160" s="6" t="s">
        <v>526</v>
      </c>
      <c r="D160" s="6" t="s">
        <v>474</v>
      </c>
      <c r="E160" s="6" t="s">
        <v>11</v>
      </c>
      <c r="F160" s="9">
        <v>6.5</v>
      </c>
      <c r="G160" s="9">
        <v>6.5</v>
      </c>
      <c r="H160" s="10">
        <v>2629</v>
      </c>
      <c r="I160" s="11">
        <v>4.59</v>
      </c>
      <c r="J160" s="11">
        <v>6.84</v>
      </c>
      <c r="K160" s="12">
        <f t="shared" si="12"/>
        <v>0.15713198934956255</v>
      </c>
      <c r="L160" s="12">
        <f t="shared" si="13"/>
        <v>0.23415747432483835</v>
      </c>
      <c r="M160" s="10">
        <v>5</v>
      </c>
      <c r="N160" s="10">
        <v>7</v>
      </c>
      <c r="O160" s="10">
        <v>125</v>
      </c>
      <c r="P160" s="10">
        <v>3.7</v>
      </c>
      <c r="Q160" s="10">
        <v>30</v>
      </c>
      <c r="R160" s="11">
        <v>4.18</v>
      </c>
      <c r="S160" s="6"/>
      <c r="T160" s="6">
        <v>4</v>
      </c>
      <c r="U160" s="6">
        <v>6</v>
      </c>
      <c r="V160" s="7" t="b">
        <v>0</v>
      </c>
      <c r="W160" s="8">
        <f>IFERROR(VLOOKUP(D160,Teams!$B$2:$I$21,6,FALSE),"")</f>
        <v>0</v>
      </c>
      <c r="X160" s="2" t="s">
        <v>65</v>
      </c>
      <c r="Y160" s="13"/>
      <c r="Z160" s="14"/>
      <c r="AA160" s="15">
        <f>IFERROR(H160/(H160+Priors!$G$3),0)</f>
        <v>0.72444199503995588</v>
      </c>
      <c r="AB160" s="16">
        <f>VLOOKUP(E160,Priors!$A$3:$C$6,2,FALSE)</f>
        <v>0.15714383234350468</v>
      </c>
      <c r="AC160" s="16">
        <f>VLOOKUP(E160,Priors!$A$3:$C$6,3,FALSE)</f>
        <v>0.13222062939449797</v>
      </c>
      <c r="AD160" s="12">
        <f t="shared" si="14"/>
        <v>0.15713525278134599</v>
      </c>
      <c r="AE160" s="12">
        <f t="shared" si="15"/>
        <v>0.20606796070391237</v>
      </c>
      <c r="AF160" s="17">
        <v>1</v>
      </c>
      <c r="AG160" s="17">
        <v>1</v>
      </c>
      <c r="AH160" s="16">
        <f>IFERROR(VLOOKUP(D160,Teams!$B$2:$I$21,7,FALSE),1)</f>
        <v>1</v>
      </c>
      <c r="AI160" s="12">
        <f t="shared" si="16"/>
        <v>0.15713525278134599</v>
      </c>
      <c r="AJ160" s="12">
        <f t="shared" si="17"/>
        <v>0.20606796070391237</v>
      </c>
      <c r="AK160" s="6" t="s">
        <v>66</v>
      </c>
      <c r="AL160" s="18"/>
      <c r="AM160" s="23"/>
      <c r="AN160" s="24">
        <v>1.3000000000000001E-2</v>
      </c>
      <c r="AO160" s="25" t="b">
        <v>1</v>
      </c>
      <c r="AP160" s="23" t="s">
        <v>527</v>
      </c>
      <c r="AQ160" s="25" t="b">
        <v>0</v>
      </c>
      <c r="AR160" s="23"/>
      <c r="AS160" s="23" t="s">
        <v>68</v>
      </c>
    </row>
    <row r="161" spans="1:45" ht="60">
      <c r="A161" s="6">
        <v>157</v>
      </c>
      <c r="B161" s="6" t="s">
        <v>528</v>
      </c>
      <c r="C161" s="6" t="s">
        <v>528</v>
      </c>
      <c r="D161" s="6" t="s">
        <v>474</v>
      </c>
      <c r="E161" s="6" t="s">
        <v>11</v>
      </c>
      <c r="F161" s="9">
        <v>6.5</v>
      </c>
      <c r="G161" s="9">
        <v>6.5</v>
      </c>
      <c r="H161" s="10">
        <v>839</v>
      </c>
      <c r="I161" s="11">
        <v>2.91</v>
      </c>
      <c r="J161" s="11">
        <v>2.14</v>
      </c>
      <c r="K161" s="12">
        <f t="shared" si="12"/>
        <v>0.3121573301549464</v>
      </c>
      <c r="L161" s="12">
        <f t="shared" si="13"/>
        <v>0.2295589988081049</v>
      </c>
      <c r="M161" s="10">
        <v>2</v>
      </c>
      <c r="N161" s="10">
        <v>5</v>
      </c>
      <c r="O161" s="10">
        <v>58</v>
      </c>
      <c r="P161" s="10">
        <v>2.6</v>
      </c>
      <c r="Q161" s="10">
        <v>12</v>
      </c>
      <c r="R161" s="11">
        <v>6.01</v>
      </c>
      <c r="S161" s="6">
        <v>3</v>
      </c>
      <c r="T161" s="6"/>
      <c r="U161" s="6">
        <v>8</v>
      </c>
      <c r="V161" s="7" t="b">
        <v>0</v>
      </c>
      <c r="W161" s="8">
        <f>IFERROR(VLOOKUP(D161,Teams!$B$2:$I$21,6,FALSE),"")</f>
        <v>0</v>
      </c>
      <c r="X161" s="2" t="s">
        <v>65</v>
      </c>
      <c r="Y161" s="13"/>
      <c r="Z161" s="14"/>
      <c r="AA161" s="15">
        <f>IFERROR(H161/(H161+Priors!$G$3),0)</f>
        <v>0.456226209896683</v>
      </c>
      <c r="AB161" s="16">
        <f>VLOOKUP(E161,Priors!$A$3:$C$6,2,FALSE)</f>
        <v>0.15714383234350468</v>
      </c>
      <c r="AC161" s="16">
        <f>VLOOKUP(E161,Priors!$A$3:$C$6,3,FALSE)</f>
        <v>0.13222062939449797</v>
      </c>
      <c r="AD161" s="12">
        <f t="shared" si="14"/>
        <v>0.22786505293284648</v>
      </c>
      <c r="AE161" s="12">
        <f t="shared" si="15"/>
        <v>0.17662894474959107</v>
      </c>
      <c r="AF161" s="17">
        <v>1</v>
      </c>
      <c r="AG161" s="17">
        <v>1</v>
      </c>
      <c r="AH161" s="16">
        <f>IFERROR(VLOOKUP(D161,Teams!$B$2:$I$21,7,FALSE),1)</f>
        <v>1</v>
      </c>
      <c r="AI161" s="12">
        <f t="shared" si="16"/>
        <v>0.22786505293284648</v>
      </c>
      <c r="AJ161" s="12">
        <f t="shared" si="17"/>
        <v>0.17662894474959107</v>
      </c>
      <c r="AK161" s="6" t="s">
        <v>66</v>
      </c>
      <c r="AL161" s="18"/>
      <c r="AM161" s="23"/>
      <c r="AN161" s="24">
        <v>1.7000000000000001E-2</v>
      </c>
      <c r="AO161" s="25" t="b">
        <v>1</v>
      </c>
      <c r="AP161" s="23" t="s">
        <v>529</v>
      </c>
      <c r="AQ161" s="25" t="b">
        <v>0</v>
      </c>
      <c r="AR161" s="23"/>
      <c r="AS161" s="23" t="s">
        <v>68</v>
      </c>
    </row>
    <row r="162" spans="1:45" ht="60">
      <c r="A162" s="6">
        <v>158</v>
      </c>
      <c r="B162" s="6" t="s">
        <v>530</v>
      </c>
      <c r="C162" s="6" t="s">
        <v>531</v>
      </c>
      <c r="D162" s="6" t="s">
        <v>474</v>
      </c>
      <c r="E162" s="6" t="s">
        <v>11</v>
      </c>
      <c r="F162" s="9">
        <v>6</v>
      </c>
      <c r="G162" s="9">
        <v>6</v>
      </c>
      <c r="H162" s="10">
        <v>486</v>
      </c>
      <c r="I162" s="11">
        <v>0.81</v>
      </c>
      <c r="J162" s="11">
        <v>0.94</v>
      </c>
      <c r="K162" s="12">
        <f t="shared" si="12"/>
        <v>0.15000000000000002</v>
      </c>
      <c r="L162" s="12">
        <f t="shared" si="13"/>
        <v>0.17407407407407408</v>
      </c>
      <c r="M162" s="10">
        <v>0</v>
      </c>
      <c r="N162" s="10">
        <v>2</v>
      </c>
      <c r="O162" s="10">
        <v>25</v>
      </c>
      <c r="P162" s="10">
        <v>1.6</v>
      </c>
      <c r="Q162" s="10">
        <v>5</v>
      </c>
      <c r="R162" s="11">
        <v>5.37</v>
      </c>
      <c r="S162" s="6"/>
      <c r="T162" s="6"/>
      <c r="U162" s="6"/>
      <c r="V162" s="7" t="b">
        <v>0</v>
      </c>
      <c r="W162" s="8">
        <f>IFERROR(VLOOKUP(D162,Teams!$B$2:$I$21,6,FALSE),"")</f>
        <v>0</v>
      </c>
      <c r="X162" s="2" t="s">
        <v>65</v>
      </c>
      <c r="Y162" s="13"/>
      <c r="Z162" s="14"/>
      <c r="AA162" s="15">
        <f>IFERROR(H162/(H162+Priors!$G$3),0)</f>
        <v>0.32705248990578734</v>
      </c>
      <c r="AB162" s="16">
        <f>VLOOKUP(E162,Priors!$A$3:$C$6,2,FALSE)</f>
        <v>0.15714383234350468</v>
      </c>
      <c r="AC162" s="16">
        <f>VLOOKUP(E162,Priors!$A$3:$C$6,3,FALSE)</f>
        <v>0.13222062939449797</v>
      </c>
      <c r="AD162" s="12">
        <f t="shared" si="14"/>
        <v>0.15480742418809199</v>
      </c>
      <c r="AE162" s="12">
        <f t="shared" si="15"/>
        <v>0.14590890268808746</v>
      </c>
      <c r="AF162" s="17">
        <v>1</v>
      </c>
      <c r="AG162" s="17">
        <v>1</v>
      </c>
      <c r="AH162" s="16">
        <f>IFERROR(VLOOKUP(D162,Teams!$B$2:$I$21,7,FALSE),1)</f>
        <v>1</v>
      </c>
      <c r="AI162" s="12">
        <f t="shared" si="16"/>
        <v>0.15480742418809199</v>
      </c>
      <c r="AJ162" s="12">
        <f t="shared" si="17"/>
        <v>0.14590890268808746</v>
      </c>
      <c r="AK162" s="6" t="s">
        <v>66</v>
      </c>
      <c r="AL162" s="18"/>
      <c r="AM162" s="23"/>
      <c r="AN162" s="24">
        <v>1E-3</v>
      </c>
      <c r="AO162" s="25" t="b">
        <v>1</v>
      </c>
      <c r="AP162" s="23" t="s">
        <v>403</v>
      </c>
      <c r="AQ162" s="25" t="b">
        <v>0</v>
      </c>
      <c r="AR162" s="23"/>
      <c r="AS162" s="23" t="s">
        <v>68</v>
      </c>
    </row>
    <row r="163" spans="1:45" ht="60">
      <c r="A163" s="6">
        <v>159</v>
      </c>
      <c r="B163" s="6" t="s">
        <v>532</v>
      </c>
      <c r="C163" s="6" t="s">
        <v>533</v>
      </c>
      <c r="D163" s="6" t="s">
        <v>474</v>
      </c>
      <c r="E163" s="6" t="s">
        <v>11</v>
      </c>
      <c r="F163" s="9">
        <v>5.5</v>
      </c>
      <c r="G163" s="9">
        <v>5.5</v>
      </c>
      <c r="H163" s="10">
        <v>2796</v>
      </c>
      <c r="I163" s="11">
        <v>1.45</v>
      </c>
      <c r="J163" s="11">
        <v>2.38</v>
      </c>
      <c r="K163" s="12">
        <f t="shared" si="12"/>
        <v>4.667381974248927E-2</v>
      </c>
      <c r="L163" s="12">
        <f t="shared" si="13"/>
        <v>7.6609442060085839E-2</v>
      </c>
      <c r="M163" s="10">
        <v>3</v>
      </c>
      <c r="N163" s="10">
        <v>1</v>
      </c>
      <c r="O163" s="10">
        <v>110</v>
      </c>
      <c r="P163" s="10">
        <v>3.3</v>
      </c>
      <c r="Q163" s="10">
        <v>32</v>
      </c>
      <c r="R163" s="11">
        <v>11.78</v>
      </c>
      <c r="S163" s="6"/>
      <c r="T163" s="6"/>
      <c r="U163" s="6"/>
      <c r="V163" s="7" t="b">
        <v>0</v>
      </c>
      <c r="W163" s="8">
        <f>IFERROR(VLOOKUP(D163,Teams!$B$2:$I$21,6,FALSE),"")</f>
        <v>0</v>
      </c>
      <c r="X163" s="2" t="s">
        <v>65</v>
      </c>
      <c r="Y163" s="13"/>
      <c r="Z163" s="14"/>
      <c r="AA163" s="15">
        <f>IFERROR(H163/(H163+Priors!$G$3),0)</f>
        <v>0.73656480505795574</v>
      </c>
      <c r="AB163" s="16">
        <f>VLOOKUP(E163,Priors!$A$3:$C$6,2,FALSE)</f>
        <v>0.15714383234350468</v>
      </c>
      <c r="AC163" s="16">
        <f>VLOOKUP(E163,Priors!$A$3:$C$6,3,FALSE)</f>
        <v>0.13222062939449797</v>
      </c>
      <c r="AD163" s="12">
        <f t="shared" si="14"/>
        <v>7.5775509047287845E-2</v>
      </c>
      <c r="AE163" s="12">
        <f t="shared" si="15"/>
        <v>9.1259386036485243E-2</v>
      </c>
      <c r="AF163" s="17">
        <v>1</v>
      </c>
      <c r="AG163" s="17">
        <v>1</v>
      </c>
      <c r="AH163" s="16">
        <f>IFERROR(VLOOKUP(D163,Teams!$B$2:$I$21,7,FALSE),1)</f>
        <v>1</v>
      </c>
      <c r="AI163" s="12">
        <f t="shared" si="16"/>
        <v>7.5775509047287845E-2</v>
      </c>
      <c r="AJ163" s="12">
        <f t="shared" si="17"/>
        <v>9.1259386036485243E-2</v>
      </c>
      <c r="AK163" s="6" t="s">
        <v>66</v>
      </c>
      <c r="AL163" s="18"/>
      <c r="AM163" s="23"/>
      <c r="AN163" s="24">
        <v>3.7000000000000005E-2</v>
      </c>
      <c r="AO163" s="25" t="b">
        <v>1</v>
      </c>
      <c r="AP163" s="23" t="s">
        <v>534</v>
      </c>
      <c r="AQ163" s="25" t="b">
        <v>0</v>
      </c>
      <c r="AR163" s="23"/>
      <c r="AS163" s="23" t="s">
        <v>68</v>
      </c>
    </row>
    <row r="164" spans="1:45" ht="60">
      <c r="A164" s="6">
        <v>161</v>
      </c>
      <c r="B164" s="6" t="s">
        <v>535</v>
      </c>
      <c r="C164" s="6" t="s">
        <v>536</v>
      </c>
      <c r="D164" s="6" t="s">
        <v>474</v>
      </c>
      <c r="E164" s="6" t="s">
        <v>11</v>
      </c>
      <c r="F164" s="9">
        <v>5</v>
      </c>
      <c r="G164" s="9">
        <v>5</v>
      </c>
      <c r="H164" s="10">
        <v>374</v>
      </c>
      <c r="I164" s="11">
        <v>0.21</v>
      </c>
      <c r="J164" s="11">
        <v>0.55000000000000004</v>
      </c>
      <c r="K164" s="12">
        <f t="shared" si="12"/>
        <v>5.0534759358288765E-2</v>
      </c>
      <c r="L164" s="12">
        <f t="shared" si="13"/>
        <v>0.13235294117647062</v>
      </c>
      <c r="M164" s="10">
        <v>0</v>
      </c>
      <c r="N164" s="10">
        <v>0</v>
      </c>
      <c r="O164" s="10">
        <v>13</v>
      </c>
      <c r="P164" s="10">
        <v>1.1000000000000001</v>
      </c>
      <c r="Q164" s="10">
        <v>4</v>
      </c>
      <c r="R164" s="11">
        <v>8.9</v>
      </c>
      <c r="S164" s="6"/>
      <c r="T164" s="6"/>
      <c r="U164" s="6"/>
      <c r="V164" s="7" t="b">
        <v>0</v>
      </c>
      <c r="W164" s="8">
        <f>IFERROR(VLOOKUP(D164,Teams!$B$2:$I$21,6,FALSE),"")</f>
        <v>0</v>
      </c>
      <c r="X164" s="2" t="s">
        <v>65</v>
      </c>
      <c r="Y164" s="13"/>
      <c r="Z164" s="14"/>
      <c r="AA164" s="15">
        <f>IFERROR(H164/(H164+Priors!$G$3),0)</f>
        <v>0.27219796215429404</v>
      </c>
      <c r="AB164" s="16">
        <f>VLOOKUP(E164,Priors!$A$3:$C$6,2,FALSE)</f>
        <v>0.15714383234350468</v>
      </c>
      <c r="AC164" s="16">
        <f>VLOOKUP(E164,Priors!$A$3:$C$6,3,FALSE)</f>
        <v>0.13222062939449797</v>
      </c>
      <c r="AD164" s="12">
        <f t="shared" si="14"/>
        <v>0.12812505992977052</v>
      </c>
      <c r="AE164" s="12">
        <f t="shared" si="15"/>
        <v>0.13225664439191992</v>
      </c>
      <c r="AF164" s="17">
        <v>1</v>
      </c>
      <c r="AG164" s="17">
        <v>1</v>
      </c>
      <c r="AH164" s="16">
        <f>IFERROR(VLOOKUP(D164,Teams!$B$2:$I$21,7,FALSE),1)</f>
        <v>1</v>
      </c>
      <c r="AI164" s="12">
        <f t="shared" si="16"/>
        <v>0.12812505992977052</v>
      </c>
      <c r="AJ164" s="12">
        <f t="shared" si="17"/>
        <v>0.13225664439191992</v>
      </c>
      <c r="AK164" s="6" t="s">
        <v>66</v>
      </c>
      <c r="AL164" s="18"/>
      <c r="AM164" s="23"/>
      <c r="AN164" s="24">
        <v>0</v>
      </c>
      <c r="AO164" s="25" t="b">
        <v>1</v>
      </c>
      <c r="AP164" s="23" t="s">
        <v>537</v>
      </c>
      <c r="AQ164" s="25" t="b">
        <v>0</v>
      </c>
      <c r="AR164" s="23"/>
      <c r="AS164" s="23" t="s">
        <v>68</v>
      </c>
    </row>
    <row r="165" spans="1:45" ht="60">
      <c r="A165" s="6">
        <v>163</v>
      </c>
      <c r="B165" s="6" t="s">
        <v>538</v>
      </c>
      <c r="C165" s="6" t="s">
        <v>539</v>
      </c>
      <c r="D165" s="6" t="s">
        <v>474</v>
      </c>
      <c r="E165" s="6" t="s">
        <v>11</v>
      </c>
      <c r="F165" s="9">
        <v>4.5</v>
      </c>
      <c r="G165" s="9">
        <v>4.5</v>
      </c>
      <c r="H165" s="10">
        <v>26</v>
      </c>
      <c r="I165" s="11">
        <v>0</v>
      </c>
      <c r="J165" s="11">
        <v>0.01</v>
      </c>
      <c r="K165" s="12">
        <f t="shared" si="12"/>
        <v>0</v>
      </c>
      <c r="L165" s="12">
        <f t="shared" si="13"/>
        <v>3.4615384615384617E-2</v>
      </c>
      <c r="M165" s="10">
        <v>0</v>
      </c>
      <c r="N165" s="10">
        <v>0</v>
      </c>
      <c r="O165" s="10">
        <v>1</v>
      </c>
      <c r="P165" s="10">
        <v>0.3</v>
      </c>
      <c r="Q165" s="10">
        <v>0</v>
      </c>
      <c r="R165" s="11">
        <v>27.69</v>
      </c>
      <c r="S165" s="6"/>
      <c r="T165" s="6"/>
      <c r="U165" s="6"/>
      <c r="V165" s="7" t="b">
        <v>0</v>
      </c>
      <c r="W165" s="8">
        <f>IFERROR(VLOOKUP(D165,Teams!$B$2:$I$21,6,FALSE),"")</f>
        <v>0</v>
      </c>
      <c r="X165" s="2" t="s">
        <v>65</v>
      </c>
      <c r="Y165" s="13"/>
      <c r="Z165" s="14"/>
      <c r="AA165" s="15">
        <f>IFERROR(H165/(H165+Priors!$G$3),0)</f>
        <v>2.5341130604288498E-2</v>
      </c>
      <c r="AB165" s="16">
        <f>VLOOKUP(E165,Priors!$A$3:$C$6,2,FALSE)</f>
        <v>0.15714383234350468</v>
      </c>
      <c r="AC165" s="16">
        <f>VLOOKUP(E165,Priors!$A$3:$C$6,3,FALSE)</f>
        <v>0.13222062939449797</v>
      </c>
      <c r="AD165" s="12">
        <f t="shared" si="14"/>
        <v>0.1531616299644295</v>
      </c>
      <c r="AE165" s="12">
        <f t="shared" si="15"/>
        <v>0.12974720213888691</v>
      </c>
      <c r="AF165" s="17">
        <v>1</v>
      </c>
      <c r="AG165" s="17">
        <v>1</v>
      </c>
      <c r="AH165" s="16">
        <f>IFERROR(VLOOKUP(D165,Teams!$B$2:$I$21,7,FALSE),1)</f>
        <v>1</v>
      </c>
      <c r="AI165" s="12">
        <f t="shared" si="16"/>
        <v>0.1531616299644295</v>
      </c>
      <c r="AJ165" s="12">
        <f t="shared" si="17"/>
        <v>0.12974720213888691</v>
      </c>
      <c r="AK165" s="6" t="s">
        <v>66</v>
      </c>
      <c r="AL165" s="18"/>
      <c r="AM165" s="23"/>
      <c r="AN165" s="24">
        <v>2E-3</v>
      </c>
      <c r="AO165" s="25" t="b">
        <v>1</v>
      </c>
      <c r="AP165" s="23" t="s">
        <v>540</v>
      </c>
      <c r="AQ165" s="25" t="b">
        <v>0</v>
      </c>
      <c r="AR165" s="23"/>
      <c r="AS165" s="23" t="s">
        <v>68</v>
      </c>
    </row>
    <row r="166" spans="1:45" ht="60">
      <c r="A166" s="6">
        <v>164</v>
      </c>
      <c r="B166" s="6" t="s">
        <v>541</v>
      </c>
      <c r="C166" s="6" t="s">
        <v>542</v>
      </c>
      <c r="D166" s="6" t="s">
        <v>474</v>
      </c>
      <c r="E166" s="6" t="s">
        <v>11</v>
      </c>
      <c r="F166" s="9">
        <v>5.5</v>
      </c>
      <c r="G166" s="9">
        <v>5.5</v>
      </c>
      <c r="H166" s="10">
        <v>0</v>
      </c>
      <c r="I166" s="11">
        <v>0</v>
      </c>
      <c r="J166" s="11">
        <v>0</v>
      </c>
      <c r="K166" s="12">
        <f t="shared" si="12"/>
        <v>0</v>
      </c>
      <c r="L166" s="12">
        <f t="shared" si="13"/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1">
        <v>0</v>
      </c>
      <c r="S166" s="6"/>
      <c r="T166" s="6"/>
      <c r="U166" s="6"/>
      <c r="V166" s="7" t="b">
        <v>1</v>
      </c>
      <c r="W166" s="8">
        <f>IFERROR(VLOOKUP(D166,Teams!$B$2:$I$21,6,FALSE),"")</f>
        <v>0</v>
      </c>
      <c r="X166" s="2" t="s">
        <v>65</v>
      </c>
      <c r="Y166" s="13"/>
      <c r="Z166" s="14"/>
      <c r="AA166" s="15">
        <f>IFERROR(H166/(H166+Priors!$G$3),0)</f>
        <v>0</v>
      </c>
      <c r="AB166" s="16">
        <f>VLOOKUP(E166,Priors!$A$3:$C$6,2,FALSE)</f>
        <v>0.15714383234350468</v>
      </c>
      <c r="AC166" s="16">
        <f>VLOOKUP(E166,Priors!$A$3:$C$6,3,FALSE)</f>
        <v>0.13222062939449797</v>
      </c>
      <c r="AD166" s="12">
        <f t="shared" si="14"/>
        <v>0.15714383234350468</v>
      </c>
      <c r="AE166" s="12">
        <f t="shared" si="15"/>
        <v>0.13222062939449797</v>
      </c>
      <c r="AF166" s="17">
        <v>1</v>
      </c>
      <c r="AG166" s="17">
        <v>1</v>
      </c>
      <c r="AH166" s="16">
        <f>IFERROR(VLOOKUP(D166,Teams!$B$2:$I$21,7,FALSE),1)</f>
        <v>1</v>
      </c>
      <c r="AI166" s="12">
        <f t="shared" si="16"/>
        <v>0.15714383234350468</v>
      </c>
      <c r="AJ166" s="12">
        <f t="shared" si="17"/>
        <v>0.13222062939449797</v>
      </c>
      <c r="AK166" s="6" t="s">
        <v>204</v>
      </c>
      <c r="AL166" s="18">
        <v>75</v>
      </c>
      <c r="AM166" s="23" t="s">
        <v>543</v>
      </c>
      <c r="AN166" s="24">
        <v>0</v>
      </c>
      <c r="AO166" s="25" t="b">
        <v>1</v>
      </c>
      <c r="AP166" s="23" t="s">
        <v>345</v>
      </c>
      <c r="AQ166" s="25" t="b">
        <v>0</v>
      </c>
      <c r="AR166" s="23"/>
      <c r="AS166" s="23" t="s">
        <v>68</v>
      </c>
    </row>
    <row r="167" spans="1:45" ht="60">
      <c r="A167" s="6">
        <v>165</v>
      </c>
      <c r="B167" s="6" t="s">
        <v>544</v>
      </c>
      <c r="C167" s="6" t="s">
        <v>544</v>
      </c>
      <c r="D167" s="6" t="s">
        <v>474</v>
      </c>
      <c r="E167" s="6" t="s">
        <v>14</v>
      </c>
      <c r="F167" s="9">
        <v>7.5</v>
      </c>
      <c r="G167" s="9">
        <v>7.5</v>
      </c>
      <c r="H167" s="10">
        <v>2658</v>
      </c>
      <c r="I167" s="11">
        <v>14.91</v>
      </c>
      <c r="J167" s="11">
        <v>1.96</v>
      </c>
      <c r="K167" s="12">
        <f t="shared" si="12"/>
        <v>0.50485327313769757</v>
      </c>
      <c r="L167" s="12">
        <f t="shared" si="13"/>
        <v>6.6365688487584645E-2</v>
      </c>
      <c r="M167" s="10">
        <v>15</v>
      </c>
      <c r="N167" s="10">
        <v>9</v>
      </c>
      <c r="O167" s="10">
        <v>177</v>
      </c>
      <c r="P167" s="10">
        <v>5.0999999999999996</v>
      </c>
      <c r="Q167" s="10">
        <v>31</v>
      </c>
      <c r="R167" s="11">
        <v>4.67</v>
      </c>
      <c r="S167" s="6"/>
      <c r="T167" s="6"/>
      <c r="U167" s="6"/>
      <c r="V167" s="7" t="b">
        <v>0</v>
      </c>
      <c r="W167" s="8">
        <f>IFERROR(VLOOKUP(D167,Teams!$B$2:$I$21,6,FALSE),"")</f>
        <v>0</v>
      </c>
      <c r="X167" s="2" t="s">
        <v>65</v>
      </c>
      <c r="Y167" s="13"/>
      <c r="Z167" s="14"/>
      <c r="AA167" s="15">
        <f>IFERROR(H167/(H167+Priors!$G$3),0)</f>
        <v>0.72662657189721158</v>
      </c>
      <c r="AB167" s="16">
        <f>VLOOKUP(E167,Priors!$A$3:$C$6,2,FALSE)</f>
        <v>0.44625207326425426</v>
      </c>
      <c r="AC167" s="16">
        <f>VLOOKUP(E167,Priors!$A$3:$C$6,3,FALSE)</f>
        <v>5.8217260259314105E-2</v>
      </c>
      <c r="AD167" s="12">
        <f t="shared" si="14"/>
        <v>0.48883326223735768</v>
      </c>
      <c r="AE167" s="12">
        <f t="shared" si="15"/>
        <v>6.4138124729172796E-2</v>
      </c>
      <c r="AF167" s="17">
        <v>1</v>
      </c>
      <c r="AG167" s="17">
        <v>1</v>
      </c>
      <c r="AH167" s="16">
        <f>IFERROR(VLOOKUP(D167,Teams!$B$2:$I$21,7,FALSE),1)</f>
        <v>1</v>
      </c>
      <c r="AI167" s="12">
        <f t="shared" si="16"/>
        <v>0.48883326223735768</v>
      </c>
      <c r="AJ167" s="12">
        <f t="shared" si="17"/>
        <v>6.4138124729172796E-2</v>
      </c>
      <c r="AK167" s="6" t="s">
        <v>66</v>
      </c>
      <c r="AL167" s="18"/>
      <c r="AM167" s="23"/>
      <c r="AN167" s="24">
        <v>0.54700000000000004</v>
      </c>
      <c r="AO167" s="25" t="b">
        <v>1</v>
      </c>
      <c r="AP167" s="23" t="s">
        <v>400</v>
      </c>
      <c r="AQ167" s="25" t="b">
        <v>0</v>
      </c>
      <c r="AR167" s="23"/>
      <c r="AS167" s="23" t="s">
        <v>68</v>
      </c>
    </row>
    <row r="168" spans="1:45" ht="60">
      <c r="A168" s="6">
        <v>166</v>
      </c>
      <c r="B168" s="6" t="s">
        <v>545</v>
      </c>
      <c r="C168" s="6" t="s">
        <v>546</v>
      </c>
      <c r="D168" s="6" t="s">
        <v>474</v>
      </c>
      <c r="E168" s="6" t="s">
        <v>14</v>
      </c>
      <c r="F168" s="9">
        <v>6.5</v>
      </c>
      <c r="G168" s="9">
        <v>6.5</v>
      </c>
      <c r="H168" s="10">
        <v>0</v>
      </c>
      <c r="I168" s="11">
        <v>0</v>
      </c>
      <c r="J168" s="11">
        <v>0</v>
      </c>
      <c r="K168" s="12">
        <f t="shared" si="12"/>
        <v>0</v>
      </c>
      <c r="L168" s="12">
        <f t="shared" si="13"/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1">
        <v>0</v>
      </c>
      <c r="S168" s="6"/>
      <c r="T168" s="6"/>
      <c r="U168" s="6"/>
      <c r="V168" s="7" t="b">
        <v>0</v>
      </c>
      <c r="W168" s="8">
        <f>IFERROR(VLOOKUP(D168,Teams!$B$2:$I$21,6,FALSE),"")</f>
        <v>0</v>
      </c>
      <c r="X168" s="2" t="s">
        <v>65</v>
      </c>
      <c r="Y168" s="13"/>
      <c r="Z168" s="14"/>
      <c r="AA168" s="15">
        <f>IFERROR(H168/(H168+Priors!$G$3),0)</f>
        <v>0</v>
      </c>
      <c r="AB168" s="16">
        <f>VLOOKUP(E168,Priors!$A$3:$C$6,2,FALSE)</f>
        <v>0.44625207326425426</v>
      </c>
      <c r="AC168" s="16">
        <f>VLOOKUP(E168,Priors!$A$3:$C$6,3,FALSE)</f>
        <v>5.8217260259314105E-2</v>
      </c>
      <c r="AD168" s="12">
        <f t="shared" si="14"/>
        <v>0.44625207326425426</v>
      </c>
      <c r="AE168" s="12">
        <f t="shared" si="15"/>
        <v>5.8217260259314105E-2</v>
      </c>
      <c r="AF168" s="17">
        <v>1</v>
      </c>
      <c r="AG168" s="17">
        <v>1</v>
      </c>
      <c r="AH168" s="16">
        <f>IFERROR(VLOOKUP(D168,Teams!$B$2:$I$21,7,FALSE),1)</f>
        <v>1</v>
      </c>
      <c r="AI168" s="12">
        <f t="shared" si="16"/>
        <v>0.44625207326425426</v>
      </c>
      <c r="AJ168" s="12">
        <f t="shared" si="17"/>
        <v>5.8217260259314105E-2</v>
      </c>
      <c r="AK168" s="6" t="s">
        <v>66</v>
      </c>
      <c r="AL168" s="18"/>
      <c r="AM168" s="23"/>
      <c r="AN168" s="24">
        <v>4.0000000000000001E-3</v>
      </c>
      <c r="AO168" s="25" t="b">
        <v>1</v>
      </c>
      <c r="AP168" s="23" t="s">
        <v>273</v>
      </c>
      <c r="AQ168" s="25" t="b">
        <v>0</v>
      </c>
      <c r="AR168" s="23"/>
      <c r="AS168" s="23" t="s">
        <v>68</v>
      </c>
    </row>
    <row r="169" spans="1:45" ht="60">
      <c r="A169" s="6">
        <v>167</v>
      </c>
      <c r="B169" s="6" t="s">
        <v>547</v>
      </c>
      <c r="C169" s="6" t="s">
        <v>548</v>
      </c>
      <c r="D169" s="6" t="s">
        <v>474</v>
      </c>
      <c r="E169" s="6" t="s">
        <v>14</v>
      </c>
      <c r="F169" s="9">
        <v>5.5</v>
      </c>
      <c r="G169" s="9">
        <v>5.5</v>
      </c>
      <c r="H169" s="10">
        <v>1092</v>
      </c>
      <c r="I169" s="11">
        <v>4.54</v>
      </c>
      <c r="J169" s="11">
        <v>0.23</v>
      </c>
      <c r="K169" s="12">
        <f t="shared" si="12"/>
        <v>0.37417582417582418</v>
      </c>
      <c r="L169" s="12">
        <f t="shared" si="13"/>
        <v>1.8956043956043955E-2</v>
      </c>
      <c r="M169" s="10">
        <v>1</v>
      </c>
      <c r="N169" s="10">
        <v>2</v>
      </c>
      <c r="O169" s="10">
        <v>45</v>
      </c>
      <c r="P169" s="10">
        <v>1.6</v>
      </c>
      <c r="Q169" s="10">
        <v>12</v>
      </c>
      <c r="R169" s="11">
        <v>3.46</v>
      </c>
      <c r="S169" s="6">
        <v>4</v>
      </c>
      <c r="T169" s="6"/>
      <c r="U169" s="6"/>
      <c r="V169" s="7" t="b">
        <v>0</v>
      </c>
      <c r="W169" s="8">
        <f>IFERROR(VLOOKUP(D169,Teams!$B$2:$I$21,6,FALSE),"")</f>
        <v>0</v>
      </c>
      <c r="X169" s="2" t="s">
        <v>65</v>
      </c>
      <c r="Y169" s="13"/>
      <c r="Z169" s="14"/>
      <c r="AA169" s="15">
        <f>IFERROR(H169/(H169+Priors!$G$3),0)</f>
        <v>0.52198852772466542</v>
      </c>
      <c r="AB169" s="16">
        <f>VLOOKUP(E169,Priors!$A$3:$C$6,2,FALSE)</f>
        <v>0.44625207326425426</v>
      </c>
      <c r="AC169" s="16">
        <f>VLOOKUP(E169,Priors!$A$3:$C$6,3,FALSE)</f>
        <v>5.8217260259314105E-2</v>
      </c>
      <c r="AD169" s="12">
        <f t="shared" si="14"/>
        <v>0.40862909811866838</v>
      </c>
      <c r="AE169" s="12">
        <f t="shared" si="15"/>
        <v>3.7723355764490485E-2</v>
      </c>
      <c r="AF169" s="17">
        <v>1</v>
      </c>
      <c r="AG169" s="17">
        <v>1</v>
      </c>
      <c r="AH169" s="16">
        <f>IFERROR(VLOOKUP(D169,Teams!$B$2:$I$21,7,FALSE),1)</f>
        <v>1</v>
      </c>
      <c r="AI169" s="12">
        <f t="shared" si="16"/>
        <v>0.40862909811866838</v>
      </c>
      <c r="AJ169" s="12">
        <f t="shared" si="17"/>
        <v>3.7723355764490485E-2</v>
      </c>
      <c r="AK169" s="6" t="s">
        <v>66</v>
      </c>
      <c r="AL169" s="18"/>
      <c r="AM169" s="23"/>
      <c r="AN169" s="24">
        <v>5.0000000000000001E-3</v>
      </c>
      <c r="AO169" s="25" t="b">
        <v>1</v>
      </c>
      <c r="AP169" s="23" t="s">
        <v>549</v>
      </c>
      <c r="AQ169" s="25" t="b">
        <v>0</v>
      </c>
      <c r="AR169" s="23"/>
      <c r="AS169" s="23" t="s">
        <v>68</v>
      </c>
    </row>
    <row r="170" spans="1:45" ht="60">
      <c r="A170" s="6">
        <v>168</v>
      </c>
      <c r="B170" s="6" t="s">
        <v>550</v>
      </c>
      <c r="C170" s="6" t="s">
        <v>551</v>
      </c>
      <c r="D170" s="6" t="s">
        <v>474</v>
      </c>
      <c r="E170" s="6" t="s">
        <v>14</v>
      </c>
      <c r="F170" s="9">
        <v>5</v>
      </c>
      <c r="G170" s="9">
        <v>5</v>
      </c>
      <c r="H170" s="10">
        <v>265</v>
      </c>
      <c r="I170" s="11">
        <v>1.54</v>
      </c>
      <c r="J170" s="11">
        <v>0.28999999999999998</v>
      </c>
      <c r="K170" s="12">
        <f t="shared" si="12"/>
        <v>0.52301886792452823</v>
      </c>
      <c r="L170" s="12">
        <f t="shared" si="13"/>
        <v>9.8490566037735844E-2</v>
      </c>
      <c r="M170" s="10">
        <v>0</v>
      </c>
      <c r="N170" s="10">
        <v>1</v>
      </c>
      <c r="O170" s="10">
        <v>13</v>
      </c>
      <c r="P170" s="10">
        <v>1.3</v>
      </c>
      <c r="Q170" s="10">
        <v>1</v>
      </c>
      <c r="R170" s="11">
        <v>2.72</v>
      </c>
      <c r="S170" s="6"/>
      <c r="T170" s="6"/>
      <c r="U170" s="6"/>
      <c r="V170" s="7" t="b">
        <v>0</v>
      </c>
      <c r="W170" s="8">
        <f>IFERROR(VLOOKUP(D170,Teams!$B$2:$I$21,6,FALSE),"")</f>
        <v>0</v>
      </c>
      <c r="X170" s="2" t="s">
        <v>65</v>
      </c>
      <c r="Y170" s="13"/>
      <c r="Z170" s="14"/>
      <c r="AA170" s="15">
        <f>IFERROR(H170/(H170+Priors!$G$3),0)</f>
        <v>0.20948616600790515</v>
      </c>
      <c r="AB170" s="16">
        <f>VLOOKUP(E170,Priors!$A$3:$C$6,2,FALSE)</f>
        <v>0.44625207326425426</v>
      </c>
      <c r="AC170" s="16">
        <f>VLOOKUP(E170,Priors!$A$3:$C$6,3,FALSE)</f>
        <v>5.8217260259314105E-2</v>
      </c>
      <c r="AD170" s="12">
        <f t="shared" si="14"/>
        <v>0.46233365475435118</v>
      </c>
      <c r="AE170" s="12">
        <f t="shared" si="15"/>
        <v>6.6653960679299684E-2</v>
      </c>
      <c r="AF170" s="17">
        <v>1</v>
      </c>
      <c r="AG170" s="17">
        <v>1</v>
      </c>
      <c r="AH170" s="16">
        <f>IFERROR(VLOOKUP(D170,Teams!$B$2:$I$21,7,FALSE),1)</f>
        <v>1</v>
      </c>
      <c r="AI170" s="12">
        <f t="shared" si="16"/>
        <v>0.46233365475435118</v>
      </c>
      <c r="AJ170" s="12">
        <f t="shared" si="17"/>
        <v>6.6653960679299684E-2</v>
      </c>
      <c r="AK170" s="6" t="s">
        <v>66</v>
      </c>
      <c r="AL170" s="18"/>
      <c r="AM170" s="23"/>
      <c r="AN170" s="24">
        <v>4.0000000000000001E-3</v>
      </c>
      <c r="AO170" s="25" t="b">
        <v>1</v>
      </c>
      <c r="AP170" s="23" t="s">
        <v>201</v>
      </c>
      <c r="AQ170" s="25" t="b">
        <v>0</v>
      </c>
      <c r="AR170" s="23"/>
      <c r="AS170" s="23" t="s">
        <v>68</v>
      </c>
    </row>
    <row r="171" spans="1:45" ht="60">
      <c r="A171" s="6">
        <v>169</v>
      </c>
      <c r="B171" s="6" t="s">
        <v>552</v>
      </c>
      <c r="C171" s="6" t="s">
        <v>553</v>
      </c>
      <c r="D171" s="6" t="s">
        <v>474</v>
      </c>
      <c r="E171" s="6" t="s">
        <v>14</v>
      </c>
      <c r="F171" s="9">
        <v>4.5</v>
      </c>
      <c r="G171" s="9">
        <v>4.5</v>
      </c>
      <c r="H171" s="10">
        <v>1</v>
      </c>
      <c r="I171" s="11">
        <v>0</v>
      </c>
      <c r="J171" s="11">
        <v>0</v>
      </c>
      <c r="K171" s="12">
        <f t="shared" si="12"/>
        <v>0</v>
      </c>
      <c r="L171" s="12">
        <f t="shared" si="13"/>
        <v>0</v>
      </c>
      <c r="M171" s="10">
        <v>0</v>
      </c>
      <c r="N171" s="10">
        <v>0</v>
      </c>
      <c r="O171" s="10">
        <v>1</v>
      </c>
      <c r="P171" s="10">
        <v>1</v>
      </c>
      <c r="Q171" s="10">
        <v>0</v>
      </c>
      <c r="R171" s="11">
        <v>90</v>
      </c>
      <c r="S171" s="6"/>
      <c r="T171" s="6"/>
      <c r="U171" s="6"/>
      <c r="V171" s="7" t="b">
        <v>1</v>
      </c>
      <c r="W171" s="8">
        <f>IFERROR(VLOOKUP(D171,Teams!$B$2:$I$21,6,FALSE),"")</f>
        <v>0</v>
      </c>
      <c r="X171" s="2" t="s">
        <v>65</v>
      </c>
      <c r="Y171" s="13"/>
      <c r="Z171" s="14"/>
      <c r="AA171" s="15">
        <f>IFERROR(H171/(H171+Priors!$G$3),0)</f>
        <v>9.99000999000999E-4</v>
      </c>
      <c r="AB171" s="16">
        <f>VLOOKUP(E171,Priors!$A$3:$C$6,2,FALSE)</f>
        <v>0.44625207326425426</v>
      </c>
      <c r="AC171" s="16">
        <f>VLOOKUP(E171,Priors!$A$3:$C$6,3,FALSE)</f>
        <v>5.8217260259314105E-2</v>
      </c>
      <c r="AD171" s="12">
        <f t="shared" si="14"/>
        <v>0.44580626699725701</v>
      </c>
      <c r="AE171" s="12">
        <f t="shared" si="15"/>
        <v>5.8159101158155951E-2</v>
      </c>
      <c r="AF171" s="17">
        <v>1</v>
      </c>
      <c r="AG171" s="17">
        <v>1</v>
      </c>
      <c r="AH171" s="16">
        <f>IFERROR(VLOOKUP(D171,Teams!$B$2:$I$21,7,FALSE),1)</f>
        <v>1</v>
      </c>
      <c r="AI171" s="12">
        <f t="shared" si="16"/>
        <v>0.44580626699725701</v>
      </c>
      <c r="AJ171" s="12">
        <f t="shared" si="17"/>
        <v>5.8159101158155951E-2</v>
      </c>
      <c r="AK171" s="6" t="s">
        <v>66</v>
      </c>
      <c r="AL171" s="18"/>
      <c r="AM171" s="23"/>
      <c r="AN171" s="24">
        <v>4.0000000000000001E-3</v>
      </c>
      <c r="AO171" s="25" t="b">
        <v>1</v>
      </c>
      <c r="AP171" s="23" t="s">
        <v>65</v>
      </c>
      <c r="AQ171" s="25" t="b">
        <v>0</v>
      </c>
      <c r="AR171" s="23"/>
      <c r="AS171" s="23" t="s">
        <v>68</v>
      </c>
    </row>
    <row r="172" spans="1:45" ht="60">
      <c r="A172" s="6">
        <v>170</v>
      </c>
      <c r="B172" s="6" t="s">
        <v>554</v>
      </c>
      <c r="C172" s="6" t="s">
        <v>555</v>
      </c>
      <c r="D172" s="6" t="s">
        <v>474</v>
      </c>
      <c r="E172" s="6" t="s">
        <v>14</v>
      </c>
      <c r="F172" s="9">
        <v>5</v>
      </c>
      <c r="G172" s="9">
        <v>5</v>
      </c>
      <c r="H172" s="10">
        <v>0</v>
      </c>
      <c r="I172" s="11">
        <v>0</v>
      </c>
      <c r="J172" s="11">
        <v>0</v>
      </c>
      <c r="K172" s="12">
        <f t="shared" si="12"/>
        <v>0</v>
      </c>
      <c r="L172" s="12">
        <f t="shared" si="13"/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1">
        <v>0</v>
      </c>
      <c r="S172" s="6"/>
      <c r="T172" s="6"/>
      <c r="U172" s="6"/>
      <c r="V172" s="7" t="b">
        <v>1</v>
      </c>
      <c r="W172" s="8">
        <f>IFERROR(VLOOKUP(D172,Teams!$B$2:$I$21,6,FALSE),"")</f>
        <v>0</v>
      </c>
      <c r="X172" s="2" t="s">
        <v>65</v>
      </c>
      <c r="Y172" s="13"/>
      <c r="Z172" s="14"/>
      <c r="AA172" s="15">
        <f>IFERROR(H172/(H172+Priors!$G$3),0)</f>
        <v>0</v>
      </c>
      <c r="AB172" s="16">
        <f>VLOOKUP(E172,Priors!$A$3:$C$6,2,FALSE)</f>
        <v>0.44625207326425426</v>
      </c>
      <c r="AC172" s="16">
        <f>VLOOKUP(E172,Priors!$A$3:$C$6,3,FALSE)</f>
        <v>5.8217260259314105E-2</v>
      </c>
      <c r="AD172" s="12">
        <f t="shared" si="14"/>
        <v>0.44625207326425426</v>
      </c>
      <c r="AE172" s="12">
        <f t="shared" si="15"/>
        <v>5.8217260259314105E-2</v>
      </c>
      <c r="AF172" s="17">
        <v>1</v>
      </c>
      <c r="AG172" s="17">
        <v>1</v>
      </c>
      <c r="AH172" s="16">
        <f>IFERROR(VLOOKUP(D172,Teams!$B$2:$I$21,7,FALSE),1)</f>
        <v>1</v>
      </c>
      <c r="AI172" s="12">
        <f t="shared" si="16"/>
        <v>0.44625207326425426</v>
      </c>
      <c r="AJ172" s="12">
        <f t="shared" si="17"/>
        <v>5.8217260259314105E-2</v>
      </c>
      <c r="AK172" s="6" t="s">
        <v>204</v>
      </c>
      <c r="AL172" s="18">
        <v>75</v>
      </c>
      <c r="AM172" s="23" t="s">
        <v>556</v>
      </c>
      <c r="AN172" s="24">
        <v>2E-3</v>
      </c>
      <c r="AO172" s="25" t="b">
        <v>1</v>
      </c>
      <c r="AP172" s="23" t="s">
        <v>345</v>
      </c>
      <c r="AQ172" s="25" t="b">
        <v>0</v>
      </c>
      <c r="AR172" s="23"/>
      <c r="AS172" s="23" t="s">
        <v>68</v>
      </c>
    </row>
    <row r="173" spans="1:45" ht="60">
      <c r="A173" s="6">
        <v>200</v>
      </c>
      <c r="B173" s="6" t="s">
        <v>557</v>
      </c>
      <c r="C173" s="6" t="s">
        <v>558</v>
      </c>
      <c r="D173" s="6" t="s">
        <v>474</v>
      </c>
      <c r="E173" s="6" t="s">
        <v>9</v>
      </c>
      <c r="F173" s="9">
        <v>6</v>
      </c>
      <c r="G173" s="9">
        <v>6</v>
      </c>
      <c r="H173" s="10">
        <v>3085</v>
      </c>
      <c r="I173" s="11">
        <v>2.4500000000000002</v>
      </c>
      <c r="J173" s="11">
        <v>0.83</v>
      </c>
      <c r="K173" s="12">
        <f t="shared" si="12"/>
        <v>7.1474878444084289E-2</v>
      </c>
      <c r="L173" s="12">
        <f t="shared" si="13"/>
        <v>2.421393841166937E-2</v>
      </c>
      <c r="M173" s="10">
        <v>1</v>
      </c>
      <c r="N173" s="10">
        <v>2</v>
      </c>
      <c r="O173" s="10">
        <v>154</v>
      </c>
      <c r="P173" s="10">
        <v>4.4000000000000004</v>
      </c>
      <c r="Q173" s="10">
        <v>35</v>
      </c>
      <c r="R173" s="11">
        <v>10.79</v>
      </c>
      <c r="S173" s="6"/>
      <c r="T173" s="6"/>
      <c r="U173" s="6"/>
      <c r="V173" s="7" t="b">
        <v>1</v>
      </c>
      <c r="W173" s="8">
        <f>IFERROR(VLOOKUP(D173,Teams!$B$2:$I$21,6,FALSE),"")</f>
        <v>0</v>
      </c>
      <c r="X173" s="2" t="s">
        <v>65</v>
      </c>
      <c r="Y173" s="13"/>
      <c r="Z173" s="14"/>
      <c r="AA173" s="15">
        <f>IFERROR(H173/(H173+Priors!$G$3),0)</f>
        <v>0.75520195838433291</v>
      </c>
      <c r="AB173" s="16">
        <f>VLOOKUP(E173,Priors!$A$3:$C$6,2,FALSE)</f>
        <v>6.0081391379341341E-2</v>
      </c>
      <c r="AC173" s="16">
        <f>VLOOKUP(E173,Priors!$A$3:$C$6,3,FALSE)</f>
        <v>5.9588191961478354E-2</v>
      </c>
      <c r="AD173" s="12">
        <f t="shared" si="14"/>
        <v>6.8685775123461773E-2</v>
      </c>
      <c r="AE173" s="12">
        <f t="shared" si="15"/>
        <v>3.2873486404278666E-2</v>
      </c>
      <c r="AF173" s="17">
        <v>1</v>
      </c>
      <c r="AG173" s="17">
        <v>1</v>
      </c>
      <c r="AH173" s="16">
        <f>IFERROR(VLOOKUP(D173,Teams!$B$2:$I$21,7,FALSE),1)</f>
        <v>1</v>
      </c>
      <c r="AI173" s="12">
        <f t="shared" si="16"/>
        <v>6.8685775123461773E-2</v>
      </c>
      <c r="AJ173" s="12">
        <f t="shared" si="17"/>
        <v>3.2873486404278666E-2</v>
      </c>
      <c r="AK173" s="6" t="s">
        <v>66</v>
      </c>
      <c r="AL173" s="18"/>
      <c r="AM173" s="23"/>
      <c r="AN173" s="24">
        <v>0.12</v>
      </c>
      <c r="AO173" s="25" t="b">
        <v>1</v>
      </c>
      <c r="AP173" s="23" t="s">
        <v>559</v>
      </c>
      <c r="AQ173" s="25" t="b">
        <v>0</v>
      </c>
      <c r="AR173" s="23"/>
      <c r="AS173" s="23" t="s">
        <v>68</v>
      </c>
    </row>
    <row r="174" spans="1:45" ht="60">
      <c r="A174" s="6">
        <v>560</v>
      </c>
      <c r="B174" s="6" t="s">
        <v>560</v>
      </c>
      <c r="C174" s="6" t="s">
        <v>561</v>
      </c>
      <c r="D174" s="6" t="s">
        <v>474</v>
      </c>
      <c r="E174" s="6" t="s">
        <v>7</v>
      </c>
      <c r="F174" s="9">
        <v>4.5</v>
      </c>
      <c r="G174" s="9">
        <v>4.5</v>
      </c>
      <c r="H174" s="10">
        <v>0</v>
      </c>
      <c r="I174" s="11">
        <v>0</v>
      </c>
      <c r="J174" s="11">
        <v>0</v>
      </c>
      <c r="K174" s="12">
        <f t="shared" si="12"/>
        <v>0</v>
      </c>
      <c r="L174" s="12">
        <f t="shared" si="13"/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1">
        <v>0</v>
      </c>
      <c r="S174" s="6"/>
      <c r="T174" s="6"/>
      <c r="U174" s="6"/>
      <c r="V174" s="7" t="b">
        <v>0</v>
      </c>
      <c r="W174" s="8">
        <f>IFERROR(VLOOKUP(D174,Teams!$B$2:$I$21,6,FALSE),"")</f>
        <v>0</v>
      </c>
      <c r="X174" s="2" t="s">
        <v>65</v>
      </c>
      <c r="Y174" s="13"/>
      <c r="Z174" s="14"/>
      <c r="AA174" s="15">
        <f>IFERROR(H174/(H174+Priors!$G$3),0)</f>
        <v>0</v>
      </c>
      <c r="AB174" s="16">
        <f>VLOOKUP(E174,Priors!$A$3:$C$6,2,FALSE)</f>
        <v>2.4013207263995197E-4</v>
      </c>
      <c r="AC174" s="16">
        <f>VLOOKUP(E174,Priors!$A$3:$C$6,3,FALSE)</f>
        <v>1.9810895992796044E-3</v>
      </c>
      <c r="AD174" s="12">
        <f t="shared" si="14"/>
        <v>2.4013207263995197E-4</v>
      </c>
      <c r="AE174" s="12">
        <f t="shared" si="15"/>
        <v>1.9810895992796044E-3</v>
      </c>
      <c r="AF174" s="17">
        <v>1</v>
      </c>
      <c r="AG174" s="17">
        <v>1</v>
      </c>
      <c r="AH174" s="16">
        <f>IFERROR(VLOOKUP(D174,Teams!$B$2:$I$21,7,FALSE),1)</f>
        <v>1</v>
      </c>
      <c r="AI174" s="12">
        <f t="shared" si="16"/>
        <v>2.4013207263995197E-4</v>
      </c>
      <c r="AJ174" s="12">
        <f t="shared" si="17"/>
        <v>1.9810895992796044E-3</v>
      </c>
      <c r="AK174" s="6" t="s">
        <v>66</v>
      </c>
      <c r="AL174" s="18"/>
      <c r="AM174" s="23"/>
      <c r="AN174" s="24">
        <v>1E-3</v>
      </c>
      <c r="AO174" s="25" t="b">
        <v>1</v>
      </c>
      <c r="AP174" s="23" t="s">
        <v>119</v>
      </c>
      <c r="AQ174" s="25" t="b">
        <v>0</v>
      </c>
      <c r="AR174" s="23"/>
      <c r="AS174" s="23" t="s">
        <v>68</v>
      </c>
    </row>
    <row r="175" spans="1:45" ht="60">
      <c r="A175" s="6">
        <v>561</v>
      </c>
      <c r="B175" s="6" t="s">
        <v>562</v>
      </c>
      <c r="C175" s="6" t="s">
        <v>563</v>
      </c>
      <c r="D175" s="6" t="s">
        <v>474</v>
      </c>
      <c r="E175" s="6" t="s">
        <v>9</v>
      </c>
      <c r="F175" s="9">
        <v>4.5</v>
      </c>
      <c r="G175" s="9">
        <v>4.5</v>
      </c>
      <c r="H175" s="10">
        <v>0</v>
      </c>
      <c r="I175" s="11">
        <v>0</v>
      </c>
      <c r="J175" s="11">
        <v>0</v>
      </c>
      <c r="K175" s="12">
        <f t="shared" si="12"/>
        <v>0</v>
      </c>
      <c r="L175" s="12">
        <f t="shared" si="13"/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1">
        <v>0</v>
      </c>
      <c r="S175" s="6"/>
      <c r="T175" s="6"/>
      <c r="U175" s="6"/>
      <c r="V175" s="7" t="b">
        <v>0</v>
      </c>
      <c r="W175" s="8">
        <f>IFERROR(VLOOKUP(D175,Teams!$B$2:$I$21,6,FALSE),"")</f>
        <v>0</v>
      </c>
      <c r="X175" s="2" t="s">
        <v>65</v>
      </c>
      <c r="Y175" s="13"/>
      <c r="Z175" s="14"/>
      <c r="AA175" s="15">
        <f>IFERROR(H175/(H175+Priors!$G$3),0)</f>
        <v>0</v>
      </c>
      <c r="AB175" s="16">
        <f>VLOOKUP(E175,Priors!$A$3:$C$6,2,FALSE)</f>
        <v>6.0081391379341341E-2</v>
      </c>
      <c r="AC175" s="16">
        <f>VLOOKUP(E175,Priors!$A$3:$C$6,3,FALSE)</f>
        <v>5.9588191961478354E-2</v>
      </c>
      <c r="AD175" s="12">
        <f t="shared" si="14"/>
        <v>6.0081391379341341E-2</v>
      </c>
      <c r="AE175" s="12">
        <f t="shared" si="15"/>
        <v>5.9588191961478354E-2</v>
      </c>
      <c r="AF175" s="17">
        <v>1</v>
      </c>
      <c r="AG175" s="17">
        <v>1</v>
      </c>
      <c r="AH175" s="16">
        <f>IFERROR(VLOOKUP(D175,Teams!$B$2:$I$21,7,FALSE),1)</f>
        <v>1</v>
      </c>
      <c r="AI175" s="12">
        <f t="shared" si="16"/>
        <v>6.0081391379341341E-2</v>
      </c>
      <c r="AJ175" s="12">
        <f t="shared" si="17"/>
        <v>5.9588191961478354E-2</v>
      </c>
      <c r="AK175" s="6" t="s">
        <v>66</v>
      </c>
      <c r="AL175" s="18"/>
      <c r="AM175" s="23"/>
      <c r="AN175" s="24">
        <v>0</v>
      </c>
      <c r="AO175" s="25" t="b">
        <v>1</v>
      </c>
      <c r="AP175" s="23" t="s">
        <v>564</v>
      </c>
      <c r="AQ175" s="25" t="b">
        <v>0</v>
      </c>
      <c r="AR175" s="23"/>
      <c r="AS175" s="23" t="s">
        <v>68</v>
      </c>
    </row>
    <row r="176" spans="1:45" ht="60">
      <c r="A176" s="6">
        <v>104</v>
      </c>
      <c r="B176" s="6" t="s">
        <v>565</v>
      </c>
      <c r="C176" s="6" t="s">
        <v>566</v>
      </c>
      <c r="D176" s="6" t="s">
        <v>567</v>
      </c>
      <c r="E176" s="6" t="s">
        <v>11</v>
      </c>
      <c r="F176" s="9">
        <v>5</v>
      </c>
      <c r="G176" s="9">
        <v>5</v>
      </c>
      <c r="H176" s="10">
        <v>88</v>
      </c>
      <c r="I176" s="11">
        <v>0</v>
      </c>
      <c r="J176" s="11">
        <v>0.36</v>
      </c>
      <c r="K176" s="12">
        <f t="shared" si="12"/>
        <v>0</v>
      </c>
      <c r="L176" s="12">
        <f t="shared" si="13"/>
        <v>0.36818181818181817</v>
      </c>
      <c r="M176" s="10">
        <v>0</v>
      </c>
      <c r="N176" s="10">
        <v>2</v>
      </c>
      <c r="O176" s="10">
        <v>12</v>
      </c>
      <c r="P176" s="10">
        <v>2</v>
      </c>
      <c r="Q176" s="10">
        <v>0</v>
      </c>
      <c r="R176" s="11">
        <v>10.23</v>
      </c>
      <c r="S176" s="6"/>
      <c r="T176" s="6"/>
      <c r="U176" s="6"/>
      <c r="V176" s="7" t="b">
        <v>1</v>
      </c>
      <c r="W176" s="8">
        <f>IFERROR(VLOOKUP(D176,Teams!$B$2:$I$21,6,FALSE),"")</f>
        <v>0</v>
      </c>
      <c r="X176" s="2" t="s">
        <v>65</v>
      </c>
      <c r="Y176" s="13"/>
      <c r="Z176" s="14"/>
      <c r="AA176" s="15">
        <f>IFERROR(H176/(H176+Priors!$G$3),0)</f>
        <v>8.0882352941176475E-2</v>
      </c>
      <c r="AB176" s="16">
        <f>VLOOKUP(E176,Priors!$A$3:$C$6,2,FALSE)</f>
        <v>0.15714383234350468</v>
      </c>
      <c r="AC176" s="16">
        <f>VLOOKUP(E176,Priors!$A$3:$C$6,3,FALSE)</f>
        <v>0.13222062939449797</v>
      </c>
      <c r="AD176" s="12">
        <f t="shared" si="14"/>
        <v>0.14443366943336827</v>
      </c>
      <c r="AE176" s="12">
        <f t="shared" si="15"/>
        <v>0.15130572554641356</v>
      </c>
      <c r="AF176" s="17">
        <v>1</v>
      </c>
      <c r="AG176" s="17">
        <v>1</v>
      </c>
      <c r="AH176" s="16">
        <f>IFERROR(VLOOKUP(D176,Teams!$B$2:$I$21,7,FALSE),1)</f>
        <v>1</v>
      </c>
      <c r="AI176" s="12">
        <f t="shared" si="16"/>
        <v>0.14443366943336827</v>
      </c>
      <c r="AJ176" s="12">
        <f t="shared" si="17"/>
        <v>0.15130572554641356</v>
      </c>
      <c r="AK176" s="6" t="s">
        <v>66</v>
      </c>
      <c r="AL176" s="18"/>
      <c r="AM176" s="23"/>
      <c r="AN176" s="24">
        <v>2E-3</v>
      </c>
      <c r="AO176" s="25" t="b">
        <v>1</v>
      </c>
      <c r="AP176" s="23" t="s">
        <v>95</v>
      </c>
      <c r="AQ176" s="25" t="b">
        <v>0</v>
      </c>
      <c r="AR176" s="23"/>
      <c r="AS176" s="23" t="s">
        <v>68</v>
      </c>
    </row>
    <row r="177" spans="1:45" ht="60">
      <c r="A177" s="6">
        <v>171</v>
      </c>
      <c r="B177" s="6" t="s">
        <v>568</v>
      </c>
      <c r="C177" s="6" t="s">
        <v>569</v>
      </c>
      <c r="D177" s="6" t="s">
        <v>567</v>
      </c>
      <c r="E177" s="6" t="s">
        <v>7</v>
      </c>
      <c r="F177" s="9">
        <v>4</v>
      </c>
      <c r="G177" s="9">
        <v>4</v>
      </c>
      <c r="H177" s="10">
        <v>0</v>
      </c>
      <c r="I177" s="11">
        <v>0</v>
      </c>
      <c r="J177" s="11">
        <v>0</v>
      </c>
      <c r="K177" s="12">
        <f t="shared" si="12"/>
        <v>0</v>
      </c>
      <c r="L177" s="12">
        <f t="shared" si="13"/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1">
        <v>0</v>
      </c>
      <c r="S177" s="6"/>
      <c r="T177" s="6"/>
      <c r="U177" s="6"/>
      <c r="V177" s="7" t="b">
        <v>0</v>
      </c>
      <c r="W177" s="8">
        <f>IFERROR(VLOOKUP(D177,Teams!$B$2:$I$21,6,FALSE),"")</f>
        <v>0</v>
      </c>
      <c r="X177" s="2" t="s">
        <v>65</v>
      </c>
      <c r="Y177" s="13"/>
      <c r="Z177" s="14"/>
      <c r="AA177" s="15">
        <f>IFERROR(H177/(H177+Priors!$G$3),0)</f>
        <v>0</v>
      </c>
      <c r="AB177" s="16">
        <f>VLOOKUP(E177,Priors!$A$3:$C$6,2,FALSE)</f>
        <v>2.4013207263995197E-4</v>
      </c>
      <c r="AC177" s="16">
        <f>VLOOKUP(E177,Priors!$A$3:$C$6,3,FALSE)</f>
        <v>1.9810895992796044E-3</v>
      </c>
      <c r="AD177" s="12">
        <f t="shared" si="14"/>
        <v>2.4013207263995197E-4</v>
      </c>
      <c r="AE177" s="12">
        <f t="shared" si="15"/>
        <v>1.9810895992796044E-3</v>
      </c>
      <c r="AF177" s="17">
        <v>1</v>
      </c>
      <c r="AG177" s="17">
        <v>1</v>
      </c>
      <c r="AH177" s="16">
        <f>IFERROR(VLOOKUP(D177,Teams!$B$2:$I$21,7,FALSE),1)</f>
        <v>1</v>
      </c>
      <c r="AI177" s="12">
        <f t="shared" si="16"/>
        <v>2.4013207263995197E-4</v>
      </c>
      <c r="AJ177" s="12">
        <f t="shared" si="17"/>
        <v>1.9810895992796044E-3</v>
      </c>
      <c r="AK177" s="6" t="s">
        <v>66</v>
      </c>
      <c r="AL177" s="18"/>
      <c r="AM177" s="23"/>
      <c r="AN177" s="24">
        <v>0.03</v>
      </c>
      <c r="AO177" s="25" t="b">
        <v>1</v>
      </c>
      <c r="AP177" s="23" t="s">
        <v>570</v>
      </c>
      <c r="AQ177" s="25" t="b">
        <v>0</v>
      </c>
      <c r="AR177" s="23"/>
      <c r="AS177" s="23" t="s">
        <v>68</v>
      </c>
    </row>
    <row r="178" spans="1:45" ht="60">
      <c r="A178" s="6">
        <v>172</v>
      </c>
      <c r="B178" s="6" t="s">
        <v>384</v>
      </c>
      <c r="C178" s="6" t="s">
        <v>571</v>
      </c>
      <c r="D178" s="6" t="s">
        <v>567</v>
      </c>
      <c r="E178" s="6" t="s">
        <v>7</v>
      </c>
      <c r="F178" s="9">
        <v>4.5</v>
      </c>
      <c r="G178" s="9">
        <v>4.5</v>
      </c>
      <c r="H178" s="10">
        <v>0</v>
      </c>
      <c r="I178" s="11">
        <v>0</v>
      </c>
      <c r="J178" s="11">
        <v>0</v>
      </c>
      <c r="K178" s="12">
        <f t="shared" si="12"/>
        <v>0</v>
      </c>
      <c r="L178" s="12">
        <f t="shared" si="13"/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1">
        <v>0</v>
      </c>
      <c r="S178" s="6"/>
      <c r="T178" s="6"/>
      <c r="U178" s="6"/>
      <c r="V178" s="7" t="b">
        <v>0</v>
      </c>
      <c r="W178" s="8">
        <f>IFERROR(VLOOKUP(D178,Teams!$B$2:$I$21,6,FALSE),"")</f>
        <v>0</v>
      </c>
      <c r="X178" s="2" t="s">
        <v>65</v>
      </c>
      <c r="Y178" s="13"/>
      <c r="Z178" s="14"/>
      <c r="AA178" s="15">
        <f>IFERROR(H178/(H178+Priors!$G$3),0)</f>
        <v>0</v>
      </c>
      <c r="AB178" s="16">
        <f>VLOOKUP(E178,Priors!$A$3:$C$6,2,FALSE)</f>
        <v>2.4013207263995197E-4</v>
      </c>
      <c r="AC178" s="16">
        <f>VLOOKUP(E178,Priors!$A$3:$C$6,3,FALSE)</f>
        <v>1.9810895992796044E-3</v>
      </c>
      <c r="AD178" s="12">
        <f t="shared" si="14"/>
        <v>2.4013207263995197E-4</v>
      </c>
      <c r="AE178" s="12">
        <f t="shared" si="15"/>
        <v>1.9810895992796044E-3</v>
      </c>
      <c r="AF178" s="17">
        <v>1</v>
      </c>
      <c r="AG178" s="17">
        <v>1</v>
      </c>
      <c r="AH178" s="16">
        <f>IFERROR(VLOOKUP(D178,Teams!$B$2:$I$21,7,FALSE),1)</f>
        <v>1</v>
      </c>
      <c r="AI178" s="12">
        <f t="shared" si="16"/>
        <v>2.4013207263995197E-4</v>
      </c>
      <c r="AJ178" s="12">
        <f t="shared" si="17"/>
        <v>1.9810895992796044E-3</v>
      </c>
      <c r="AK178" s="6" t="s">
        <v>66</v>
      </c>
      <c r="AL178" s="18"/>
      <c r="AM178" s="23"/>
      <c r="AN178" s="24">
        <v>6.9999999999999993E-3</v>
      </c>
      <c r="AO178" s="25" t="b">
        <v>1</v>
      </c>
      <c r="AP178" s="23" t="s">
        <v>572</v>
      </c>
      <c r="AQ178" s="25" t="b">
        <v>0</v>
      </c>
      <c r="AR178" s="23"/>
      <c r="AS178" s="23" t="s">
        <v>68</v>
      </c>
    </row>
    <row r="179" spans="1:45" ht="60">
      <c r="A179" s="6">
        <v>173</v>
      </c>
      <c r="B179" s="6" t="s">
        <v>573</v>
      </c>
      <c r="C179" s="6" t="s">
        <v>574</v>
      </c>
      <c r="D179" s="6" t="s">
        <v>567</v>
      </c>
      <c r="E179" s="6" t="s">
        <v>9</v>
      </c>
      <c r="F179" s="9">
        <v>4</v>
      </c>
      <c r="G179" s="9">
        <v>4</v>
      </c>
      <c r="H179" s="10">
        <v>0</v>
      </c>
      <c r="I179" s="11">
        <v>0</v>
      </c>
      <c r="J179" s="11">
        <v>0</v>
      </c>
      <c r="K179" s="12">
        <f t="shared" si="12"/>
        <v>0</v>
      </c>
      <c r="L179" s="12">
        <f t="shared" si="13"/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1">
        <v>0</v>
      </c>
      <c r="S179" s="6"/>
      <c r="T179" s="6"/>
      <c r="U179" s="6"/>
      <c r="V179" s="7" t="b">
        <v>0</v>
      </c>
      <c r="W179" s="8">
        <f>IFERROR(VLOOKUP(D179,Teams!$B$2:$I$21,6,FALSE),"")</f>
        <v>0</v>
      </c>
      <c r="X179" s="2" t="s">
        <v>65</v>
      </c>
      <c r="Y179" s="13"/>
      <c r="Z179" s="14"/>
      <c r="AA179" s="15">
        <f>IFERROR(H179/(H179+Priors!$G$3),0)</f>
        <v>0</v>
      </c>
      <c r="AB179" s="16">
        <f>VLOOKUP(E179,Priors!$A$3:$C$6,2,FALSE)</f>
        <v>6.0081391379341341E-2</v>
      </c>
      <c r="AC179" s="16">
        <f>VLOOKUP(E179,Priors!$A$3:$C$6,3,FALSE)</f>
        <v>5.9588191961478354E-2</v>
      </c>
      <c r="AD179" s="12">
        <f t="shared" si="14"/>
        <v>6.0081391379341341E-2</v>
      </c>
      <c r="AE179" s="12">
        <f t="shared" si="15"/>
        <v>5.9588191961478354E-2</v>
      </c>
      <c r="AF179" s="17">
        <v>1</v>
      </c>
      <c r="AG179" s="17">
        <v>1</v>
      </c>
      <c r="AH179" s="16">
        <f>IFERROR(VLOOKUP(D179,Teams!$B$2:$I$21,7,FALSE),1)</f>
        <v>1</v>
      </c>
      <c r="AI179" s="12">
        <f t="shared" si="16"/>
        <v>6.0081391379341341E-2</v>
      </c>
      <c r="AJ179" s="12">
        <f t="shared" si="17"/>
        <v>5.9588191961478354E-2</v>
      </c>
      <c r="AK179" s="6" t="s">
        <v>66</v>
      </c>
      <c r="AL179" s="18"/>
      <c r="AM179" s="23"/>
      <c r="AN179" s="24">
        <v>8.6999999999999994E-2</v>
      </c>
      <c r="AO179" s="25" t="b">
        <v>1</v>
      </c>
      <c r="AP179" s="23" t="s">
        <v>575</v>
      </c>
      <c r="AQ179" s="25" t="b">
        <v>0</v>
      </c>
      <c r="AR179" s="23"/>
      <c r="AS179" s="23" t="s">
        <v>68</v>
      </c>
    </row>
    <row r="180" spans="1:45" ht="60">
      <c r="A180" s="6">
        <v>174</v>
      </c>
      <c r="B180" s="6" t="s">
        <v>576</v>
      </c>
      <c r="C180" s="6" t="s">
        <v>577</v>
      </c>
      <c r="D180" s="6" t="s">
        <v>567</v>
      </c>
      <c r="E180" s="6" t="s">
        <v>9</v>
      </c>
      <c r="F180" s="9">
        <v>4</v>
      </c>
      <c r="G180" s="9">
        <v>4</v>
      </c>
      <c r="H180" s="10">
        <v>0</v>
      </c>
      <c r="I180" s="11">
        <v>0</v>
      </c>
      <c r="J180" s="11">
        <v>0</v>
      </c>
      <c r="K180" s="12">
        <f t="shared" si="12"/>
        <v>0</v>
      </c>
      <c r="L180" s="12">
        <f t="shared" si="13"/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1">
        <v>0</v>
      </c>
      <c r="S180" s="6"/>
      <c r="T180" s="6"/>
      <c r="U180" s="6"/>
      <c r="V180" s="7" t="b">
        <v>0</v>
      </c>
      <c r="W180" s="8">
        <f>IFERROR(VLOOKUP(D180,Teams!$B$2:$I$21,6,FALSE),"")</f>
        <v>0</v>
      </c>
      <c r="X180" s="2" t="s">
        <v>65</v>
      </c>
      <c r="Y180" s="13"/>
      <c r="Z180" s="14"/>
      <c r="AA180" s="15">
        <f>IFERROR(H180/(H180+Priors!$G$3),0)</f>
        <v>0</v>
      </c>
      <c r="AB180" s="16">
        <f>VLOOKUP(E180,Priors!$A$3:$C$6,2,FALSE)</f>
        <v>6.0081391379341341E-2</v>
      </c>
      <c r="AC180" s="16">
        <f>VLOOKUP(E180,Priors!$A$3:$C$6,3,FALSE)</f>
        <v>5.9588191961478354E-2</v>
      </c>
      <c r="AD180" s="12">
        <f t="shared" si="14"/>
        <v>6.0081391379341341E-2</v>
      </c>
      <c r="AE180" s="12">
        <f t="shared" si="15"/>
        <v>5.9588191961478354E-2</v>
      </c>
      <c r="AF180" s="17">
        <v>1</v>
      </c>
      <c r="AG180" s="17">
        <v>1</v>
      </c>
      <c r="AH180" s="16">
        <f>IFERROR(VLOOKUP(D180,Teams!$B$2:$I$21,7,FALSE),1)</f>
        <v>1</v>
      </c>
      <c r="AI180" s="12">
        <f t="shared" si="16"/>
        <v>6.0081391379341341E-2</v>
      </c>
      <c r="AJ180" s="12">
        <f t="shared" si="17"/>
        <v>5.9588191961478354E-2</v>
      </c>
      <c r="AK180" s="6" t="s">
        <v>66</v>
      </c>
      <c r="AL180" s="18"/>
      <c r="AM180" s="23"/>
      <c r="AN180" s="24">
        <v>4.0000000000000001E-3</v>
      </c>
      <c r="AO180" s="25" t="b">
        <v>1</v>
      </c>
      <c r="AP180" s="23" t="s">
        <v>521</v>
      </c>
      <c r="AQ180" s="25" t="b">
        <v>0</v>
      </c>
      <c r="AR180" s="23"/>
      <c r="AS180" s="23" t="s">
        <v>68</v>
      </c>
    </row>
    <row r="181" spans="1:45" ht="60">
      <c r="A181" s="6">
        <v>175</v>
      </c>
      <c r="B181" s="6" t="s">
        <v>578</v>
      </c>
      <c r="C181" s="6" t="s">
        <v>579</v>
      </c>
      <c r="D181" s="6" t="s">
        <v>567</v>
      </c>
      <c r="E181" s="6" t="s">
        <v>9</v>
      </c>
      <c r="F181" s="9">
        <v>4</v>
      </c>
      <c r="G181" s="9">
        <v>4</v>
      </c>
      <c r="H181" s="10">
        <v>0</v>
      </c>
      <c r="I181" s="11">
        <v>0</v>
      </c>
      <c r="J181" s="11">
        <v>0</v>
      </c>
      <c r="K181" s="12">
        <f t="shared" si="12"/>
        <v>0</v>
      </c>
      <c r="L181" s="12">
        <f t="shared" si="13"/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1">
        <v>0</v>
      </c>
      <c r="S181" s="6"/>
      <c r="T181" s="6"/>
      <c r="U181" s="6"/>
      <c r="V181" s="7" t="b">
        <v>0</v>
      </c>
      <c r="W181" s="8">
        <f>IFERROR(VLOOKUP(D181,Teams!$B$2:$I$21,6,FALSE),"")</f>
        <v>0</v>
      </c>
      <c r="X181" s="2" t="s">
        <v>65</v>
      </c>
      <c r="Y181" s="13"/>
      <c r="Z181" s="14"/>
      <c r="AA181" s="15">
        <f>IFERROR(H181/(H181+Priors!$G$3),0)</f>
        <v>0</v>
      </c>
      <c r="AB181" s="16">
        <f>VLOOKUP(E181,Priors!$A$3:$C$6,2,FALSE)</f>
        <v>6.0081391379341341E-2</v>
      </c>
      <c r="AC181" s="16">
        <f>VLOOKUP(E181,Priors!$A$3:$C$6,3,FALSE)</f>
        <v>5.9588191961478354E-2</v>
      </c>
      <c r="AD181" s="12">
        <f t="shared" si="14"/>
        <v>6.0081391379341341E-2</v>
      </c>
      <c r="AE181" s="12">
        <f t="shared" si="15"/>
        <v>5.9588191961478354E-2</v>
      </c>
      <c r="AF181" s="17">
        <v>1</v>
      </c>
      <c r="AG181" s="17">
        <v>1</v>
      </c>
      <c r="AH181" s="16">
        <f>IFERROR(VLOOKUP(D181,Teams!$B$2:$I$21,7,FALSE),1)</f>
        <v>1</v>
      </c>
      <c r="AI181" s="12">
        <f t="shared" si="16"/>
        <v>6.0081391379341341E-2</v>
      </c>
      <c r="AJ181" s="12">
        <f t="shared" si="17"/>
        <v>5.9588191961478354E-2</v>
      </c>
      <c r="AK181" s="6" t="s">
        <v>66</v>
      </c>
      <c r="AL181" s="18"/>
      <c r="AM181" s="23"/>
      <c r="AN181" s="24">
        <v>0.16699999999999998</v>
      </c>
      <c r="AO181" s="25" t="b">
        <v>1</v>
      </c>
      <c r="AP181" s="23" t="s">
        <v>580</v>
      </c>
      <c r="AQ181" s="25" t="b">
        <v>0</v>
      </c>
      <c r="AR181" s="23"/>
      <c r="AS181" s="23" t="s">
        <v>68</v>
      </c>
    </row>
    <row r="182" spans="1:45" ht="60">
      <c r="A182" s="6">
        <v>176</v>
      </c>
      <c r="B182" s="6" t="s">
        <v>373</v>
      </c>
      <c r="C182" s="6" t="s">
        <v>581</v>
      </c>
      <c r="D182" s="6" t="s">
        <v>567</v>
      </c>
      <c r="E182" s="6" t="s">
        <v>9</v>
      </c>
      <c r="F182" s="9">
        <v>4</v>
      </c>
      <c r="G182" s="9">
        <v>4</v>
      </c>
      <c r="H182" s="10">
        <v>0</v>
      </c>
      <c r="I182" s="11">
        <v>0</v>
      </c>
      <c r="J182" s="11">
        <v>0</v>
      </c>
      <c r="K182" s="12">
        <f t="shared" si="12"/>
        <v>0</v>
      </c>
      <c r="L182" s="12">
        <f t="shared" si="13"/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1">
        <v>0</v>
      </c>
      <c r="S182" s="6"/>
      <c r="T182" s="6"/>
      <c r="U182" s="6"/>
      <c r="V182" s="7" t="b">
        <v>0</v>
      </c>
      <c r="W182" s="8">
        <f>IFERROR(VLOOKUP(D182,Teams!$B$2:$I$21,6,FALSE),"")</f>
        <v>0</v>
      </c>
      <c r="X182" s="2" t="s">
        <v>65</v>
      </c>
      <c r="Y182" s="13"/>
      <c r="Z182" s="14"/>
      <c r="AA182" s="15">
        <f>IFERROR(H182/(H182+Priors!$G$3),0)</f>
        <v>0</v>
      </c>
      <c r="AB182" s="16">
        <f>VLOOKUP(E182,Priors!$A$3:$C$6,2,FALSE)</f>
        <v>6.0081391379341341E-2</v>
      </c>
      <c r="AC182" s="16">
        <f>VLOOKUP(E182,Priors!$A$3:$C$6,3,FALSE)</f>
        <v>5.9588191961478354E-2</v>
      </c>
      <c r="AD182" s="12">
        <f t="shared" si="14"/>
        <v>6.0081391379341341E-2</v>
      </c>
      <c r="AE182" s="12">
        <f t="shared" si="15"/>
        <v>5.9588191961478354E-2</v>
      </c>
      <c r="AF182" s="17">
        <v>1</v>
      </c>
      <c r="AG182" s="17">
        <v>1</v>
      </c>
      <c r="AH182" s="16">
        <f>IFERROR(VLOOKUP(D182,Teams!$B$2:$I$21,7,FALSE),1)</f>
        <v>1</v>
      </c>
      <c r="AI182" s="12">
        <f t="shared" si="16"/>
        <v>6.0081391379341341E-2</v>
      </c>
      <c r="AJ182" s="12">
        <f t="shared" si="17"/>
        <v>5.9588191961478354E-2</v>
      </c>
      <c r="AK182" s="6" t="s">
        <v>66</v>
      </c>
      <c r="AL182" s="18"/>
      <c r="AM182" s="23"/>
      <c r="AN182" s="24">
        <v>4.0000000000000001E-3</v>
      </c>
      <c r="AO182" s="25" t="b">
        <v>1</v>
      </c>
      <c r="AP182" s="23" t="s">
        <v>273</v>
      </c>
      <c r="AQ182" s="25" t="b">
        <v>0</v>
      </c>
      <c r="AR182" s="23"/>
      <c r="AS182" s="23" t="s">
        <v>68</v>
      </c>
    </row>
    <row r="183" spans="1:45" ht="60">
      <c r="A183" s="6">
        <v>177</v>
      </c>
      <c r="B183" s="6" t="s">
        <v>582</v>
      </c>
      <c r="C183" s="6" t="s">
        <v>583</v>
      </c>
      <c r="D183" s="6" t="s">
        <v>567</v>
      </c>
      <c r="E183" s="6" t="s">
        <v>9</v>
      </c>
      <c r="F183" s="9">
        <v>4</v>
      </c>
      <c r="G183" s="9">
        <v>4</v>
      </c>
      <c r="H183" s="10">
        <v>0</v>
      </c>
      <c r="I183" s="11">
        <v>0</v>
      </c>
      <c r="J183" s="11">
        <v>0</v>
      </c>
      <c r="K183" s="12">
        <f t="shared" si="12"/>
        <v>0</v>
      </c>
      <c r="L183" s="12">
        <f t="shared" si="13"/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1">
        <v>0</v>
      </c>
      <c r="S183" s="6"/>
      <c r="T183" s="6"/>
      <c r="U183" s="6"/>
      <c r="V183" s="7" t="b">
        <v>0</v>
      </c>
      <c r="W183" s="8">
        <f>IFERROR(VLOOKUP(D183,Teams!$B$2:$I$21,6,FALSE),"")</f>
        <v>0</v>
      </c>
      <c r="X183" s="2" t="s">
        <v>65</v>
      </c>
      <c r="Y183" s="13"/>
      <c r="Z183" s="14"/>
      <c r="AA183" s="15">
        <f>IFERROR(H183/(H183+Priors!$G$3),0)</f>
        <v>0</v>
      </c>
      <c r="AB183" s="16">
        <f>VLOOKUP(E183,Priors!$A$3:$C$6,2,FALSE)</f>
        <v>6.0081391379341341E-2</v>
      </c>
      <c r="AC183" s="16">
        <f>VLOOKUP(E183,Priors!$A$3:$C$6,3,FALSE)</f>
        <v>5.9588191961478354E-2</v>
      </c>
      <c r="AD183" s="12">
        <f t="shared" si="14"/>
        <v>6.0081391379341341E-2</v>
      </c>
      <c r="AE183" s="12">
        <f t="shared" si="15"/>
        <v>5.9588191961478354E-2</v>
      </c>
      <c r="AF183" s="17">
        <v>1</v>
      </c>
      <c r="AG183" s="17">
        <v>1</v>
      </c>
      <c r="AH183" s="16">
        <f>IFERROR(VLOOKUP(D183,Teams!$B$2:$I$21,7,FALSE),1)</f>
        <v>1</v>
      </c>
      <c r="AI183" s="12">
        <f t="shared" si="16"/>
        <v>6.0081391379341341E-2</v>
      </c>
      <c r="AJ183" s="12">
        <f t="shared" si="17"/>
        <v>5.9588191961478354E-2</v>
      </c>
      <c r="AK183" s="6" t="s">
        <v>66</v>
      </c>
      <c r="AL183" s="18"/>
      <c r="AM183" s="23"/>
      <c r="AN183" s="24">
        <v>1E-3</v>
      </c>
      <c r="AO183" s="25" t="b">
        <v>1</v>
      </c>
      <c r="AP183" s="23" t="s">
        <v>71</v>
      </c>
      <c r="AQ183" s="25" t="b">
        <v>0</v>
      </c>
      <c r="AR183" s="23"/>
      <c r="AS183" s="23" t="s">
        <v>68</v>
      </c>
    </row>
    <row r="184" spans="1:45" ht="60">
      <c r="A184" s="6">
        <v>178</v>
      </c>
      <c r="B184" s="6" t="s">
        <v>584</v>
      </c>
      <c r="C184" s="6" t="s">
        <v>585</v>
      </c>
      <c r="D184" s="6" t="s">
        <v>567</v>
      </c>
      <c r="E184" s="6" t="s">
        <v>9</v>
      </c>
      <c r="F184" s="9">
        <v>4</v>
      </c>
      <c r="G184" s="9">
        <v>4</v>
      </c>
      <c r="H184" s="10">
        <v>0</v>
      </c>
      <c r="I184" s="11">
        <v>0</v>
      </c>
      <c r="J184" s="11">
        <v>0</v>
      </c>
      <c r="K184" s="12">
        <f t="shared" si="12"/>
        <v>0</v>
      </c>
      <c r="L184" s="12">
        <f t="shared" si="13"/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1">
        <v>0</v>
      </c>
      <c r="S184" s="6"/>
      <c r="T184" s="6"/>
      <c r="U184" s="6"/>
      <c r="V184" s="7" t="b">
        <v>0</v>
      </c>
      <c r="W184" s="8">
        <f>IFERROR(VLOOKUP(D184,Teams!$B$2:$I$21,6,FALSE),"")</f>
        <v>0</v>
      </c>
      <c r="X184" s="2" t="s">
        <v>65</v>
      </c>
      <c r="Y184" s="13"/>
      <c r="Z184" s="14"/>
      <c r="AA184" s="15">
        <f>IFERROR(H184/(H184+Priors!$G$3),0)</f>
        <v>0</v>
      </c>
      <c r="AB184" s="16">
        <f>VLOOKUP(E184,Priors!$A$3:$C$6,2,FALSE)</f>
        <v>6.0081391379341341E-2</v>
      </c>
      <c r="AC184" s="16">
        <f>VLOOKUP(E184,Priors!$A$3:$C$6,3,FALSE)</f>
        <v>5.9588191961478354E-2</v>
      </c>
      <c r="AD184" s="12">
        <f t="shared" si="14"/>
        <v>6.0081391379341341E-2</v>
      </c>
      <c r="AE184" s="12">
        <f t="shared" si="15"/>
        <v>5.9588191961478354E-2</v>
      </c>
      <c r="AF184" s="17">
        <v>1</v>
      </c>
      <c r="AG184" s="17">
        <v>1</v>
      </c>
      <c r="AH184" s="16">
        <f>IFERROR(VLOOKUP(D184,Teams!$B$2:$I$21,7,FALSE),1)</f>
        <v>1</v>
      </c>
      <c r="AI184" s="12">
        <f t="shared" si="16"/>
        <v>6.0081391379341341E-2</v>
      </c>
      <c r="AJ184" s="12">
        <f t="shared" si="17"/>
        <v>5.9588191961478354E-2</v>
      </c>
      <c r="AK184" s="6" t="s">
        <v>66</v>
      </c>
      <c r="AL184" s="18"/>
      <c r="AM184" s="23"/>
      <c r="AN184" s="24">
        <v>1E-3</v>
      </c>
      <c r="AO184" s="25" t="b">
        <v>1</v>
      </c>
      <c r="AP184" s="23" t="s">
        <v>586</v>
      </c>
      <c r="AQ184" s="25" t="b">
        <v>0</v>
      </c>
      <c r="AR184" s="23"/>
      <c r="AS184" s="23" t="s">
        <v>68</v>
      </c>
    </row>
    <row r="185" spans="1:45" ht="60">
      <c r="A185" s="6">
        <v>179</v>
      </c>
      <c r="B185" s="6" t="s">
        <v>587</v>
      </c>
      <c r="C185" s="6" t="s">
        <v>588</v>
      </c>
      <c r="D185" s="6" t="s">
        <v>567</v>
      </c>
      <c r="E185" s="6" t="s">
        <v>9</v>
      </c>
      <c r="F185" s="9">
        <v>4</v>
      </c>
      <c r="G185" s="9">
        <v>4</v>
      </c>
      <c r="H185" s="10">
        <v>0</v>
      </c>
      <c r="I185" s="11">
        <v>0</v>
      </c>
      <c r="J185" s="11">
        <v>0</v>
      </c>
      <c r="K185" s="12">
        <f t="shared" si="12"/>
        <v>0</v>
      </c>
      <c r="L185" s="12">
        <f t="shared" si="13"/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1">
        <v>0</v>
      </c>
      <c r="S185" s="6"/>
      <c r="T185" s="6"/>
      <c r="U185" s="6"/>
      <c r="V185" s="7" t="b">
        <v>0</v>
      </c>
      <c r="W185" s="8">
        <f>IFERROR(VLOOKUP(D185,Teams!$B$2:$I$21,6,FALSE),"")</f>
        <v>0</v>
      </c>
      <c r="X185" s="2" t="s">
        <v>65</v>
      </c>
      <c r="Y185" s="13"/>
      <c r="Z185" s="14"/>
      <c r="AA185" s="15">
        <f>IFERROR(H185/(H185+Priors!$G$3),0)</f>
        <v>0</v>
      </c>
      <c r="AB185" s="16">
        <f>VLOOKUP(E185,Priors!$A$3:$C$6,2,FALSE)</f>
        <v>6.0081391379341341E-2</v>
      </c>
      <c r="AC185" s="16">
        <f>VLOOKUP(E185,Priors!$A$3:$C$6,3,FALSE)</f>
        <v>5.9588191961478354E-2</v>
      </c>
      <c r="AD185" s="12">
        <f t="shared" si="14"/>
        <v>6.0081391379341341E-2</v>
      </c>
      <c r="AE185" s="12">
        <f t="shared" si="15"/>
        <v>5.9588191961478354E-2</v>
      </c>
      <c r="AF185" s="17">
        <v>1</v>
      </c>
      <c r="AG185" s="17">
        <v>1</v>
      </c>
      <c r="AH185" s="16">
        <f>IFERROR(VLOOKUP(D185,Teams!$B$2:$I$21,7,FALSE),1)</f>
        <v>1</v>
      </c>
      <c r="AI185" s="12">
        <f t="shared" si="16"/>
        <v>6.0081391379341341E-2</v>
      </c>
      <c r="AJ185" s="12">
        <f t="shared" si="17"/>
        <v>5.9588191961478354E-2</v>
      </c>
      <c r="AK185" s="6" t="s">
        <v>66</v>
      </c>
      <c r="AL185" s="18"/>
      <c r="AM185" s="23"/>
      <c r="AN185" s="24">
        <v>1E-3</v>
      </c>
      <c r="AO185" s="25" t="b">
        <v>1</v>
      </c>
      <c r="AP185" s="23" t="s">
        <v>589</v>
      </c>
      <c r="AQ185" s="25" t="b">
        <v>0</v>
      </c>
      <c r="AR185" s="23"/>
      <c r="AS185" s="23" t="s">
        <v>68</v>
      </c>
    </row>
    <row r="186" spans="1:45" ht="60">
      <c r="A186" s="6">
        <v>180</v>
      </c>
      <c r="B186" s="6" t="s">
        <v>590</v>
      </c>
      <c r="C186" s="6" t="s">
        <v>591</v>
      </c>
      <c r="D186" s="6" t="s">
        <v>567</v>
      </c>
      <c r="E186" s="6" t="s">
        <v>9</v>
      </c>
      <c r="F186" s="9">
        <v>4</v>
      </c>
      <c r="G186" s="9">
        <v>4</v>
      </c>
      <c r="H186" s="10">
        <v>0</v>
      </c>
      <c r="I186" s="11">
        <v>0</v>
      </c>
      <c r="J186" s="11">
        <v>0</v>
      </c>
      <c r="K186" s="12">
        <f t="shared" si="12"/>
        <v>0</v>
      </c>
      <c r="L186" s="12">
        <f t="shared" si="13"/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1">
        <v>0</v>
      </c>
      <c r="S186" s="6"/>
      <c r="T186" s="6"/>
      <c r="U186" s="6"/>
      <c r="V186" s="7" t="b">
        <v>0</v>
      </c>
      <c r="W186" s="8">
        <f>IFERROR(VLOOKUP(D186,Teams!$B$2:$I$21,6,FALSE),"")</f>
        <v>0</v>
      </c>
      <c r="X186" s="2" t="s">
        <v>65</v>
      </c>
      <c r="Y186" s="13"/>
      <c r="Z186" s="14"/>
      <c r="AA186" s="15">
        <f>IFERROR(H186/(H186+Priors!$G$3),0)</f>
        <v>0</v>
      </c>
      <c r="AB186" s="16">
        <f>VLOOKUP(E186,Priors!$A$3:$C$6,2,FALSE)</f>
        <v>6.0081391379341341E-2</v>
      </c>
      <c r="AC186" s="16">
        <f>VLOOKUP(E186,Priors!$A$3:$C$6,3,FALSE)</f>
        <v>5.9588191961478354E-2</v>
      </c>
      <c r="AD186" s="12">
        <f t="shared" si="14"/>
        <v>6.0081391379341341E-2</v>
      </c>
      <c r="AE186" s="12">
        <f t="shared" si="15"/>
        <v>5.9588191961478354E-2</v>
      </c>
      <c r="AF186" s="17">
        <v>1</v>
      </c>
      <c r="AG186" s="17">
        <v>1</v>
      </c>
      <c r="AH186" s="16">
        <f>IFERROR(VLOOKUP(D186,Teams!$B$2:$I$21,7,FALSE),1)</f>
        <v>1</v>
      </c>
      <c r="AI186" s="12">
        <f t="shared" si="16"/>
        <v>6.0081391379341341E-2</v>
      </c>
      <c r="AJ186" s="12">
        <f t="shared" si="17"/>
        <v>5.9588191961478354E-2</v>
      </c>
      <c r="AK186" s="6" t="s">
        <v>66</v>
      </c>
      <c r="AL186" s="18"/>
      <c r="AM186" s="23"/>
      <c r="AN186" s="24">
        <v>3.0000000000000001E-3</v>
      </c>
      <c r="AO186" s="25" t="b">
        <v>1</v>
      </c>
      <c r="AP186" s="23" t="s">
        <v>181</v>
      </c>
      <c r="AQ186" s="25" t="b">
        <v>0</v>
      </c>
      <c r="AR186" s="23"/>
      <c r="AS186" s="23" t="s">
        <v>68</v>
      </c>
    </row>
    <row r="187" spans="1:45" ht="60">
      <c r="A187" s="6">
        <v>181</v>
      </c>
      <c r="B187" s="6" t="s">
        <v>592</v>
      </c>
      <c r="C187" s="6" t="s">
        <v>593</v>
      </c>
      <c r="D187" s="6" t="s">
        <v>567</v>
      </c>
      <c r="E187" s="6" t="s">
        <v>9</v>
      </c>
      <c r="F187" s="9">
        <v>4</v>
      </c>
      <c r="G187" s="9">
        <v>4</v>
      </c>
      <c r="H187" s="10">
        <v>0</v>
      </c>
      <c r="I187" s="11">
        <v>0</v>
      </c>
      <c r="J187" s="11">
        <v>0</v>
      </c>
      <c r="K187" s="12">
        <f t="shared" si="12"/>
        <v>0</v>
      </c>
      <c r="L187" s="12">
        <f t="shared" si="13"/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1">
        <v>0</v>
      </c>
      <c r="S187" s="6"/>
      <c r="T187" s="6"/>
      <c r="U187" s="6"/>
      <c r="V187" s="7" t="b">
        <v>0</v>
      </c>
      <c r="W187" s="8">
        <f>IFERROR(VLOOKUP(D187,Teams!$B$2:$I$21,6,FALSE),"")</f>
        <v>0</v>
      </c>
      <c r="X187" s="2" t="s">
        <v>65</v>
      </c>
      <c r="Y187" s="13"/>
      <c r="Z187" s="14"/>
      <c r="AA187" s="15">
        <f>IFERROR(H187/(H187+Priors!$G$3),0)</f>
        <v>0</v>
      </c>
      <c r="AB187" s="16">
        <f>VLOOKUP(E187,Priors!$A$3:$C$6,2,FALSE)</f>
        <v>6.0081391379341341E-2</v>
      </c>
      <c r="AC187" s="16">
        <f>VLOOKUP(E187,Priors!$A$3:$C$6,3,FALSE)</f>
        <v>5.9588191961478354E-2</v>
      </c>
      <c r="AD187" s="12">
        <f t="shared" si="14"/>
        <v>6.0081391379341341E-2</v>
      </c>
      <c r="AE187" s="12">
        <f t="shared" si="15"/>
        <v>5.9588191961478354E-2</v>
      </c>
      <c r="AF187" s="17">
        <v>1</v>
      </c>
      <c r="AG187" s="17">
        <v>1</v>
      </c>
      <c r="AH187" s="16">
        <f>IFERROR(VLOOKUP(D187,Teams!$B$2:$I$21,7,FALSE),1)</f>
        <v>1</v>
      </c>
      <c r="AI187" s="12">
        <f t="shared" si="16"/>
        <v>6.0081391379341341E-2</v>
      </c>
      <c r="AJ187" s="12">
        <f t="shared" si="17"/>
        <v>5.9588191961478354E-2</v>
      </c>
      <c r="AK187" s="6" t="s">
        <v>66</v>
      </c>
      <c r="AL187" s="18"/>
      <c r="AM187" s="23"/>
      <c r="AN187" s="24">
        <v>1E-3</v>
      </c>
      <c r="AO187" s="25" t="b">
        <v>1</v>
      </c>
      <c r="AP187" s="23" t="s">
        <v>71</v>
      </c>
      <c r="AQ187" s="25" t="b">
        <v>0</v>
      </c>
      <c r="AR187" s="23"/>
      <c r="AS187" s="23" t="s">
        <v>68</v>
      </c>
    </row>
    <row r="188" spans="1:45" ht="60">
      <c r="A188" s="6">
        <v>182</v>
      </c>
      <c r="B188" s="6" t="s">
        <v>594</v>
      </c>
      <c r="C188" s="6" t="s">
        <v>595</v>
      </c>
      <c r="D188" s="6" t="s">
        <v>567</v>
      </c>
      <c r="E188" s="6" t="s">
        <v>9</v>
      </c>
      <c r="F188" s="9">
        <v>4</v>
      </c>
      <c r="G188" s="9">
        <v>4</v>
      </c>
      <c r="H188" s="10">
        <v>0</v>
      </c>
      <c r="I188" s="11">
        <v>0</v>
      </c>
      <c r="J188" s="11">
        <v>0</v>
      </c>
      <c r="K188" s="12">
        <f t="shared" si="12"/>
        <v>0</v>
      </c>
      <c r="L188" s="12">
        <f t="shared" si="13"/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1">
        <v>0</v>
      </c>
      <c r="S188" s="6"/>
      <c r="T188" s="6"/>
      <c r="U188" s="6"/>
      <c r="V188" s="7" t="b">
        <v>1</v>
      </c>
      <c r="W188" s="8">
        <f>IFERROR(VLOOKUP(D188,Teams!$B$2:$I$21,6,FALSE),"")</f>
        <v>0</v>
      </c>
      <c r="X188" s="2" t="s">
        <v>65</v>
      </c>
      <c r="Y188" s="13"/>
      <c r="Z188" s="14"/>
      <c r="AA188" s="15">
        <f>IFERROR(H188/(H188+Priors!$G$3),0)</f>
        <v>0</v>
      </c>
      <c r="AB188" s="16">
        <f>VLOOKUP(E188,Priors!$A$3:$C$6,2,FALSE)</f>
        <v>6.0081391379341341E-2</v>
      </c>
      <c r="AC188" s="16">
        <f>VLOOKUP(E188,Priors!$A$3:$C$6,3,FALSE)</f>
        <v>5.9588191961478354E-2</v>
      </c>
      <c r="AD188" s="12">
        <f t="shared" si="14"/>
        <v>6.0081391379341341E-2</v>
      </c>
      <c r="AE188" s="12">
        <f t="shared" si="15"/>
        <v>5.9588191961478354E-2</v>
      </c>
      <c r="AF188" s="17">
        <v>1</v>
      </c>
      <c r="AG188" s="17">
        <v>1</v>
      </c>
      <c r="AH188" s="16">
        <f>IFERROR(VLOOKUP(D188,Teams!$B$2:$I$21,7,FALSE),1)</f>
        <v>1</v>
      </c>
      <c r="AI188" s="12">
        <f t="shared" si="16"/>
        <v>6.0081391379341341E-2</v>
      </c>
      <c r="AJ188" s="12">
        <f t="shared" si="17"/>
        <v>5.9588191961478354E-2</v>
      </c>
      <c r="AK188" s="6" t="s">
        <v>66</v>
      </c>
      <c r="AL188" s="18"/>
      <c r="AM188" s="23"/>
      <c r="AN188" s="24">
        <v>5.0000000000000001E-3</v>
      </c>
      <c r="AO188" s="25" t="b">
        <v>1</v>
      </c>
      <c r="AP188" s="23" t="s">
        <v>596</v>
      </c>
      <c r="AQ188" s="25" t="b">
        <v>0</v>
      </c>
      <c r="AR188" s="23"/>
      <c r="AS188" s="23" t="s">
        <v>68</v>
      </c>
    </row>
    <row r="189" spans="1:45" ht="60">
      <c r="A189" s="6">
        <v>183</v>
      </c>
      <c r="B189" s="6" t="s">
        <v>597</v>
      </c>
      <c r="C189" s="6" t="s">
        <v>598</v>
      </c>
      <c r="D189" s="6" t="s">
        <v>567</v>
      </c>
      <c r="E189" s="6" t="s">
        <v>11</v>
      </c>
      <c r="F189" s="9">
        <v>5</v>
      </c>
      <c r="G189" s="9">
        <v>5</v>
      </c>
      <c r="H189" s="10">
        <v>0</v>
      </c>
      <c r="I189" s="11">
        <v>0</v>
      </c>
      <c r="J189" s="11">
        <v>0</v>
      </c>
      <c r="K189" s="12">
        <f t="shared" si="12"/>
        <v>0</v>
      </c>
      <c r="L189" s="12">
        <f t="shared" si="13"/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1">
        <v>0</v>
      </c>
      <c r="S189" s="6"/>
      <c r="T189" s="6">
        <v>1</v>
      </c>
      <c r="U189" s="6">
        <v>5</v>
      </c>
      <c r="V189" s="7" t="b">
        <v>0</v>
      </c>
      <c r="W189" s="8">
        <f>IFERROR(VLOOKUP(D189,Teams!$B$2:$I$21,6,FALSE),"")</f>
        <v>0</v>
      </c>
      <c r="X189" s="2" t="s">
        <v>65</v>
      </c>
      <c r="Y189" s="13"/>
      <c r="Z189" s="14"/>
      <c r="AA189" s="15">
        <f>IFERROR(H189/(H189+Priors!$G$3),0)</f>
        <v>0</v>
      </c>
      <c r="AB189" s="16">
        <f>VLOOKUP(E189,Priors!$A$3:$C$6,2,FALSE)</f>
        <v>0.15714383234350468</v>
      </c>
      <c r="AC189" s="16">
        <f>VLOOKUP(E189,Priors!$A$3:$C$6,3,FALSE)</f>
        <v>0.13222062939449797</v>
      </c>
      <c r="AD189" s="12">
        <f t="shared" si="14"/>
        <v>0.15714383234350468</v>
      </c>
      <c r="AE189" s="12">
        <f t="shared" si="15"/>
        <v>0.13222062939449797</v>
      </c>
      <c r="AF189" s="17">
        <v>1</v>
      </c>
      <c r="AG189" s="17">
        <v>1</v>
      </c>
      <c r="AH189" s="16">
        <f>IFERROR(VLOOKUP(D189,Teams!$B$2:$I$21,7,FALSE),1)</f>
        <v>1</v>
      </c>
      <c r="AI189" s="12">
        <f t="shared" si="16"/>
        <v>0.15714383234350468</v>
      </c>
      <c r="AJ189" s="12">
        <f t="shared" si="17"/>
        <v>0.13222062939449797</v>
      </c>
      <c r="AK189" s="6" t="s">
        <v>204</v>
      </c>
      <c r="AL189" s="18">
        <v>75</v>
      </c>
      <c r="AM189" s="23" t="s">
        <v>599</v>
      </c>
      <c r="AN189" s="24">
        <v>3.0000000000000001E-3</v>
      </c>
      <c r="AO189" s="25" t="b">
        <v>1</v>
      </c>
      <c r="AP189" s="23" t="s">
        <v>600</v>
      </c>
      <c r="AQ189" s="25" t="b">
        <v>0</v>
      </c>
      <c r="AR189" s="23"/>
      <c r="AS189" s="23" t="s">
        <v>68</v>
      </c>
    </row>
    <row r="190" spans="1:45" ht="60">
      <c r="A190" s="6">
        <v>184</v>
      </c>
      <c r="B190" s="6" t="s">
        <v>601</v>
      </c>
      <c r="C190" s="6" t="s">
        <v>602</v>
      </c>
      <c r="D190" s="6" t="s">
        <v>567</v>
      </c>
      <c r="E190" s="6" t="s">
        <v>11</v>
      </c>
      <c r="F190" s="9">
        <v>5</v>
      </c>
      <c r="G190" s="9">
        <v>5</v>
      </c>
      <c r="H190" s="10">
        <v>0</v>
      </c>
      <c r="I190" s="11">
        <v>0</v>
      </c>
      <c r="J190" s="11">
        <v>0</v>
      </c>
      <c r="K190" s="12">
        <f t="shared" si="12"/>
        <v>0</v>
      </c>
      <c r="L190" s="12">
        <f t="shared" si="13"/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1">
        <v>0</v>
      </c>
      <c r="S190" s="6">
        <v>3</v>
      </c>
      <c r="T190" s="6"/>
      <c r="U190" s="6">
        <v>4</v>
      </c>
      <c r="V190" s="7" t="b">
        <v>0</v>
      </c>
      <c r="W190" s="8">
        <f>IFERROR(VLOOKUP(D190,Teams!$B$2:$I$21,6,FALSE),"")</f>
        <v>0</v>
      </c>
      <c r="X190" s="2" t="s">
        <v>65</v>
      </c>
      <c r="Y190" s="13"/>
      <c r="Z190" s="14"/>
      <c r="AA190" s="15">
        <f>IFERROR(H190/(H190+Priors!$G$3),0)</f>
        <v>0</v>
      </c>
      <c r="AB190" s="16">
        <f>VLOOKUP(E190,Priors!$A$3:$C$6,2,FALSE)</f>
        <v>0.15714383234350468</v>
      </c>
      <c r="AC190" s="16">
        <f>VLOOKUP(E190,Priors!$A$3:$C$6,3,FALSE)</f>
        <v>0.13222062939449797</v>
      </c>
      <c r="AD190" s="12">
        <f t="shared" si="14"/>
        <v>0.15714383234350468</v>
      </c>
      <c r="AE190" s="12">
        <f t="shared" si="15"/>
        <v>0.13222062939449797</v>
      </c>
      <c r="AF190" s="17">
        <v>1</v>
      </c>
      <c r="AG190" s="17">
        <v>1</v>
      </c>
      <c r="AH190" s="16">
        <f>IFERROR(VLOOKUP(D190,Teams!$B$2:$I$21,7,FALSE),1)</f>
        <v>1</v>
      </c>
      <c r="AI190" s="12">
        <f t="shared" si="16"/>
        <v>0.15714383234350468</v>
      </c>
      <c r="AJ190" s="12">
        <f t="shared" si="17"/>
        <v>0.13222062939449797</v>
      </c>
      <c r="AK190" s="6" t="s">
        <v>66</v>
      </c>
      <c r="AL190" s="18"/>
      <c r="AM190" s="23"/>
      <c r="AN190" s="24">
        <v>2E-3</v>
      </c>
      <c r="AO190" s="25" t="b">
        <v>1</v>
      </c>
      <c r="AP190" s="23" t="s">
        <v>603</v>
      </c>
      <c r="AQ190" s="25" t="b">
        <v>0</v>
      </c>
      <c r="AR190" s="23"/>
      <c r="AS190" s="23" t="s">
        <v>68</v>
      </c>
    </row>
    <row r="191" spans="1:45" ht="60">
      <c r="A191" s="6">
        <v>185</v>
      </c>
      <c r="B191" s="6" t="s">
        <v>604</v>
      </c>
      <c r="C191" s="6" t="s">
        <v>605</v>
      </c>
      <c r="D191" s="6" t="s">
        <v>567</v>
      </c>
      <c r="E191" s="6" t="s">
        <v>11</v>
      </c>
      <c r="F191" s="9">
        <v>5</v>
      </c>
      <c r="G191" s="9">
        <v>5</v>
      </c>
      <c r="H191" s="10">
        <v>0</v>
      </c>
      <c r="I191" s="11">
        <v>0</v>
      </c>
      <c r="J191" s="11">
        <v>0</v>
      </c>
      <c r="K191" s="12">
        <f t="shared" si="12"/>
        <v>0</v>
      </c>
      <c r="L191" s="12">
        <f t="shared" si="13"/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1">
        <v>0</v>
      </c>
      <c r="S191" s="6"/>
      <c r="T191" s="6"/>
      <c r="U191" s="6"/>
      <c r="V191" s="7" t="b">
        <v>0</v>
      </c>
      <c r="W191" s="8">
        <f>IFERROR(VLOOKUP(D191,Teams!$B$2:$I$21,6,FALSE),"")</f>
        <v>0</v>
      </c>
      <c r="X191" s="2" t="s">
        <v>65</v>
      </c>
      <c r="Y191" s="13"/>
      <c r="Z191" s="14"/>
      <c r="AA191" s="15">
        <f>IFERROR(H191/(H191+Priors!$G$3),0)</f>
        <v>0</v>
      </c>
      <c r="AB191" s="16">
        <f>VLOOKUP(E191,Priors!$A$3:$C$6,2,FALSE)</f>
        <v>0.15714383234350468</v>
      </c>
      <c r="AC191" s="16">
        <f>VLOOKUP(E191,Priors!$A$3:$C$6,3,FALSE)</f>
        <v>0.13222062939449797</v>
      </c>
      <c r="AD191" s="12">
        <f t="shared" si="14"/>
        <v>0.15714383234350468</v>
      </c>
      <c r="AE191" s="12">
        <f t="shared" si="15"/>
        <v>0.13222062939449797</v>
      </c>
      <c r="AF191" s="17">
        <v>1</v>
      </c>
      <c r="AG191" s="17">
        <v>1</v>
      </c>
      <c r="AH191" s="16">
        <f>IFERROR(VLOOKUP(D191,Teams!$B$2:$I$21,7,FALSE),1)</f>
        <v>1</v>
      </c>
      <c r="AI191" s="12">
        <f t="shared" si="16"/>
        <v>0.15714383234350468</v>
      </c>
      <c r="AJ191" s="12">
        <f t="shared" si="17"/>
        <v>0.13222062939449797</v>
      </c>
      <c r="AK191" s="6" t="s">
        <v>66</v>
      </c>
      <c r="AL191" s="18"/>
      <c r="AM191" s="23"/>
      <c r="AN191" s="24">
        <v>1E-3</v>
      </c>
      <c r="AO191" s="25" t="b">
        <v>1</v>
      </c>
      <c r="AP191" s="23" t="s">
        <v>606</v>
      </c>
      <c r="AQ191" s="25" t="b">
        <v>0</v>
      </c>
      <c r="AR191" s="23"/>
      <c r="AS191" s="23" t="s">
        <v>68</v>
      </c>
    </row>
    <row r="192" spans="1:45" ht="60">
      <c r="A192" s="6">
        <v>186</v>
      </c>
      <c r="B192" s="6" t="s">
        <v>607</v>
      </c>
      <c r="C192" s="6" t="s">
        <v>608</v>
      </c>
      <c r="D192" s="6" t="s">
        <v>567</v>
      </c>
      <c r="E192" s="6" t="s">
        <v>11</v>
      </c>
      <c r="F192" s="9">
        <v>5.5</v>
      </c>
      <c r="G192" s="9">
        <v>5.5</v>
      </c>
      <c r="H192" s="10">
        <v>0</v>
      </c>
      <c r="I192" s="11">
        <v>0</v>
      </c>
      <c r="J192" s="11">
        <v>0</v>
      </c>
      <c r="K192" s="12">
        <f t="shared" si="12"/>
        <v>0</v>
      </c>
      <c r="L192" s="12">
        <f t="shared" si="13"/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1">
        <v>0</v>
      </c>
      <c r="S192" s="6"/>
      <c r="T192" s="6"/>
      <c r="U192" s="6"/>
      <c r="V192" s="7" t="b">
        <v>0</v>
      </c>
      <c r="W192" s="8">
        <f>IFERROR(VLOOKUP(D192,Teams!$B$2:$I$21,6,FALSE),"")</f>
        <v>0</v>
      </c>
      <c r="X192" s="2" t="s">
        <v>65</v>
      </c>
      <c r="Y192" s="13"/>
      <c r="Z192" s="14"/>
      <c r="AA192" s="15">
        <f>IFERROR(H192/(H192+Priors!$G$3),0)</f>
        <v>0</v>
      </c>
      <c r="AB192" s="16">
        <f>VLOOKUP(E192,Priors!$A$3:$C$6,2,FALSE)</f>
        <v>0.15714383234350468</v>
      </c>
      <c r="AC192" s="16">
        <f>VLOOKUP(E192,Priors!$A$3:$C$6,3,FALSE)</f>
        <v>0.13222062939449797</v>
      </c>
      <c r="AD192" s="12">
        <f t="shared" si="14"/>
        <v>0.15714383234350468</v>
      </c>
      <c r="AE192" s="12">
        <f t="shared" si="15"/>
        <v>0.13222062939449797</v>
      </c>
      <c r="AF192" s="17">
        <v>1</v>
      </c>
      <c r="AG192" s="17">
        <v>1</v>
      </c>
      <c r="AH192" s="16">
        <f>IFERROR(VLOOKUP(D192,Teams!$B$2:$I$21,7,FALSE),1)</f>
        <v>1</v>
      </c>
      <c r="AI192" s="12">
        <f t="shared" si="16"/>
        <v>0.15714383234350468</v>
      </c>
      <c r="AJ192" s="12">
        <f t="shared" si="17"/>
        <v>0.13222062939449797</v>
      </c>
      <c r="AK192" s="6" t="s">
        <v>66</v>
      </c>
      <c r="AL192" s="18"/>
      <c r="AM192" s="23"/>
      <c r="AN192" s="24">
        <v>3.0000000000000001E-3</v>
      </c>
      <c r="AO192" s="25" t="b">
        <v>1</v>
      </c>
      <c r="AP192" s="23" t="s">
        <v>609</v>
      </c>
      <c r="AQ192" s="25" t="b">
        <v>0</v>
      </c>
      <c r="AR192" s="23"/>
      <c r="AS192" s="23" t="s">
        <v>68</v>
      </c>
    </row>
    <row r="193" spans="1:45" ht="60">
      <c r="A193" s="6">
        <v>187</v>
      </c>
      <c r="B193" s="6" t="s">
        <v>610</v>
      </c>
      <c r="C193" s="6" t="s">
        <v>611</v>
      </c>
      <c r="D193" s="6" t="s">
        <v>567</v>
      </c>
      <c r="E193" s="6" t="s">
        <v>11</v>
      </c>
      <c r="F193" s="9">
        <v>5</v>
      </c>
      <c r="G193" s="9">
        <v>5</v>
      </c>
      <c r="H193" s="10">
        <v>0</v>
      </c>
      <c r="I193" s="11">
        <v>0</v>
      </c>
      <c r="J193" s="11">
        <v>0</v>
      </c>
      <c r="K193" s="12">
        <f t="shared" si="12"/>
        <v>0</v>
      </c>
      <c r="L193" s="12">
        <f t="shared" si="13"/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1">
        <v>0</v>
      </c>
      <c r="S193" s="6"/>
      <c r="T193" s="6"/>
      <c r="U193" s="6"/>
      <c r="V193" s="7" t="b">
        <v>0</v>
      </c>
      <c r="W193" s="8">
        <f>IFERROR(VLOOKUP(D193,Teams!$B$2:$I$21,6,FALSE),"")</f>
        <v>0</v>
      </c>
      <c r="X193" s="2" t="s">
        <v>65</v>
      </c>
      <c r="Y193" s="13"/>
      <c r="Z193" s="14"/>
      <c r="AA193" s="15">
        <f>IFERROR(H193/(H193+Priors!$G$3),0)</f>
        <v>0</v>
      </c>
      <c r="AB193" s="16">
        <f>VLOOKUP(E193,Priors!$A$3:$C$6,2,FALSE)</f>
        <v>0.15714383234350468</v>
      </c>
      <c r="AC193" s="16">
        <f>VLOOKUP(E193,Priors!$A$3:$C$6,3,FALSE)</f>
        <v>0.13222062939449797</v>
      </c>
      <c r="AD193" s="12">
        <f t="shared" si="14"/>
        <v>0.15714383234350468</v>
      </c>
      <c r="AE193" s="12">
        <f t="shared" si="15"/>
        <v>0.13222062939449797</v>
      </c>
      <c r="AF193" s="17">
        <v>1</v>
      </c>
      <c r="AG193" s="17">
        <v>1</v>
      </c>
      <c r="AH193" s="16">
        <f>IFERROR(VLOOKUP(D193,Teams!$B$2:$I$21,7,FALSE),1)</f>
        <v>1</v>
      </c>
      <c r="AI193" s="12">
        <f t="shared" si="16"/>
        <v>0.15714383234350468</v>
      </c>
      <c r="AJ193" s="12">
        <f t="shared" si="17"/>
        <v>0.13222062939449797</v>
      </c>
      <c r="AK193" s="6" t="s">
        <v>66</v>
      </c>
      <c r="AL193" s="18"/>
      <c r="AM193" s="23"/>
      <c r="AN193" s="24">
        <v>0</v>
      </c>
      <c r="AO193" s="25" t="b">
        <v>1</v>
      </c>
      <c r="AP193" s="23" t="s">
        <v>285</v>
      </c>
      <c r="AQ193" s="25" t="b">
        <v>0</v>
      </c>
      <c r="AR193" s="23"/>
      <c r="AS193" s="23" t="s">
        <v>68</v>
      </c>
    </row>
    <row r="194" spans="1:45" ht="60">
      <c r="A194" s="6">
        <v>188</v>
      </c>
      <c r="B194" s="6" t="s">
        <v>612</v>
      </c>
      <c r="C194" s="6" t="s">
        <v>613</v>
      </c>
      <c r="D194" s="6" t="s">
        <v>567</v>
      </c>
      <c r="E194" s="6" t="s">
        <v>11</v>
      </c>
      <c r="F194" s="9">
        <v>5.5</v>
      </c>
      <c r="G194" s="9">
        <v>5.5</v>
      </c>
      <c r="H194" s="10">
        <v>0</v>
      </c>
      <c r="I194" s="11">
        <v>0</v>
      </c>
      <c r="J194" s="11">
        <v>0</v>
      </c>
      <c r="K194" s="12">
        <f t="shared" ref="K194:K257" si="18">IFERROR(I194*90/H194,0)</f>
        <v>0</v>
      </c>
      <c r="L194" s="12">
        <f t="shared" ref="L194:L257" si="19">IFERROR(J194*90/H194,0)</f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1">
        <v>0</v>
      </c>
      <c r="S194" s="6">
        <v>2</v>
      </c>
      <c r="T194" s="6">
        <v>2</v>
      </c>
      <c r="U194" s="6">
        <v>6</v>
      </c>
      <c r="V194" s="7" t="b">
        <v>0</v>
      </c>
      <c r="W194" s="8">
        <f>IFERROR(VLOOKUP(D194,Teams!$B$2:$I$21,6,FALSE),"")</f>
        <v>0</v>
      </c>
      <c r="X194" s="2" t="s">
        <v>65</v>
      </c>
      <c r="Y194" s="13"/>
      <c r="Z194" s="14"/>
      <c r="AA194" s="15">
        <f>IFERROR(H194/(H194+Priors!$G$3),0)</f>
        <v>0</v>
      </c>
      <c r="AB194" s="16">
        <f>VLOOKUP(E194,Priors!$A$3:$C$6,2,FALSE)</f>
        <v>0.15714383234350468</v>
      </c>
      <c r="AC194" s="16">
        <f>VLOOKUP(E194,Priors!$A$3:$C$6,3,FALSE)</f>
        <v>0.13222062939449797</v>
      </c>
      <c r="AD194" s="12">
        <f t="shared" ref="AD194:AD257" si="20">AA194*K194+(1-AA194)*AB194</f>
        <v>0.15714383234350468</v>
      </c>
      <c r="AE194" s="12">
        <f t="shared" ref="AE194:AE257" si="21">AA194*L194+(1-AA194)*AC194</f>
        <v>0.13222062939449797</v>
      </c>
      <c r="AF194" s="17">
        <v>1</v>
      </c>
      <c r="AG194" s="17">
        <v>1</v>
      </c>
      <c r="AH194" s="16">
        <f>IFERROR(VLOOKUP(D194,Teams!$B$2:$I$21,7,FALSE),1)</f>
        <v>1</v>
      </c>
      <c r="AI194" s="12">
        <f t="shared" ref="AI194:AI257" si="22">AD194*AF194*AG194*AH194</f>
        <v>0.15714383234350468</v>
      </c>
      <c r="AJ194" s="12">
        <f t="shared" ref="AJ194:AJ257" si="23">AE194*AF194*AG194*AH194</f>
        <v>0.13222062939449797</v>
      </c>
      <c r="AK194" s="6" t="s">
        <v>66</v>
      </c>
      <c r="AL194" s="18"/>
      <c r="AM194" s="23"/>
      <c r="AN194" s="24">
        <v>2E-3</v>
      </c>
      <c r="AO194" s="25" t="b">
        <v>1</v>
      </c>
      <c r="AP194" s="23" t="s">
        <v>614</v>
      </c>
      <c r="AQ194" s="25" t="b">
        <v>0</v>
      </c>
      <c r="AR194" s="23"/>
      <c r="AS194" s="23" t="s">
        <v>68</v>
      </c>
    </row>
    <row r="195" spans="1:45" ht="60">
      <c r="A195" s="6">
        <v>189</v>
      </c>
      <c r="B195" s="6" t="s">
        <v>615</v>
      </c>
      <c r="C195" s="6" t="s">
        <v>616</v>
      </c>
      <c r="D195" s="6" t="s">
        <v>567</v>
      </c>
      <c r="E195" s="6" t="s">
        <v>11</v>
      </c>
      <c r="F195" s="9">
        <v>4.5</v>
      </c>
      <c r="G195" s="9">
        <v>4.5</v>
      </c>
      <c r="H195" s="10">
        <v>0</v>
      </c>
      <c r="I195" s="11">
        <v>0</v>
      </c>
      <c r="J195" s="11">
        <v>0</v>
      </c>
      <c r="K195" s="12">
        <f t="shared" si="18"/>
        <v>0</v>
      </c>
      <c r="L195" s="12">
        <f t="shared" si="19"/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1">
        <v>0</v>
      </c>
      <c r="S195" s="6"/>
      <c r="T195" s="6"/>
      <c r="U195" s="6"/>
      <c r="V195" s="7" t="b">
        <v>1</v>
      </c>
      <c r="W195" s="8">
        <f>IFERROR(VLOOKUP(D195,Teams!$B$2:$I$21,6,FALSE),"")</f>
        <v>0</v>
      </c>
      <c r="X195" s="2" t="s">
        <v>65</v>
      </c>
      <c r="Y195" s="13"/>
      <c r="Z195" s="14"/>
      <c r="AA195" s="15">
        <f>IFERROR(H195/(H195+Priors!$G$3),0)</f>
        <v>0</v>
      </c>
      <c r="AB195" s="16">
        <f>VLOOKUP(E195,Priors!$A$3:$C$6,2,FALSE)</f>
        <v>0.15714383234350468</v>
      </c>
      <c r="AC195" s="16">
        <f>VLOOKUP(E195,Priors!$A$3:$C$6,3,FALSE)</f>
        <v>0.13222062939449797</v>
      </c>
      <c r="AD195" s="12">
        <f t="shared" si="20"/>
        <v>0.15714383234350468</v>
      </c>
      <c r="AE195" s="12">
        <f t="shared" si="21"/>
        <v>0.13222062939449797</v>
      </c>
      <c r="AF195" s="17">
        <v>1</v>
      </c>
      <c r="AG195" s="17">
        <v>1</v>
      </c>
      <c r="AH195" s="16">
        <f>IFERROR(VLOOKUP(D195,Teams!$B$2:$I$21,7,FALSE),1)</f>
        <v>1</v>
      </c>
      <c r="AI195" s="12">
        <f t="shared" si="22"/>
        <v>0.15714383234350468</v>
      </c>
      <c r="AJ195" s="12">
        <f t="shared" si="23"/>
        <v>0.13222062939449797</v>
      </c>
      <c r="AK195" s="6" t="s">
        <v>66</v>
      </c>
      <c r="AL195" s="18"/>
      <c r="AM195" s="23"/>
      <c r="AN195" s="24">
        <v>3.0000000000000001E-3</v>
      </c>
      <c r="AO195" s="25" t="b">
        <v>1</v>
      </c>
      <c r="AP195" s="23" t="s">
        <v>65</v>
      </c>
      <c r="AQ195" s="25" t="b">
        <v>0</v>
      </c>
      <c r="AR195" s="23"/>
      <c r="AS195" s="23" t="s">
        <v>68</v>
      </c>
    </row>
    <row r="196" spans="1:45" ht="60">
      <c r="A196" s="6">
        <v>190</v>
      </c>
      <c r="B196" s="6" t="s">
        <v>617</v>
      </c>
      <c r="C196" s="6" t="s">
        <v>618</v>
      </c>
      <c r="D196" s="6" t="s">
        <v>567</v>
      </c>
      <c r="E196" s="6" t="s">
        <v>11</v>
      </c>
      <c r="F196" s="9">
        <v>5.5</v>
      </c>
      <c r="G196" s="9">
        <v>5.5</v>
      </c>
      <c r="H196" s="10">
        <v>0</v>
      </c>
      <c r="I196" s="11">
        <v>0</v>
      </c>
      <c r="J196" s="11">
        <v>0</v>
      </c>
      <c r="K196" s="12">
        <f t="shared" si="18"/>
        <v>0</v>
      </c>
      <c r="L196" s="12">
        <f t="shared" si="19"/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1">
        <v>0</v>
      </c>
      <c r="S196" s="6"/>
      <c r="T196" s="6"/>
      <c r="U196" s="6"/>
      <c r="V196" s="7" t="b">
        <v>1</v>
      </c>
      <c r="W196" s="8">
        <f>IFERROR(VLOOKUP(D196,Teams!$B$2:$I$21,6,FALSE),"")</f>
        <v>0</v>
      </c>
      <c r="X196" s="2" t="s">
        <v>65</v>
      </c>
      <c r="Y196" s="13"/>
      <c r="Z196" s="14"/>
      <c r="AA196" s="15">
        <f>IFERROR(H196/(H196+Priors!$G$3),0)</f>
        <v>0</v>
      </c>
      <c r="AB196" s="16">
        <f>VLOOKUP(E196,Priors!$A$3:$C$6,2,FALSE)</f>
        <v>0.15714383234350468</v>
      </c>
      <c r="AC196" s="16">
        <f>VLOOKUP(E196,Priors!$A$3:$C$6,3,FALSE)</f>
        <v>0.13222062939449797</v>
      </c>
      <c r="AD196" s="12">
        <f t="shared" si="20"/>
        <v>0.15714383234350468</v>
      </c>
      <c r="AE196" s="12">
        <f t="shared" si="21"/>
        <v>0.13222062939449797</v>
      </c>
      <c r="AF196" s="17">
        <v>1</v>
      </c>
      <c r="AG196" s="17">
        <v>1</v>
      </c>
      <c r="AH196" s="16">
        <f>IFERROR(VLOOKUP(D196,Teams!$B$2:$I$21,7,FALSE),1)</f>
        <v>1</v>
      </c>
      <c r="AI196" s="12">
        <f t="shared" si="22"/>
        <v>0.15714383234350468</v>
      </c>
      <c r="AJ196" s="12">
        <f t="shared" si="23"/>
        <v>0.13222062939449797</v>
      </c>
      <c r="AK196" s="6" t="s">
        <v>66</v>
      </c>
      <c r="AL196" s="18"/>
      <c r="AM196" s="23"/>
      <c r="AN196" s="24">
        <v>1E-3</v>
      </c>
      <c r="AO196" s="25" t="b">
        <v>1</v>
      </c>
      <c r="AP196" s="23" t="s">
        <v>619</v>
      </c>
      <c r="AQ196" s="25" t="b">
        <v>0</v>
      </c>
      <c r="AR196" s="23"/>
      <c r="AS196" s="23" t="s">
        <v>68</v>
      </c>
    </row>
    <row r="197" spans="1:45" ht="60">
      <c r="A197" s="6">
        <v>191</v>
      </c>
      <c r="B197" s="6" t="s">
        <v>620</v>
      </c>
      <c r="C197" s="6" t="s">
        <v>621</v>
      </c>
      <c r="D197" s="6" t="s">
        <v>567</v>
      </c>
      <c r="E197" s="6" t="s">
        <v>11</v>
      </c>
      <c r="F197" s="9">
        <v>4.5</v>
      </c>
      <c r="G197" s="9">
        <v>4.5</v>
      </c>
      <c r="H197" s="10">
        <v>0</v>
      </c>
      <c r="I197" s="11">
        <v>0</v>
      </c>
      <c r="J197" s="11">
        <v>0</v>
      </c>
      <c r="K197" s="12">
        <f t="shared" si="18"/>
        <v>0</v>
      </c>
      <c r="L197" s="12">
        <f t="shared" si="19"/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1">
        <v>0</v>
      </c>
      <c r="S197" s="6"/>
      <c r="T197" s="6"/>
      <c r="U197" s="6"/>
      <c r="V197" s="7" t="b">
        <v>0</v>
      </c>
      <c r="W197" s="8">
        <f>IFERROR(VLOOKUP(D197,Teams!$B$2:$I$21,6,FALSE),"")</f>
        <v>0</v>
      </c>
      <c r="X197" s="2" t="s">
        <v>65</v>
      </c>
      <c r="Y197" s="13"/>
      <c r="Z197" s="14"/>
      <c r="AA197" s="15">
        <f>IFERROR(H197/(H197+Priors!$G$3),0)</f>
        <v>0</v>
      </c>
      <c r="AB197" s="16">
        <f>VLOOKUP(E197,Priors!$A$3:$C$6,2,FALSE)</f>
        <v>0.15714383234350468</v>
      </c>
      <c r="AC197" s="16">
        <f>VLOOKUP(E197,Priors!$A$3:$C$6,3,FALSE)</f>
        <v>0.13222062939449797</v>
      </c>
      <c r="AD197" s="12">
        <f t="shared" si="20"/>
        <v>0.15714383234350468</v>
      </c>
      <c r="AE197" s="12">
        <f t="shared" si="21"/>
        <v>0.13222062939449797</v>
      </c>
      <c r="AF197" s="17">
        <v>1</v>
      </c>
      <c r="AG197" s="17">
        <v>1</v>
      </c>
      <c r="AH197" s="16">
        <f>IFERROR(VLOOKUP(D197,Teams!$B$2:$I$21,7,FALSE),1)</f>
        <v>1</v>
      </c>
      <c r="AI197" s="12">
        <f t="shared" si="22"/>
        <v>0.15714383234350468</v>
      </c>
      <c r="AJ197" s="12">
        <f t="shared" si="23"/>
        <v>0.13222062939449797</v>
      </c>
      <c r="AK197" s="6" t="s">
        <v>66</v>
      </c>
      <c r="AL197" s="18"/>
      <c r="AM197" s="23"/>
      <c r="AN197" s="24">
        <v>2E-3</v>
      </c>
      <c r="AO197" s="25" t="b">
        <v>1</v>
      </c>
      <c r="AP197" s="23" t="s">
        <v>201</v>
      </c>
      <c r="AQ197" s="25" t="b">
        <v>0</v>
      </c>
      <c r="AR197" s="23"/>
      <c r="AS197" s="23" t="s">
        <v>68</v>
      </c>
    </row>
    <row r="198" spans="1:45" ht="60">
      <c r="A198" s="6">
        <v>192</v>
      </c>
      <c r="B198" s="6" t="s">
        <v>622</v>
      </c>
      <c r="C198" s="6" t="s">
        <v>623</v>
      </c>
      <c r="D198" s="6" t="s">
        <v>567</v>
      </c>
      <c r="E198" s="6" t="s">
        <v>11</v>
      </c>
      <c r="F198" s="9">
        <v>4.5</v>
      </c>
      <c r="G198" s="9">
        <v>4.5</v>
      </c>
      <c r="H198" s="10">
        <v>0</v>
      </c>
      <c r="I198" s="11">
        <v>0</v>
      </c>
      <c r="J198" s="11">
        <v>0</v>
      </c>
      <c r="K198" s="12">
        <f t="shared" si="18"/>
        <v>0</v>
      </c>
      <c r="L198" s="12">
        <f t="shared" si="19"/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1">
        <v>0</v>
      </c>
      <c r="S198" s="6"/>
      <c r="T198" s="6"/>
      <c r="U198" s="6"/>
      <c r="V198" s="7" t="b">
        <v>0</v>
      </c>
      <c r="W198" s="8">
        <f>IFERROR(VLOOKUP(D198,Teams!$B$2:$I$21,6,FALSE),"")</f>
        <v>0</v>
      </c>
      <c r="X198" s="2" t="s">
        <v>65</v>
      </c>
      <c r="Y198" s="13"/>
      <c r="Z198" s="14"/>
      <c r="AA198" s="15">
        <f>IFERROR(H198/(H198+Priors!$G$3),0)</f>
        <v>0</v>
      </c>
      <c r="AB198" s="16">
        <f>VLOOKUP(E198,Priors!$A$3:$C$6,2,FALSE)</f>
        <v>0.15714383234350468</v>
      </c>
      <c r="AC198" s="16">
        <f>VLOOKUP(E198,Priors!$A$3:$C$6,3,FALSE)</f>
        <v>0.13222062939449797</v>
      </c>
      <c r="AD198" s="12">
        <f t="shared" si="20"/>
        <v>0.15714383234350468</v>
      </c>
      <c r="AE198" s="12">
        <f t="shared" si="21"/>
        <v>0.13222062939449797</v>
      </c>
      <c r="AF198" s="17">
        <v>1</v>
      </c>
      <c r="AG198" s="17">
        <v>1</v>
      </c>
      <c r="AH198" s="16">
        <f>IFERROR(VLOOKUP(D198,Teams!$B$2:$I$21,7,FALSE),1)</f>
        <v>1</v>
      </c>
      <c r="AI198" s="12">
        <f t="shared" si="22"/>
        <v>0.15714383234350468</v>
      </c>
      <c r="AJ198" s="12">
        <f t="shared" si="23"/>
        <v>0.13222062939449797</v>
      </c>
      <c r="AK198" s="6" t="s">
        <v>66</v>
      </c>
      <c r="AL198" s="18"/>
      <c r="AM198" s="23"/>
      <c r="AN198" s="24">
        <v>6.9999999999999993E-3</v>
      </c>
      <c r="AO198" s="25" t="b">
        <v>1</v>
      </c>
      <c r="AP198" s="23" t="s">
        <v>624</v>
      </c>
      <c r="AQ198" s="25" t="b">
        <v>0</v>
      </c>
      <c r="AR198" s="23"/>
      <c r="AS198" s="23" t="s">
        <v>68</v>
      </c>
    </row>
    <row r="199" spans="1:45" ht="60">
      <c r="A199" s="6">
        <v>193</v>
      </c>
      <c r="B199" s="6" t="s">
        <v>625</v>
      </c>
      <c r="C199" s="6" t="s">
        <v>626</v>
      </c>
      <c r="D199" s="6" t="s">
        <v>567</v>
      </c>
      <c r="E199" s="6" t="s">
        <v>14</v>
      </c>
      <c r="F199" s="9">
        <v>5.5</v>
      </c>
      <c r="G199" s="9">
        <v>5.5</v>
      </c>
      <c r="H199" s="10">
        <v>0</v>
      </c>
      <c r="I199" s="11">
        <v>0</v>
      </c>
      <c r="J199" s="11">
        <v>0</v>
      </c>
      <c r="K199" s="12">
        <f t="shared" si="18"/>
        <v>0</v>
      </c>
      <c r="L199" s="12">
        <f t="shared" si="19"/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1">
        <v>0</v>
      </c>
      <c r="S199" s="6">
        <v>1</v>
      </c>
      <c r="T199" s="6"/>
      <c r="U199" s="6"/>
      <c r="V199" s="7" t="b">
        <v>0</v>
      </c>
      <c r="W199" s="8">
        <f>IFERROR(VLOOKUP(D199,Teams!$B$2:$I$21,6,FALSE),"")</f>
        <v>0</v>
      </c>
      <c r="X199" s="2" t="s">
        <v>65</v>
      </c>
      <c r="Y199" s="13"/>
      <c r="Z199" s="14"/>
      <c r="AA199" s="15">
        <f>IFERROR(H199/(H199+Priors!$G$3),0)</f>
        <v>0</v>
      </c>
      <c r="AB199" s="16">
        <f>VLOOKUP(E199,Priors!$A$3:$C$6,2,FALSE)</f>
        <v>0.44625207326425426</v>
      </c>
      <c r="AC199" s="16">
        <f>VLOOKUP(E199,Priors!$A$3:$C$6,3,FALSE)</f>
        <v>5.8217260259314105E-2</v>
      </c>
      <c r="AD199" s="12">
        <f t="shared" si="20"/>
        <v>0.44625207326425426</v>
      </c>
      <c r="AE199" s="12">
        <f t="shared" si="21"/>
        <v>5.8217260259314105E-2</v>
      </c>
      <c r="AF199" s="17">
        <v>1</v>
      </c>
      <c r="AG199" s="17">
        <v>1</v>
      </c>
      <c r="AH199" s="16">
        <f>IFERROR(VLOOKUP(D199,Teams!$B$2:$I$21,7,FALSE),1)</f>
        <v>1</v>
      </c>
      <c r="AI199" s="12">
        <f t="shared" si="22"/>
        <v>0.44625207326425426</v>
      </c>
      <c r="AJ199" s="12">
        <f t="shared" si="23"/>
        <v>5.8217260259314105E-2</v>
      </c>
      <c r="AK199" s="6" t="s">
        <v>66</v>
      </c>
      <c r="AL199" s="18"/>
      <c r="AM199" s="23"/>
      <c r="AN199" s="24">
        <v>1.8000000000000002E-2</v>
      </c>
      <c r="AO199" s="25" t="b">
        <v>1</v>
      </c>
      <c r="AP199" s="23" t="s">
        <v>518</v>
      </c>
      <c r="AQ199" s="25" t="b">
        <v>0</v>
      </c>
      <c r="AR199" s="23"/>
      <c r="AS199" s="23" t="s">
        <v>68</v>
      </c>
    </row>
    <row r="200" spans="1:45" ht="60">
      <c r="A200" s="6">
        <v>194</v>
      </c>
      <c r="B200" s="6" t="s">
        <v>627</v>
      </c>
      <c r="C200" s="6" t="s">
        <v>628</v>
      </c>
      <c r="D200" s="6" t="s">
        <v>567</v>
      </c>
      <c r="E200" s="6" t="s">
        <v>14</v>
      </c>
      <c r="F200" s="9">
        <v>5</v>
      </c>
      <c r="G200" s="9">
        <v>5</v>
      </c>
      <c r="H200" s="10">
        <v>0</v>
      </c>
      <c r="I200" s="11">
        <v>0</v>
      </c>
      <c r="J200" s="11">
        <v>0</v>
      </c>
      <c r="K200" s="12">
        <f t="shared" si="18"/>
        <v>0</v>
      </c>
      <c r="L200" s="12">
        <f t="shared" si="19"/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1">
        <v>0</v>
      </c>
      <c r="S200" s="6">
        <v>4</v>
      </c>
      <c r="T200" s="6"/>
      <c r="U200" s="6"/>
      <c r="V200" s="7" t="b">
        <v>0</v>
      </c>
      <c r="W200" s="8">
        <f>IFERROR(VLOOKUP(D200,Teams!$B$2:$I$21,6,FALSE),"")</f>
        <v>0</v>
      </c>
      <c r="X200" s="2" t="s">
        <v>65</v>
      </c>
      <c r="Y200" s="13"/>
      <c r="Z200" s="14"/>
      <c r="AA200" s="15">
        <f>IFERROR(H200/(H200+Priors!$G$3),0)</f>
        <v>0</v>
      </c>
      <c r="AB200" s="16">
        <f>VLOOKUP(E200,Priors!$A$3:$C$6,2,FALSE)</f>
        <v>0.44625207326425426</v>
      </c>
      <c r="AC200" s="16">
        <f>VLOOKUP(E200,Priors!$A$3:$C$6,3,FALSE)</f>
        <v>5.8217260259314105E-2</v>
      </c>
      <c r="AD200" s="12">
        <f t="shared" si="20"/>
        <v>0.44625207326425426</v>
      </c>
      <c r="AE200" s="12">
        <f t="shared" si="21"/>
        <v>5.8217260259314105E-2</v>
      </c>
      <c r="AF200" s="17">
        <v>1</v>
      </c>
      <c r="AG200" s="17">
        <v>1</v>
      </c>
      <c r="AH200" s="16">
        <f>IFERROR(VLOOKUP(D200,Teams!$B$2:$I$21,7,FALSE),1)</f>
        <v>1</v>
      </c>
      <c r="AI200" s="12">
        <f t="shared" si="22"/>
        <v>0.44625207326425426</v>
      </c>
      <c r="AJ200" s="12">
        <f t="shared" si="23"/>
        <v>5.8217260259314105E-2</v>
      </c>
      <c r="AK200" s="6" t="s">
        <v>66</v>
      </c>
      <c r="AL200" s="18"/>
      <c r="AM200" s="23"/>
      <c r="AN200" s="24">
        <v>9.0000000000000011E-3</v>
      </c>
      <c r="AO200" s="25" t="b">
        <v>1</v>
      </c>
      <c r="AP200" s="23" t="s">
        <v>629</v>
      </c>
      <c r="AQ200" s="25" t="b">
        <v>0</v>
      </c>
      <c r="AR200" s="23"/>
      <c r="AS200" s="23" t="s">
        <v>68</v>
      </c>
    </row>
    <row r="201" spans="1:45" ht="60">
      <c r="A201" s="6">
        <v>195</v>
      </c>
      <c r="B201" s="6" t="s">
        <v>630</v>
      </c>
      <c r="C201" s="6" t="s">
        <v>631</v>
      </c>
      <c r="D201" s="6" t="s">
        <v>567</v>
      </c>
      <c r="E201" s="6" t="s">
        <v>14</v>
      </c>
      <c r="F201" s="9">
        <v>5</v>
      </c>
      <c r="G201" s="9">
        <v>5</v>
      </c>
      <c r="H201" s="10">
        <v>0</v>
      </c>
      <c r="I201" s="11">
        <v>0</v>
      </c>
      <c r="J201" s="11">
        <v>0</v>
      </c>
      <c r="K201" s="12">
        <f t="shared" si="18"/>
        <v>0</v>
      </c>
      <c r="L201" s="12">
        <f t="shared" si="19"/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1">
        <v>0</v>
      </c>
      <c r="S201" s="6"/>
      <c r="T201" s="6"/>
      <c r="U201" s="6"/>
      <c r="V201" s="7" t="b">
        <v>0</v>
      </c>
      <c r="W201" s="8">
        <f>IFERROR(VLOOKUP(D201,Teams!$B$2:$I$21,6,FALSE),"")</f>
        <v>0</v>
      </c>
      <c r="X201" s="2" t="s">
        <v>65</v>
      </c>
      <c r="Y201" s="13"/>
      <c r="Z201" s="14"/>
      <c r="AA201" s="15">
        <f>IFERROR(H201/(H201+Priors!$G$3),0)</f>
        <v>0</v>
      </c>
      <c r="AB201" s="16">
        <f>VLOOKUP(E201,Priors!$A$3:$C$6,2,FALSE)</f>
        <v>0.44625207326425426</v>
      </c>
      <c r="AC201" s="16">
        <f>VLOOKUP(E201,Priors!$A$3:$C$6,3,FALSE)</f>
        <v>5.8217260259314105E-2</v>
      </c>
      <c r="AD201" s="12">
        <f t="shared" si="20"/>
        <v>0.44625207326425426</v>
      </c>
      <c r="AE201" s="12">
        <f t="shared" si="21"/>
        <v>5.8217260259314105E-2</v>
      </c>
      <c r="AF201" s="17">
        <v>1</v>
      </c>
      <c r="AG201" s="17">
        <v>1</v>
      </c>
      <c r="AH201" s="16">
        <f>IFERROR(VLOOKUP(D201,Teams!$B$2:$I$21,7,FALSE),1)</f>
        <v>1</v>
      </c>
      <c r="AI201" s="12">
        <f t="shared" si="22"/>
        <v>0.44625207326425426</v>
      </c>
      <c r="AJ201" s="12">
        <f t="shared" si="23"/>
        <v>5.8217260259314105E-2</v>
      </c>
      <c r="AK201" s="6" t="s">
        <v>66</v>
      </c>
      <c r="AL201" s="18"/>
      <c r="AM201" s="23"/>
      <c r="AN201" s="24">
        <v>6.0000000000000001E-3</v>
      </c>
      <c r="AO201" s="25" t="b">
        <v>1</v>
      </c>
      <c r="AP201" s="23" t="s">
        <v>632</v>
      </c>
      <c r="AQ201" s="25" t="b">
        <v>0</v>
      </c>
      <c r="AR201" s="23"/>
      <c r="AS201" s="23" t="s">
        <v>68</v>
      </c>
    </row>
    <row r="202" spans="1:45" ht="60">
      <c r="A202" s="6">
        <v>196</v>
      </c>
      <c r="B202" s="6" t="s">
        <v>633</v>
      </c>
      <c r="C202" s="6" t="s">
        <v>634</v>
      </c>
      <c r="D202" s="6" t="s">
        <v>567</v>
      </c>
      <c r="E202" s="6" t="s">
        <v>14</v>
      </c>
      <c r="F202" s="9">
        <v>5</v>
      </c>
      <c r="G202" s="9">
        <v>5</v>
      </c>
      <c r="H202" s="10">
        <v>0</v>
      </c>
      <c r="I202" s="11">
        <v>0</v>
      </c>
      <c r="J202" s="11">
        <v>0</v>
      </c>
      <c r="K202" s="12">
        <f t="shared" si="18"/>
        <v>0</v>
      </c>
      <c r="L202" s="12">
        <f t="shared" si="19"/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1">
        <v>0</v>
      </c>
      <c r="S202" s="6"/>
      <c r="T202" s="6"/>
      <c r="U202" s="6"/>
      <c r="V202" s="7" t="b">
        <v>0</v>
      </c>
      <c r="W202" s="8">
        <f>IFERROR(VLOOKUP(D202,Teams!$B$2:$I$21,6,FALSE),"")</f>
        <v>0</v>
      </c>
      <c r="X202" s="2" t="s">
        <v>65</v>
      </c>
      <c r="Y202" s="13"/>
      <c r="Z202" s="14"/>
      <c r="AA202" s="15">
        <f>IFERROR(H202/(H202+Priors!$G$3),0)</f>
        <v>0</v>
      </c>
      <c r="AB202" s="16">
        <f>VLOOKUP(E202,Priors!$A$3:$C$6,2,FALSE)</f>
        <v>0.44625207326425426</v>
      </c>
      <c r="AC202" s="16">
        <f>VLOOKUP(E202,Priors!$A$3:$C$6,3,FALSE)</f>
        <v>5.8217260259314105E-2</v>
      </c>
      <c r="AD202" s="12">
        <f t="shared" si="20"/>
        <v>0.44625207326425426</v>
      </c>
      <c r="AE202" s="12">
        <f t="shared" si="21"/>
        <v>5.8217260259314105E-2</v>
      </c>
      <c r="AF202" s="17">
        <v>1</v>
      </c>
      <c r="AG202" s="17">
        <v>1</v>
      </c>
      <c r="AH202" s="16">
        <f>IFERROR(VLOOKUP(D202,Teams!$B$2:$I$21,7,FALSE),1)</f>
        <v>1</v>
      </c>
      <c r="AI202" s="12">
        <f t="shared" si="22"/>
        <v>0.44625207326425426</v>
      </c>
      <c r="AJ202" s="12">
        <f t="shared" si="23"/>
        <v>5.8217260259314105E-2</v>
      </c>
      <c r="AK202" s="6" t="s">
        <v>66</v>
      </c>
      <c r="AL202" s="18"/>
      <c r="AM202" s="23"/>
      <c r="AN202" s="24">
        <v>1E-3</v>
      </c>
      <c r="AO202" s="25" t="b">
        <v>1</v>
      </c>
      <c r="AP202" s="23" t="s">
        <v>231</v>
      </c>
      <c r="AQ202" s="25" t="b">
        <v>0</v>
      </c>
      <c r="AR202" s="23"/>
      <c r="AS202" s="23" t="s">
        <v>68</v>
      </c>
    </row>
    <row r="203" spans="1:45" ht="60">
      <c r="A203" s="6">
        <v>197</v>
      </c>
      <c r="B203" s="6" t="s">
        <v>635</v>
      </c>
      <c r="C203" s="6" t="s">
        <v>636</v>
      </c>
      <c r="D203" s="6" t="s">
        <v>567</v>
      </c>
      <c r="E203" s="6" t="s">
        <v>14</v>
      </c>
      <c r="F203" s="9">
        <v>4.5</v>
      </c>
      <c r="G203" s="9">
        <v>4.5</v>
      </c>
      <c r="H203" s="10">
        <v>0</v>
      </c>
      <c r="I203" s="11">
        <v>0</v>
      </c>
      <c r="J203" s="11">
        <v>0</v>
      </c>
      <c r="K203" s="12">
        <f t="shared" si="18"/>
        <v>0</v>
      </c>
      <c r="L203" s="12">
        <f t="shared" si="19"/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1">
        <v>0</v>
      </c>
      <c r="S203" s="6"/>
      <c r="T203" s="6"/>
      <c r="U203" s="6"/>
      <c r="V203" s="7" t="b">
        <v>1</v>
      </c>
      <c r="W203" s="8">
        <f>IFERROR(VLOOKUP(D203,Teams!$B$2:$I$21,6,FALSE),"")</f>
        <v>0</v>
      </c>
      <c r="X203" s="2" t="s">
        <v>65</v>
      </c>
      <c r="Y203" s="13"/>
      <c r="Z203" s="14"/>
      <c r="AA203" s="15">
        <f>IFERROR(H203/(H203+Priors!$G$3),0)</f>
        <v>0</v>
      </c>
      <c r="AB203" s="16">
        <f>VLOOKUP(E203,Priors!$A$3:$C$6,2,FALSE)</f>
        <v>0.44625207326425426</v>
      </c>
      <c r="AC203" s="16">
        <f>VLOOKUP(E203,Priors!$A$3:$C$6,3,FALSE)</f>
        <v>5.8217260259314105E-2</v>
      </c>
      <c r="AD203" s="12">
        <f t="shared" si="20"/>
        <v>0.44625207326425426</v>
      </c>
      <c r="AE203" s="12">
        <f t="shared" si="21"/>
        <v>5.8217260259314105E-2</v>
      </c>
      <c r="AF203" s="17">
        <v>1</v>
      </c>
      <c r="AG203" s="17">
        <v>1</v>
      </c>
      <c r="AH203" s="16">
        <f>IFERROR(VLOOKUP(D203,Teams!$B$2:$I$21,7,FALSE),1)</f>
        <v>1</v>
      </c>
      <c r="AI203" s="12">
        <f t="shared" si="22"/>
        <v>0.44625207326425426</v>
      </c>
      <c r="AJ203" s="12">
        <f t="shared" si="23"/>
        <v>5.8217260259314105E-2</v>
      </c>
      <c r="AK203" s="6" t="s">
        <v>368</v>
      </c>
      <c r="AL203" s="18">
        <v>0</v>
      </c>
      <c r="AM203" s="23" t="s">
        <v>637</v>
      </c>
      <c r="AN203" s="24">
        <v>6.0000000000000001E-3</v>
      </c>
      <c r="AO203" s="25" t="b">
        <v>0</v>
      </c>
      <c r="AP203" s="23" t="s">
        <v>65</v>
      </c>
      <c r="AQ203" s="25" t="b">
        <v>0</v>
      </c>
      <c r="AR203" s="23"/>
      <c r="AS203" s="23" t="s">
        <v>68</v>
      </c>
    </row>
    <row r="204" spans="1:45" ht="60">
      <c r="A204" s="6">
        <v>198</v>
      </c>
      <c r="B204" s="6" t="s">
        <v>366</v>
      </c>
      <c r="C204" s="6" t="s">
        <v>638</v>
      </c>
      <c r="D204" s="6" t="s">
        <v>639</v>
      </c>
      <c r="E204" s="6" t="s">
        <v>7</v>
      </c>
      <c r="F204" s="9">
        <v>5</v>
      </c>
      <c r="G204" s="9">
        <v>5</v>
      </c>
      <c r="H204" s="10">
        <v>3330</v>
      </c>
      <c r="I204" s="11">
        <v>0</v>
      </c>
      <c r="J204" s="11">
        <v>0.11</v>
      </c>
      <c r="K204" s="12">
        <f t="shared" si="18"/>
        <v>0</v>
      </c>
      <c r="L204" s="12">
        <f t="shared" si="19"/>
        <v>2.972972972972973E-3</v>
      </c>
      <c r="M204" s="10">
        <v>0</v>
      </c>
      <c r="N204" s="10">
        <v>0</v>
      </c>
      <c r="O204" s="10">
        <v>131</v>
      </c>
      <c r="P204" s="10">
        <v>3.5</v>
      </c>
      <c r="Q204" s="10">
        <v>37</v>
      </c>
      <c r="R204" s="11">
        <v>0</v>
      </c>
      <c r="S204" s="6"/>
      <c r="T204" s="6"/>
      <c r="U204" s="6"/>
      <c r="V204" s="7" t="b">
        <v>0</v>
      </c>
      <c r="W204" s="8">
        <f>IFERROR(VLOOKUP(D204,Teams!$B$2:$I$21,6,FALSE),"")</f>
        <v>0</v>
      </c>
      <c r="X204" s="2" t="s">
        <v>65</v>
      </c>
      <c r="Y204" s="13"/>
      <c r="Z204" s="14"/>
      <c r="AA204" s="15">
        <f>IFERROR(H204/(H204+Priors!$G$3),0)</f>
        <v>0.76905311778290997</v>
      </c>
      <c r="AB204" s="16">
        <f>VLOOKUP(E204,Priors!$A$3:$C$6,2,FALSE)</f>
        <v>2.4013207263995197E-4</v>
      </c>
      <c r="AC204" s="16">
        <f>VLOOKUP(E204,Priors!$A$3:$C$6,3,FALSE)</f>
        <v>1.9810895992796044E-3</v>
      </c>
      <c r="AD204" s="12">
        <f t="shared" si="20"/>
        <v>5.5457753496524697E-5</v>
      </c>
      <c r="AE204" s="12">
        <f t="shared" si="21"/>
        <v>2.7439006002955208E-3</v>
      </c>
      <c r="AF204" s="17">
        <v>1</v>
      </c>
      <c r="AG204" s="17">
        <v>1</v>
      </c>
      <c r="AH204" s="16">
        <f>IFERROR(VLOOKUP(D204,Teams!$B$2:$I$21,7,FALSE),1)</f>
        <v>1</v>
      </c>
      <c r="AI204" s="12">
        <f t="shared" si="22"/>
        <v>5.5457753496524697E-5</v>
      </c>
      <c r="AJ204" s="12">
        <f t="shared" si="23"/>
        <v>2.7439006002955208E-3</v>
      </c>
      <c r="AK204" s="6" t="s">
        <v>66</v>
      </c>
      <c r="AL204" s="18"/>
      <c r="AM204" s="23"/>
      <c r="AN204" s="24">
        <v>3.1E-2</v>
      </c>
      <c r="AO204" s="25" t="b">
        <v>1</v>
      </c>
      <c r="AP204" s="23" t="s">
        <v>640</v>
      </c>
      <c r="AQ204" s="25" t="b">
        <v>0</v>
      </c>
      <c r="AR204" s="23"/>
      <c r="AS204" s="23" t="s">
        <v>68</v>
      </c>
    </row>
    <row r="205" spans="1:45" ht="60">
      <c r="A205" s="6">
        <v>199</v>
      </c>
      <c r="B205" s="6" t="s">
        <v>641</v>
      </c>
      <c r="C205" s="6" t="s">
        <v>642</v>
      </c>
      <c r="D205" s="6" t="s">
        <v>639</v>
      </c>
      <c r="E205" s="6" t="s">
        <v>7</v>
      </c>
      <c r="F205" s="9">
        <v>4.5</v>
      </c>
      <c r="G205" s="9">
        <v>4.5</v>
      </c>
      <c r="H205" s="10">
        <v>90</v>
      </c>
      <c r="I205" s="11">
        <v>0</v>
      </c>
      <c r="J205" s="11">
        <v>0</v>
      </c>
      <c r="K205" s="12">
        <f t="shared" si="18"/>
        <v>0</v>
      </c>
      <c r="L205" s="12">
        <f t="shared" si="19"/>
        <v>0</v>
      </c>
      <c r="M205" s="10">
        <v>0</v>
      </c>
      <c r="N205" s="10">
        <v>0</v>
      </c>
      <c r="O205" s="10">
        <v>7</v>
      </c>
      <c r="P205" s="10">
        <v>7</v>
      </c>
      <c r="Q205" s="10">
        <v>1</v>
      </c>
      <c r="R205" s="11">
        <v>0</v>
      </c>
      <c r="S205" s="6"/>
      <c r="T205" s="6"/>
      <c r="U205" s="6"/>
      <c r="V205" s="7" t="b">
        <v>0</v>
      </c>
      <c r="W205" s="8">
        <f>IFERROR(VLOOKUP(D205,Teams!$B$2:$I$21,6,FALSE),"")</f>
        <v>0</v>
      </c>
      <c r="X205" s="2" t="s">
        <v>65</v>
      </c>
      <c r="Y205" s="13"/>
      <c r="Z205" s="14"/>
      <c r="AA205" s="15">
        <f>IFERROR(H205/(H205+Priors!$G$3),0)</f>
        <v>8.2568807339449546E-2</v>
      </c>
      <c r="AB205" s="16">
        <f>VLOOKUP(E205,Priors!$A$3:$C$6,2,FALSE)</f>
        <v>2.4013207263995197E-4</v>
      </c>
      <c r="AC205" s="16">
        <f>VLOOKUP(E205,Priors!$A$3:$C$6,3,FALSE)</f>
        <v>1.9810895992796044E-3</v>
      </c>
      <c r="AD205" s="12">
        <f t="shared" si="20"/>
        <v>2.2030465379812108E-4</v>
      </c>
      <c r="AE205" s="12">
        <f t="shared" si="21"/>
        <v>1.8175133938344995E-3</v>
      </c>
      <c r="AF205" s="17">
        <v>1</v>
      </c>
      <c r="AG205" s="17">
        <v>1</v>
      </c>
      <c r="AH205" s="16">
        <f>IFERROR(VLOOKUP(D205,Teams!$B$2:$I$21,7,FALSE),1)</f>
        <v>1</v>
      </c>
      <c r="AI205" s="12">
        <f t="shared" si="22"/>
        <v>2.2030465379812108E-4</v>
      </c>
      <c r="AJ205" s="12">
        <f t="shared" si="23"/>
        <v>1.8175133938344995E-3</v>
      </c>
      <c r="AK205" s="6" t="s">
        <v>66</v>
      </c>
      <c r="AL205" s="18"/>
      <c r="AM205" s="23"/>
      <c r="AN205" s="24">
        <v>1E-3</v>
      </c>
      <c r="AO205" s="25" t="b">
        <v>1</v>
      </c>
      <c r="AP205" s="23" t="s">
        <v>71</v>
      </c>
      <c r="AQ205" s="25" t="b">
        <v>0</v>
      </c>
      <c r="AR205" s="23"/>
      <c r="AS205" s="23" t="s">
        <v>68</v>
      </c>
    </row>
    <row r="206" spans="1:45" ht="60">
      <c r="A206" s="6">
        <v>201</v>
      </c>
      <c r="B206" s="6" t="s">
        <v>643</v>
      </c>
      <c r="C206" s="6" t="s">
        <v>644</v>
      </c>
      <c r="D206" s="6" t="s">
        <v>639</v>
      </c>
      <c r="E206" s="6" t="s">
        <v>9</v>
      </c>
      <c r="F206" s="9">
        <v>5.5</v>
      </c>
      <c r="G206" s="9">
        <v>5.5</v>
      </c>
      <c r="H206" s="10">
        <v>2400</v>
      </c>
      <c r="I206" s="11">
        <v>2.4500000000000002</v>
      </c>
      <c r="J206" s="11">
        <v>3.94</v>
      </c>
      <c r="K206" s="12">
        <f t="shared" si="18"/>
        <v>9.1875000000000012E-2</v>
      </c>
      <c r="L206" s="12">
        <f t="shared" si="19"/>
        <v>0.14775000000000002</v>
      </c>
      <c r="M206" s="10">
        <v>4</v>
      </c>
      <c r="N206" s="10">
        <v>4</v>
      </c>
      <c r="O206" s="10">
        <v>136</v>
      </c>
      <c r="P206" s="10">
        <v>4.7</v>
      </c>
      <c r="Q206" s="10">
        <v>29</v>
      </c>
      <c r="R206" s="11">
        <v>7.35</v>
      </c>
      <c r="S206" s="6"/>
      <c r="T206" s="6"/>
      <c r="U206" s="6"/>
      <c r="V206" s="7" t="b">
        <v>0</v>
      </c>
      <c r="W206" s="8">
        <f>IFERROR(VLOOKUP(D206,Teams!$B$2:$I$21,6,FALSE),"")</f>
        <v>0</v>
      </c>
      <c r="X206" s="2" t="s">
        <v>65</v>
      </c>
      <c r="Y206" s="13"/>
      <c r="Z206" s="14"/>
      <c r="AA206" s="15">
        <f>IFERROR(H206/(H206+Priors!$G$3),0)</f>
        <v>0.70588235294117652</v>
      </c>
      <c r="AB206" s="16">
        <f>VLOOKUP(E206,Priors!$A$3:$C$6,2,FALSE)</f>
        <v>6.0081391379341341E-2</v>
      </c>
      <c r="AC206" s="16">
        <f>VLOOKUP(E206,Priors!$A$3:$C$6,3,FALSE)</f>
        <v>5.9588191961478354E-2</v>
      </c>
      <c r="AD206" s="12">
        <f t="shared" si="20"/>
        <v>8.2523938640982758E-2</v>
      </c>
      <c r="AE206" s="12">
        <f t="shared" si="21"/>
        <v>0.12182005645925836</v>
      </c>
      <c r="AF206" s="17">
        <v>1</v>
      </c>
      <c r="AG206" s="17">
        <v>1</v>
      </c>
      <c r="AH206" s="16">
        <f>IFERROR(VLOOKUP(D206,Teams!$B$2:$I$21,7,FALSE),1)</f>
        <v>1</v>
      </c>
      <c r="AI206" s="12">
        <f t="shared" si="22"/>
        <v>8.2523938640982758E-2</v>
      </c>
      <c r="AJ206" s="12">
        <f t="shared" si="23"/>
        <v>0.12182005645925836</v>
      </c>
      <c r="AK206" s="6" t="s">
        <v>66</v>
      </c>
      <c r="AL206" s="18"/>
      <c r="AM206" s="23"/>
      <c r="AN206" s="24">
        <v>0.11900000000000001</v>
      </c>
      <c r="AO206" s="25" t="b">
        <v>1</v>
      </c>
      <c r="AP206" s="23" t="s">
        <v>645</v>
      </c>
      <c r="AQ206" s="25" t="b">
        <v>0</v>
      </c>
      <c r="AR206" s="23"/>
      <c r="AS206" s="23" t="s">
        <v>68</v>
      </c>
    </row>
    <row r="207" spans="1:45" ht="60">
      <c r="A207" s="6">
        <v>202</v>
      </c>
      <c r="B207" s="6" t="s">
        <v>646</v>
      </c>
      <c r="C207" s="6" t="s">
        <v>647</v>
      </c>
      <c r="D207" s="6" t="s">
        <v>639</v>
      </c>
      <c r="E207" s="6" t="s">
        <v>9</v>
      </c>
      <c r="F207" s="9">
        <v>5</v>
      </c>
      <c r="G207" s="9">
        <v>5</v>
      </c>
      <c r="H207" s="10">
        <v>2825</v>
      </c>
      <c r="I207" s="11">
        <v>2.42</v>
      </c>
      <c r="J207" s="11">
        <v>1.56</v>
      </c>
      <c r="K207" s="12">
        <f t="shared" si="18"/>
        <v>7.7097345132743356E-2</v>
      </c>
      <c r="L207" s="12">
        <f t="shared" si="19"/>
        <v>4.9699115044247788E-2</v>
      </c>
      <c r="M207" s="10">
        <v>1</v>
      </c>
      <c r="N207" s="10">
        <v>0</v>
      </c>
      <c r="O207" s="10">
        <v>128</v>
      </c>
      <c r="P207" s="10">
        <v>3.9</v>
      </c>
      <c r="Q207" s="10">
        <v>31</v>
      </c>
      <c r="R207" s="11">
        <v>9.91</v>
      </c>
      <c r="S207" s="6"/>
      <c r="T207" s="6"/>
      <c r="U207" s="6"/>
      <c r="V207" s="7" t="b">
        <v>0</v>
      </c>
      <c r="W207" s="8">
        <f>IFERROR(VLOOKUP(D207,Teams!$B$2:$I$21,6,FALSE),"")</f>
        <v>0</v>
      </c>
      <c r="X207" s="2" t="s">
        <v>65</v>
      </c>
      <c r="Y207" s="13"/>
      <c r="Z207" s="14"/>
      <c r="AA207" s="15">
        <f>IFERROR(H207/(H207+Priors!$G$3),0)</f>
        <v>0.73856209150326801</v>
      </c>
      <c r="AB207" s="16">
        <f>VLOOKUP(E207,Priors!$A$3:$C$6,2,FALSE)</f>
        <v>6.0081391379341341E-2</v>
      </c>
      <c r="AC207" s="16">
        <f>VLOOKUP(E207,Priors!$A$3:$C$6,3,FALSE)</f>
        <v>5.9588191961478354E-2</v>
      </c>
      <c r="AD207" s="12">
        <f t="shared" si="20"/>
        <v>7.2648729772376811E-2</v>
      </c>
      <c r="AE207" s="12">
        <f t="shared" si="21"/>
        <v>5.2284494630451858E-2</v>
      </c>
      <c r="AF207" s="17">
        <v>1</v>
      </c>
      <c r="AG207" s="17">
        <v>1</v>
      </c>
      <c r="AH207" s="16">
        <f>IFERROR(VLOOKUP(D207,Teams!$B$2:$I$21,7,FALSE),1)</f>
        <v>1</v>
      </c>
      <c r="AI207" s="12">
        <f t="shared" si="22"/>
        <v>7.2648729772376811E-2</v>
      </c>
      <c r="AJ207" s="12">
        <f t="shared" si="23"/>
        <v>5.2284494630451858E-2</v>
      </c>
      <c r="AK207" s="6" t="s">
        <v>66</v>
      </c>
      <c r="AL207" s="18"/>
      <c r="AM207" s="23"/>
      <c r="AN207" s="24">
        <v>8.0000000000000002E-3</v>
      </c>
      <c r="AO207" s="25" t="b">
        <v>1</v>
      </c>
      <c r="AP207" s="23" t="s">
        <v>648</v>
      </c>
      <c r="AQ207" s="25" t="b">
        <v>0</v>
      </c>
      <c r="AR207" s="23"/>
      <c r="AS207" s="23" t="s">
        <v>68</v>
      </c>
    </row>
    <row r="208" spans="1:45" ht="60">
      <c r="A208" s="6">
        <v>203</v>
      </c>
      <c r="B208" s="6" t="s">
        <v>649</v>
      </c>
      <c r="C208" s="6" t="s">
        <v>650</v>
      </c>
      <c r="D208" s="6" t="s">
        <v>639</v>
      </c>
      <c r="E208" s="6" t="s">
        <v>9</v>
      </c>
      <c r="F208" s="9">
        <v>5</v>
      </c>
      <c r="G208" s="9">
        <v>5</v>
      </c>
      <c r="H208" s="10">
        <v>1331</v>
      </c>
      <c r="I208" s="11">
        <v>1.48</v>
      </c>
      <c r="J208" s="11">
        <v>0.33</v>
      </c>
      <c r="K208" s="12">
        <f t="shared" si="18"/>
        <v>0.10007513148009015</v>
      </c>
      <c r="L208" s="12">
        <f t="shared" si="19"/>
        <v>2.2314049586776862E-2</v>
      </c>
      <c r="M208" s="10">
        <v>0</v>
      </c>
      <c r="N208" s="10">
        <v>0</v>
      </c>
      <c r="O208" s="10">
        <v>72</v>
      </c>
      <c r="P208" s="10">
        <v>3.6</v>
      </c>
      <c r="Q208" s="10">
        <v>14</v>
      </c>
      <c r="R208" s="11">
        <v>11.43</v>
      </c>
      <c r="S208" s="6"/>
      <c r="T208" s="6"/>
      <c r="U208" s="6"/>
      <c r="V208" s="7" t="b">
        <v>0</v>
      </c>
      <c r="W208" s="8">
        <f>IFERROR(VLOOKUP(D208,Teams!$B$2:$I$21,6,FALSE),"")</f>
        <v>0</v>
      </c>
      <c r="X208" s="2" t="s">
        <v>65</v>
      </c>
      <c r="Y208" s="13"/>
      <c r="Z208" s="14"/>
      <c r="AA208" s="15">
        <f>IFERROR(H208/(H208+Priors!$G$3),0)</f>
        <v>0.57099957099957099</v>
      </c>
      <c r="AB208" s="16">
        <f>VLOOKUP(E208,Priors!$A$3:$C$6,2,FALSE)</f>
        <v>6.0081391379341341E-2</v>
      </c>
      <c r="AC208" s="16">
        <f>VLOOKUP(E208,Priors!$A$3:$C$6,3,FALSE)</f>
        <v>5.9588191961478354E-2</v>
      </c>
      <c r="AD208" s="12">
        <f t="shared" si="20"/>
        <v>8.2917799819537244E-2</v>
      </c>
      <c r="AE208" s="12">
        <f t="shared" si="21"/>
        <v>3.8304672656146871E-2</v>
      </c>
      <c r="AF208" s="17">
        <v>1</v>
      </c>
      <c r="AG208" s="17">
        <v>1</v>
      </c>
      <c r="AH208" s="16">
        <f>IFERROR(VLOOKUP(D208,Teams!$B$2:$I$21,7,FALSE),1)</f>
        <v>1</v>
      </c>
      <c r="AI208" s="12">
        <f t="shared" si="22"/>
        <v>8.2917799819537244E-2</v>
      </c>
      <c r="AJ208" s="12">
        <f t="shared" si="23"/>
        <v>3.8304672656146871E-2</v>
      </c>
      <c r="AK208" s="6" t="s">
        <v>66</v>
      </c>
      <c r="AL208" s="18"/>
      <c r="AM208" s="23"/>
      <c r="AN208" s="24">
        <v>6.0000000000000001E-3</v>
      </c>
      <c r="AO208" s="25" t="b">
        <v>1</v>
      </c>
      <c r="AP208" s="23" t="s">
        <v>181</v>
      </c>
      <c r="AQ208" s="25" t="b">
        <v>0</v>
      </c>
      <c r="AR208" s="23"/>
      <c r="AS208" s="23" t="s">
        <v>68</v>
      </c>
    </row>
    <row r="209" spans="1:45" ht="60">
      <c r="A209" s="6">
        <v>204</v>
      </c>
      <c r="B209" s="6" t="s">
        <v>651</v>
      </c>
      <c r="C209" s="6" t="s">
        <v>652</v>
      </c>
      <c r="D209" s="6" t="s">
        <v>639</v>
      </c>
      <c r="E209" s="6" t="s">
        <v>9</v>
      </c>
      <c r="F209" s="9">
        <v>4.5</v>
      </c>
      <c r="G209" s="9">
        <v>4.5</v>
      </c>
      <c r="H209" s="10">
        <v>3253</v>
      </c>
      <c r="I209" s="11">
        <v>1.59</v>
      </c>
      <c r="J209" s="11">
        <v>2.5299999999999998</v>
      </c>
      <c r="K209" s="12">
        <f t="shared" si="18"/>
        <v>4.3990162926529353E-2</v>
      </c>
      <c r="L209" s="12">
        <f t="shared" si="19"/>
        <v>6.9996925914540417E-2</v>
      </c>
      <c r="M209" s="10">
        <v>1</v>
      </c>
      <c r="N209" s="10">
        <v>3</v>
      </c>
      <c r="O209" s="10">
        <v>135</v>
      </c>
      <c r="P209" s="10">
        <v>3.6</v>
      </c>
      <c r="Q209" s="10">
        <v>36</v>
      </c>
      <c r="R209" s="11">
        <v>6.78</v>
      </c>
      <c r="S209" s="6"/>
      <c r="T209" s="6"/>
      <c r="U209" s="6"/>
      <c r="V209" s="7" t="b">
        <v>0</v>
      </c>
      <c r="W209" s="8">
        <f>IFERROR(VLOOKUP(D209,Teams!$B$2:$I$21,6,FALSE),"")</f>
        <v>0</v>
      </c>
      <c r="X209" s="2" t="s">
        <v>65</v>
      </c>
      <c r="Y209" s="13"/>
      <c r="Z209" s="14"/>
      <c r="AA209" s="15">
        <f>IFERROR(H209/(H209+Priors!$G$3),0)</f>
        <v>0.76487185516106282</v>
      </c>
      <c r="AB209" s="16">
        <f>VLOOKUP(E209,Priors!$A$3:$C$6,2,FALSE)</f>
        <v>6.0081391379341341E-2</v>
      </c>
      <c r="AC209" s="16">
        <f>VLOOKUP(E209,Priors!$A$3:$C$6,3,FALSE)</f>
        <v>5.9588191961478354E-2</v>
      </c>
      <c r="AD209" s="12">
        <f t="shared" si="20"/>
        <v>4.7773663620818557E-2</v>
      </c>
      <c r="AE209" s="12">
        <f t="shared" si="21"/>
        <v>6.7549539610034876E-2</v>
      </c>
      <c r="AF209" s="17">
        <v>1</v>
      </c>
      <c r="AG209" s="17">
        <v>1</v>
      </c>
      <c r="AH209" s="16">
        <f>IFERROR(VLOOKUP(D209,Teams!$B$2:$I$21,7,FALSE),1)</f>
        <v>1</v>
      </c>
      <c r="AI209" s="12">
        <f t="shared" si="22"/>
        <v>4.7773663620818557E-2</v>
      </c>
      <c r="AJ209" s="12">
        <f t="shared" si="23"/>
        <v>6.7549539610034876E-2</v>
      </c>
      <c r="AK209" s="6" t="s">
        <v>66</v>
      </c>
      <c r="AL209" s="18"/>
      <c r="AM209" s="23"/>
      <c r="AN209" s="24">
        <v>7.0000000000000007E-2</v>
      </c>
      <c r="AO209" s="25" t="b">
        <v>1</v>
      </c>
      <c r="AP209" s="23" t="s">
        <v>653</v>
      </c>
      <c r="AQ209" s="25" t="b">
        <v>0</v>
      </c>
      <c r="AR209" s="23"/>
      <c r="AS209" s="23" t="s">
        <v>68</v>
      </c>
    </row>
    <row r="210" spans="1:45" ht="60">
      <c r="A210" s="6">
        <v>205</v>
      </c>
      <c r="B210" s="6" t="s">
        <v>654</v>
      </c>
      <c r="C210" s="6" t="s">
        <v>655</v>
      </c>
      <c r="D210" s="6" t="s">
        <v>639</v>
      </c>
      <c r="E210" s="6" t="s">
        <v>9</v>
      </c>
      <c r="F210" s="9">
        <v>4.5</v>
      </c>
      <c r="G210" s="9">
        <v>4.5</v>
      </c>
      <c r="H210" s="10">
        <v>99</v>
      </c>
      <c r="I210" s="11">
        <v>0.04</v>
      </c>
      <c r="J210" s="11">
        <v>7.0000000000000007E-2</v>
      </c>
      <c r="K210" s="12">
        <f t="shared" si="18"/>
        <v>3.6363636363636362E-2</v>
      </c>
      <c r="L210" s="12">
        <f t="shared" si="19"/>
        <v>6.3636363636363644E-2</v>
      </c>
      <c r="M210" s="10">
        <v>0</v>
      </c>
      <c r="N210" s="10">
        <v>0</v>
      </c>
      <c r="O210" s="10">
        <v>6</v>
      </c>
      <c r="P210" s="10">
        <v>0.9</v>
      </c>
      <c r="Q210" s="10">
        <v>0</v>
      </c>
      <c r="R210" s="11">
        <v>8.18</v>
      </c>
      <c r="S210" s="6"/>
      <c r="T210" s="6"/>
      <c r="U210" s="6"/>
      <c r="V210" s="7" t="b">
        <v>0</v>
      </c>
      <c r="W210" s="8">
        <f>IFERROR(VLOOKUP(D210,Teams!$B$2:$I$21,6,FALSE),"")</f>
        <v>0</v>
      </c>
      <c r="X210" s="2" t="s">
        <v>65</v>
      </c>
      <c r="Y210" s="13"/>
      <c r="Z210" s="14"/>
      <c r="AA210" s="15">
        <f>IFERROR(H210/(H210+Priors!$G$3),0)</f>
        <v>9.0081892629663332E-2</v>
      </c>
      <c r="AB210" s="16">
        <f>VLOOKUP(E210,Priors!$A$3:$C$6,2,FALSE)</f>
        <v>6.0081391379341341E-2</v>
      </c>
      <c r="AC210" s="16">
        <f>VLOOKUP(E210,Priors!$A$3:$C$6,3,FALSE)</f>
        <v>5.9588191961478354E-2</v>
      </c>
      <c r="AD210" s="12">
        <f t="shared" si="20"/>
        <v>5.7944851118599941E-2</v>
      </c>
      <c r="AE210" s="12">
        <f t="shared" si="21"/>
        <v>5.9952858927641808E-2</v>
      </c>
      <c r="AF210" s="17">
        <v>1</v>
      </c>
      <c r="AG210" s="17">
        <v>1</v>
      </c>
      <c r="AH210" s="16">
        <f>IFERROR(VLOOKUP(D210,Teams!$B$2:$I$21,7,FALSE),1)</f>
        <v>1</v>
      </c>
      <c r="AI210" s="12">
        <f t="shared" si="22"/>
        <v>5.7944851118599941E-2</v>
      </c>
      <c r="AJ210" s="12">
        <f t="shared" si="23"/>
        <v>5.9952858927641808E-2</v>
      </c>
      <c r="AK210" s="6" t="s">
        <v>66</v>
      </c>
      <c r="AL210" s="18"/>
      <c r="AM210" s="23"/>
      <c r="AN210" s="24">
        <v>0</v>
      </c>
      <c r="AO210" s="25" t="b">
        <v>1</v>
      </c>
      <c r="AP210" s="23" t="s">
        <v>656</v>
      </c>
      <c r="AQ210" s="25" t="b">
        <v>0</v>
      </c>
      <c r="AR210" s="23"/>
      <c r="AS210" s="23" t="s">
        <v>68</v>
      </c>
    </row>
    <row r="211" spans="1:45" ht="60">
      <c r="A211" s="6">
        <v>206</v>
      </c>
      <c r="B211" s="6" t="s">
        <v>657</v>
      </c>
      <c r="C211" s="6" t="s">
        <v>658</v>
      </c>
      <c r="D211" s="6" t="s">
        <v>639</v>
      </c>
      <c r="E211" s="6" t="s">
        <v>9</v>
      </c>
      <c r="F211" s="9">
        <v>4.5</v>
      </c>
      <c r="G211" s="9">
        <v>4.5</v>
      </c>
      <c r="H211" s="10">
        <v>550</v>
      </c>
      <c r="I211" s="11">
        <v>0.33</v>
      </c>
      <c r="J211" s="11">
        <v>0.13</v>
      </c>
      <c r="K211" s="12">
        <f t="shared" si="18"/>
        <v>5.4000000000000006E-2</v>
      </c>
      <c r="L211" s="12">
        <f t="shared" si="19"/>
        <v>2.1272727272727273E-2</v>
      </c>
      <c r="M211" s="10">
        <v>0</v>
      </c>
      <c r="N211" s="10">
        <v>1</v>
      </c>
      <c r="O211" s="10">
        <v>20</v>
      </c>
      <c r="P211" s="10">
        <v>2.2000000000000002</v>
      </c>
      <c r="Q211" s="10">
        <v>6</v>
      </c>
      <c r="R211" s="11">
        <v>7.36</v>
      </c>
      <c r="S211" s="6"/>
      <c r="T211" s="6"/>
      <c r="U211" s="6"/>
      <c r="V211" s="7" t="b">
        <v>1</v>
      </c>
      <c r="W211" s="8">
        <f>IFERROR(VLOOKUP(D211,Teams!$B$2:$I$21,6,FALSE),"")</f>
        <v>0</v>
      </c>
      <c r="X211" s="2" t="s">
        <v>65</v>
      </c>
      <c r="Y211" s="13"/>
      <c r="Z211" s="14"/>
      <c r="AA211" s="15">
        <f>IFERROR(H211/(H211+Priors!$G$3),0)</f>
        <v>0.35483870967741937</v>
      </c>
      <c r="AB211" s="16">
        <f>VLOOKUP(E211,Priors!$A$3:$C$6,2,FALSE)</f>
        <v>6.0081391379341341E-2</v>
      </c>
      <c r="AC211" s="16">
        <f>VLOOKUP(E211,Priors!$A$3:$C$6,3,FALSE)</f>
        <v>5.9588191961478354E-2</v>
      </c>
      <c r="AD211" s="12">
        <f t="shared" si="20"/>
        <v>5.7923478309252478E-2</v>
      </c>
      <c r="AE211" s="12">
        <f t="shared" si="21"/>
        <v>4.5992381910631201E-2</v>
      </c>
      <c r="AF211" s="17">
        <v>1</v>
      </c>
      <c r="AG211" s="17">
        <v>1</v>
      </c>
      <c r="AH211" s="16">
        <f>IFERROR(VLOOKUP(D211,Teams!$B$2:$I$21,7,FALSE),1)</f>
        <v>1</v>
      </c>
      <c r="AI211" s="12">
        <f t="shared" si="22"/>
        <v>5.7923478309252478E-2</v>
      </c>
      <c r="AJ211" s="12">
        <f t="shared" si="23"/>
        <v>4.5992381910631201E-2</v>
      </c>
      <c r="AK211" s="6" t="s">
        <v>66</v>
      </c>
      <c r="AL211" s="18"/>
      <c r="AM211" s="23"/>
      <c r="AN211" s="24">
        <v>1E-3</v>
      </c>
      <c r="AO211" s="25" t="b">
        <v>1</v>
      </c>
      <c r="AP211" s="23" t="s">
        <v>65</v>
      </c>
      <c r="AQ211" s="25" t="b">
        <v>0</v>
      </c>
      <c r="AR211" s="23"/>
      <c r="AS211" s="23" t="s">
        <v>68</v>
      </c>
    </row>
    <row r="212" spans="1:45" ht="60">
      <c r="A212" s="6">
        <v>207</v>
      </c>
      <c r="B212" s="6" t="s">
        <v>659</v>
      </c>
      <c r="C212" s="6" t="s">
        <v>660</v>
      </c>
      <c r="D212" s="6" t="s">
        <v>639</v>
      </c>
      <c r="E212" s="6" t="s">
        <v>9</v>
      </c>
      <c r="F212" s="9">
        <v>4.5</v>
      </c>
      <c r="G212" s="9">
        <v>4.5</v>
      </c>
      <c r="H212" s="10">
        <v>0</v>
      </c>
      <c r="I212" s="11">
        <v>0</v>
      </c>
      <c r="J212" s="11">
        <v>0</v>
      </c>
      <c r="K212" s="12">
        <f t="shared" si="18"/>
        <v>0</v>
      </c>
      <c r="L212" s="12">
        <f t="shared" si="19"/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1">
        <v>0</v>
      </c>
      <c r="S212" s="6"/>
      <c r="T212" s="6"/>
      <c r="U212" s="6"/>
      <c r="V212" s="7" t="b">
        <v>1</v>
      </c>
      <c r="W212" s="8">
        <f>IFERROR(VLOOKUP(D212,Teams!$B$2:$I$21,6,FALSE),"")</f>
        <v>0</v>
      </c>
      <c r="X212" s="2" t="s">
        <v>65</v>
      </c>
      <c r="Y212" s="13"/>
      <c r="Z212" s="14"/>
      <c r="AA212" s="15">
        <f>IFERROR(H212/(H212+Priors!$G$3),0)</f>
        <v>0</v>
      </c>
      <c r="AB212" s="16">
        <f>VLOOKUP(E212,Priors!$A$3:$C$6,2,FALSE)</f>
        <v>6.0081391379341341E-2</v>
      </c>
      <c r="AC212" s="16">
        <f>VLOOKUP(E212,Priors!$A$3:$C$6,3,FALSE)</f>
        <v>5.9588191961478354E-2</v>
      </c>
      <c r="AD212" s="12">
        <f t="shared" si="20"/>
        <v>6.0081391379341341E-2</v>
      </c>
      <c r="AE212" s="12">
        <f t="shared" si="21"/>
        <v>5.9588191961478354E-2</v>
      </c>
      <c r="AF212" s="17">
        <v>1</v>
      </c>
      <c r="AG212" s="17">
        <v>1</v>
      </c>
      <c r="AH212" s="16">
        <f>IFERROR(VLOOKUP(D212,Teams!$B$2:$I$21,7,FALSE),1)</f>
        <v>1</v>
      </c>
      <c r="AI212" s="12">
        <f t="shared" si="22"/>
        <v>6.0081391379341341E-2</v>
      </c>
      <c r="AJ212" s="12">
        <f t="shared" si="23"/>
        <v>5.9588191961478354E-2</v>
      </c>
      <c r="AK212" s="6" t="s">
        <v>66</v>
      </c>
      <c r="AL212" s="18"/>
      <c r="AM212" s="23"/>
      <c r="AN212" s="24">
        <v>1E-3</v>
      </c>
      <c r="AO212" s="25" t="b">
        <v>1</v>
      </c>
      <c r="AP212" s="23" t="s">
        <v>74</v>
      </c>
      <c r="AQ212" s="25" t="b">
        <v>0</v>
      </c>
      <c r="AR212" s="23"/>
      <c r="AS212" s="23" t="s">
        <v>68</v>
      </c>
    </row>
    <row r="213" spans="1:45" ht="60">
      <c r="A213" s="6">
        <v>208</v>
      </c>
      <c r="B213" s="6" t="s">
        <v>661</v>
      </c>
      <c r="C213" s="6" t="s">
        <v>662</v>
      </c>
      <c r="D213" s="6" t="s">
        <v>639</v>
      </c>
      <c r="E213" s="6" t="s">
        <v>11</v>
      </c>
      <c r="F213" s="9">
        <v>6.5</v>
      </c>
      <c r="G213" s="9">
        <v>6.5</v>
      </c>
      <c r="H213" s="10">
        <v>2173</v>
      </c>
      <c r="I213" s="11">
        <v>10.93</v>
      </c>
      <c r="J213" s="11">
        <v>1.17</v>
      </c>
      <c r="K213" s="12">
        <f t="shared" si="18"/>
        <v>0.45269213069489184</v>
      </c>
      <c r="L213" s="12">
        <f t="shared" si="19"/>
        <v>4.845835250805338E-2</v>
      </c>
      <c r="M213" s="10">
        <v>9</v>
      </c>
      <c r="N213" s="10">
        <v>2</v>
      </c>
      <c r="O213" s="10">
        <v>117</v>
      </c>
      <c r="P213" s="10">
        <v>4.2</v>
      </c>
      <c r="Q213" s="10">
        <v>24</v>
      </c>
      <c r="R213" s="11">
        <v>5.67</v>
      </c>
      <c r="S213" s="6">
        <v>2</v>
      </c>
      <c r="T213" s="6"/>
      <c r="U213" s="6"/>
      <c r="V213" s="7" t="b">
        <v>0</v>
      </c>
      <c r="W213" s="8">
        <f>IFERROR(VLOOKUP(D213,Teams!$B$2:$I$21,6,FALSE),"")</f>
        <v>0</v>
      </c>
      <c r="X213" s="2" t="s">
        <v>65</v>
      </c>
      <c r="Y213" s="13"/>
      <c r="Z213" s="14"/>
      <c r="AA213" s="15">
        <f>IFERROR(H213/(H213+Priors!$G$3),0)</f>
        <v>0.68484084462653638</v>
      </c>
      <c r="AB213" s="16">
        <f>VLOOKUP(E213,Priors!$A$3:$C$6,2,FALSE)</f>
        <v>0.15714383234350468</v>
      </c>
      <c r="AC213" s="16">
        <f>VLOOKUP(E213,Priors!$A$3:$C$6,3,FALSE)</f>
        <v>0.13222062939449797</v>
      </c>
      <c r="AD213" s="12">
        <f t="shared" si="20"/>
        <v>0.35954737861440422</v>
      </c>
      <c r="AE213" s="12">
        <f t="shared" si="21"/>
        <v>7.4856800943743446E-2</v>
      </c>
      <c r="AF213" s="17">
        <v>1</v>
      </c>
      <c r="AG213" s="17">
        <v>1</v>
      </c>
      <c r="AH213" s="16">
        <f>IFERROR(VLOOKUP(D213,Teams!$B$2:$I$21,7,FALSE),1)</f>
        <v>1</v>
      </c>
      <c r="AI213" s="12">
        <f t="shared" si="22"/>
        <v>0.35954737861440422</v>
      </c>
      <c r="AJ213" s="12">
        <f t="shared" si="23"/>
        <v>7.4856800943743446E-2</v>
      </c>
      <c r="AK213" s="6" t="s">
        <v>66</v>
      </c>
      <c r="AL213" s="18"/>
      <c r="AM213" s="23"/>
      <c r="AN213" s="24">
        <v>9.9000000000000005E-2</v>
      </c>
      <c r="AO213" s="25" t="b">
        <v>1</v>
      </c>
      <c r="AP213" s="23" t="s">
        <v>629</v>
      </c>
      <c r="AQ213" s="25" t="b">
        <v>0</v>
      </c>
      <c r="AR213" s="23"/>
      <c r="AS213" s="23" t="s">
        <v>68</v>
      </c>
    </row>
    <row r="214" spans="1:45" ht="60">
      <c r="A214" s="6">
        <v>209</v>
      </c>
      <c r="B214" s="6" t="s">
        <v>663</v>
      </c>
      <c r="C214" s="6" t="s">
        <v>664</v>
      </c>
      <c r="D214" s="6" t="s">
        <v>639</v>
      </c>
      <c r="E214" s="6" t="s">
        <v>11</v>
      </c>
      <c r="F214" s="9">
        <v>6</v>
      </c>
      <c r="G214" s="9">
        <v>6</v>
      </c>
      <c r="H214" s="10">
        <v>1710</v>
      </c>
      <c r="I214" s="11">
        <v>2.4500000000000002</v>
      </c>
      <c r="J214" s="11">
        <v>1.31</v>
      </c>
      <c r="K214" s="12">
        <f t="shared" si="18"/>
        <v>0.12894736842105264</v>
      </c>
      <c r="L214" s="12">
        <f t="shared" si="19"/>
        <v>6.8947368421052632E-2</v>
      </c>
      <c r="M214" s="10">
        <v>2</v>
      </c>
      <c r="N214" s="10">
        <v>1</v>
      </c>
      <c r="O214" s="10">
        <v>65</v>
      </c>
      <c r="P214" s="10">
        <v>1.9</v>
      </c>
      <c r="Q214" s="10">
        <v>19</v>
      </c>
      <c r="R214" s="11">
        <v>6.37</v>
      </c>
      <c r="S214" s="6"/>
      <c r="T214" s="6">
        <v>2</v>
      </c>
      <c r="U214" s="6"/>
      <c r="V214" s="7" t="b">
        <v>0</v>
      </c>
      <c r="W214" s="8">
        <f>IFERROR(VLOOKUP(D214,Teams!$B$2:$I$21,6,FALSE),"")</f>
        <v>0</v>
      </c>
      <c r="X214" s="2" t="s">
        <v>65</v>
      </c>
      <c r="Y214" s="13"/>
      <c r="Z214" s="14"/>
      <c r="AA214" s="15">
        <f>IFERROR(H214/(H214+Priors!$G$3),0)</f>
        <v>0.63099630996309963</v>
      </c>
      <c r="AB214" s="16">
        <f>VLOOKUP(E214,Priors!$A$3:$C$6,2,FALSE)</f>
        <v>0.15714383234350468</v>
      </c>
      <c r="AC214" s="16">
        <f>VLOOKUP(E214,Priors!$A$3:$C$6,3,FALSE)</f>
        <v>0.13222062939449797</v>
      </c>
      <c r="AD214" s="12">
        <f t="shared" si="20"/>
        <v>0.13935196765442978</v>
      </c>
      <c r="AE214" s="12">
        <f t="shared" si="21"/>
        <v>9.229543520092176E-2</v>
      </c>
      <c r="AF214" s="17">
        <v>1</v>
      </c>
      <c r="AG214" s="17">
        <v>1</v>
      </c>
      <c r="AH214" s="16">
        <f>IFERROR(VLOOKUP(D214,Teams!$B$2:$I$21,7,FALSE),1)</f>
        <v>1</v>
      </c>
      <c r="AI214" s="12">
        <f t="shared" si="22"/>
        <v>0.13935196765442978</v>
      </c>
      <c r="AJ214" s="12">
        <f t="shared" si="23"/>
        <v>9.229543520092176E-2</v>
      </c>
      <c r="AK214" s="6" t="s">
        <v>66</v>
      </c>
      <c r="AL214" s="18"/>
      <c r="AM214" s="23"/>
      <c r="AN214" s="24">
        <v>2E-3</v>
      </c>
      <c r="AO214" s="25" t="b">
        <v>1</v>
      </c>
      <c r="AP214" s="23" t="s">
        <v>240</v>
      </c>
      <c r="AQ214" s="25" t="b">
        <v>0</v>
      </c>
      <c r="AR214" s="23"/>
      <c r="AS214" s="23" t="s">
        <v>68</v>
      </c>
    </row>
    <row r="215" spans="1:45" ht="60">
      <c r="A215" s="6">
        <v>210</v>
      </c>
      <c r="B215" s="6" t="s">
        <v>665</v>
      </c>
      <c r="C215" s="6" t="s">
        <v>666</v>
      </c>
      <c r="D215" s="6" t="s">
        <v>639</v>
      </c>
      <c r="E215" s="6" t="s">
        <v>11</v>
      </c>
      <c r="F215" s="9">
        <v>5.5</v>
      </c>
      <c r="G215" s="9">
        <v>5.5</v>
      </c>
      <c r="H215" s="10">
        <v>2552</v>
      </c>
      <c r="I215" s="11">
        <v>1.52</v>
      </c>
      <c r="J215" s="11">
        <v>7.47</v>
      </c>
      <c r="K215" s="12">
        <f t="shared" si="18"/>
        <v>5.3605015673981196E-2</v>
      </c>
      <c r="L215" s="12">
        <f t="shared" si="19"/>
        <v>0.26344043887147334</v>
      </c>
      <c r="M215" s="10">
        <v>1</v>
      </c>
      <c r="N215" s="10">
        <v>6</v>
      </c>
      <c r="O215" s="10">
        <v>112</v>
      </c>
      <c r="P215" s="10">
        <v>3.3</v>
      </c>
      <c r="Q215" s="10">
        <v>29</v>
      </c>
      <c r="R215" s="11">
        <v>10.69</v>
      </c>
      <c r="S215" s="6"/>
      <c r="T215" s="6"/>
      <c r="U215" s="6">
        <v>5</v>
      </c>
      <c r="V215" s="7" t="b">
        <v>0</v>
      </c>
      <c r="W215" s="8">
        <f>IFERROR(VLOOKUP(D215,Teams!$B$2:$I$21,6,FALSE),"")</f>
        <v>0</v>
      </c>
      <c r="X215" s="2" t="s">
        <v>65</v>
      </c>
      <c r="Y215" s="13"/>
      <c r="Z215" s="14"/>
      <c r="AA215" s="15">
        <f>IFERROR(H215/(H215+Priors!$G$3),0)</f>
        <v>0.71846846846846846</v>
      </c>
      <c r="AB215" s="16">
        <f>VLOOKUP(E215,Priors!$A$3:$C$6,2,FALSE)</f>
        <v>0.15714383234350468</v>
      </c>
      <c r="AC215" s="16">
        <f>VLOOKUP(E215,Priors!$A$3:$C$6,3,FALSE)</f>
        <v>0.13222062939449797</v>
      </c>
      <c r="AD215" s="12">
        <f t="shared" si="20"/>
        <v>8.2754457303914619E-2</v>
      </c>
      <c r="AE215" s="12">
        <f t="shared" si="21"/>
        <v>0.22649792494214468</v>
      </c>
      <c r="AF215" s="17">
        <v>1</v>
      </c>
      <c r="AG215" s="17">
        <v>1</v>
      </c>
      <c r="AH215" s="16">
        <f>IFERROR(VLOOKUP(D215,Teams!$B$2:$I$21,7,FALSE),1)</f>
        <v>1</v>
      </c>
      <c r="AI215" s="12">
        <f t="shared" si="22"/>
        <v>8.2754457303914619E-2</v>
      </c>
      <c r="AJ215" s="12">
        <f t="shared" si="23"/>
        <v>0.22649792494214468</v>
      </c>
      <c r="AK215" s="6" t="s">
        <v>204</v>
      </c>
      <c r="AL215" s="18">
        <v>75</v>
      </c>
      <c r="AM215" s="23" t="s">
        <v>667</v>
      </c>
      <c r="AN215" s="24">
        <v>2E-3</v>
      </c>
      <c r="AO215" s="25" t="b">
        <v>1</v>
      </c>
      <c r="AP215" s="23" t="s">
        <v>609</v>
      </c>
      <c r="AQ215" s="25" t="b">
        <v>0</v>
      </c>
      <c r="AR215" s="23"/>
      <c r="AS215" s="23" t="s">
        <v>68</v>
      </c>
    </row>
    <row r="216" spans="1:45" ht="60">
      <c r="A216" s="6">
        <v>211</v>
      </c>
      <c r="B216" s="6" t="s">
        <v>668</v>
      </c>
      <c r="C216" s="6" t="s">
        <v>669</v>
      </c>
      <c r="D216" s="6" t="s">
        <v>639</v>
      </c>
      <c r="E216" s="6" t="s">
        <v>11</v>
      </c>
      <c r="F216" s="9">
        <v>5.5</v>
      </c>
      <c r="G216" s="9">
        <v>5.5</v>
      </c>
      <c r="H216" s="10">
        <v>2074</v>
      </c>
      <c r="I216" s="11">
        <v>4.53</v>
      </c>
      <c r="J216" s="11">
        <v>6.12</v>
      </c>
      <c r="K216" s="12">
        <f t="shared" si="18"/>
        <v>0.19657666345226618</v>
      </c>
      <c r="L216" s="12">
        <f t="shared" si="19"/>
        <v>0.26557377049180325</v>
      </c>
      <c r="M216" s="10">
        <v>2</v>
      </c>
      <c r="N216" s="10">
        <v>2</v>
      </c>
      <c r="O216" s="10">
        <v>77</v>
      </c>
      <c r="P216" s="10">
        <v>2.2999999999999998</v>
      </c>
      <c r="Q216" s="10">
        <v>26</v>
      </c>
      <c r="R216" s="11">
        <v>7.25</v>
      </c>
      <c r="S216" s="6"/>
      <c r="T216" s="6">
        <v>1</v>
      </c>
      <c r="U216" s="6">
        <v>6</v>
      </c>
      <c r="V216" s="7" t="b">
        <v>0</v>
      </c>
      <c r="W216" s="8">
        <f>IFERROR(VLOOKUP(D216,Teams!$B$2:$I$21,6,FALSE),"")</f>
        <v>0</v>
      </c>
      <c r="X216" s="2" t="s">
        <v>65</v>
      </c>
      <c r="Y216" s="13"/>
      <c r="Z216" s="14"/>
      <c r="AA216" s="15">
        <f>IFERROR(H216/(H216+Priors!$G$3),0)</f>
        <v>0.67469095640858812</v>
      </c>
      <c r="AB216" s="16">
        <f>VLOOKUP(E216,Priors!$A$3:$C$6,2,FALSE)</f>
        <v>0.15714383234350468</v>
      </c>
      <c r="AC216" s="16">
        <f>VLOOKUP(E216,Priors!$A$3:$C$6,3,FALSE)</f>
        <v>0.13222062939449797</v>
      </c>
      <c r="AD216" s="12">
        <f t="shared" si="20"/>
        <v>0.18374880687817333</v>
      </c>
      <c r="AE216" s="12">
        <f t="shared" si="21"/>
        <v>0.22219278770152828</v>
      </c>
      <c r="AF216" s="17">
        <v>1</v>
      </c>
      <c r="AG216" s="17">
        <v>1</v>
      </c>
      <c r="AH216" s="16">
        <f>IFERROR(VLOOKUP(D216,Teams!$B$2:$I$21,7,FALSE),1)</f>
        <v>1</v>
      </c>
      <c r="AI216" s="12">
        <f t="shared" si="22"/>
        <v>0.18374880687817333</v>
      </c>
      <c r="AJ216" s="12">
        <f t="shared" si="23"/>
        <v>0.22219278770152828</v>
      </c>
      <c r="AK216" s="6" t="s">
        <v>66</v>
      </c>
      <c r="AL216" s="18"/>
      <c r="AM216" s="23"/>
      <c r="AN216" s="24">
        <v>2E-3</v>
      </c>
      <c r="AO216" s="25" t="b">
        <v>1</v>
      </c>
      <c r="AP216" s="23" t="s">
        <v>670</v>
      </c>
      <c r="AQ216" s="25" t="b">
        <v>0</v>
      </c>
      <c r="AR216" s="23"/>
      <c r="AS216" s="23" t="s">
        <v>68</v>
      </c>
    </row>
    <row r="217" spans="1:45" ht="60">
      <c r="A217" s="6">
        <v>212</v>
      </c>
      <c r="B217" s="6" t="s">
        <v>671</v>
      </c>
      <c r="C217" s="6" t="s">
        <v>672</v>
      </c>
      <c r="D217" s="6" t="s">
        <v>639</v>
      </c>
      <c r="E217" s="6" t="s">
        <v>11</v>
      </c>
      <c r="F217" s="9">
        <v>4.5</v>
      </c>
      <c r="G217" s="9">
        <v>4.5</v>
      </c>
      <c r="H217" s="10">
        <v>1560</v>
      </c>
      <c r="I217" s="11">
        <v>1.1100000000000001</v>
      </c>
      <c r="J217" s="11">
        <v>1.94</v>
      </c>
      <c r="K217" s="12">
        <f t="shared" si="18"/>
        <v>6.4038461538461544E-2</v>
      </c>
      <c r="L217" s="12">
        <f t="shared" si="19"/>
        <v>0.11192307692307692</v>
      </c>
      <c r="M217" s="10">
        <v>0</v>
      </c>
      <c r="N217" s="10">
        <v>1</v>
      </c>
      <c r="O217" s="10">
        <v>45</v>
      </c>
      <c r="P217" s="10">
        <v>1.5</v>
      </c>
      <c r="Q217" s="10">
        <v>19</v>
      </c>
      <c r="R217" s="11">
        <v>8.5399999999999991</v>
      </c>
      <c r="S217" s="6"/>
      <c r="T217" s="6"/>
      <c r="U217" s="6">
        <v>7</v>
      </c>
      <c r="V217" s="7" t="b">
        <v>0</v>
      </c>
      <c r="W217" s="8">
        <f>IFERROR(VLOOKUP(D217,Teams!$B$2:$I$21,6,FALSE),"")</f>
        <v>0</v>
      </c>
      <c r="X217" s="2" t="s">
        <v>65</v>
      </c>
      <c r="Y217" s="13"/>
      <c r="Z217" s="14"/>
      <c r="AA217" s="15">
        <f>IFERROR(H217/(H217+Priors!$G$3),0)</f>
        <v>0.609375</v>
      </c>
      <c r="AB217" s="16">
        <f>VLOOKUP(E217,Priors!$A$3:$C$6,2,FALSE)</f>
        <v>0.15714383234350468</v>
      </c>
      <c r="AC217" s="16">
        <f>VLOOKUP(E217,Priors!$A$3:$C$6,3,FALSE)</f>
        <v>0.13222062939449797</v>
      </c>
      <c r="AD217" s="12">
        <f t="shared" si="20"/>
        <v>0.10040774700918151</v>
      </c>
      <c r="AE217" s="12">
        <f t="shared" si="21"/>
        <v>0.11985180835722575</v>
      </c>
      <c r="AF217" s="17">
        <v>1</v>
      </c>
      <c r="AG217" s="17">
        <v>1</v>
      </c>
      <c r="AH217" s="16">
        <f>IFERROR(VLOOKUP(D217,Teams!$B$2:$I$21,7,FALSE),1)</f>
        <v>1</v>
      </c>
      <c r="AI217" s="12">
        <f t="shared" si="22"/>
        <v>0.10040774700918151</v>
      </c>
      <c r="AJ217" s="12">
        <f t="shared" si="23"/>
        <v>0.11985180835722575</v>
      </c>
      <c r="AK217" s="6" t="s">
        <v>66</v>
      </c>
      <c r="AL217" s="18"/>
      <c r="AM217" s="23"/>
      <c r="AN217" s="24">
        <v>0.111</v>
      </c>
      <c r="AO217" s="25" t="b">
        <v>1</v>
      </c>
      <c r="AP217" s="23" t="s">
        <v>673</v>
      </c>
      <c r="AQ217" s="25" t="b">
        <v>0</v>
      </c>
      <c r="AR217" s="23"/>
      <c r="AS217" s="23" t="s">
        <v>68</v>
      </c>
    </row>
    <row r="218" spans="1:45" ht="60">
      <c r="A218" s="6">
        <v>213</v>
      </c>
      <c r="B218" s="6" t="s">
        <v>674</v>
      </c>
      <c r="C218" s="6" t="s">
        <v>675</v>
      </c>
      <c r="D218" s="6" t="s">
        <v>639</v>
      </c>
      <c r="E218" s="6" t="s">
        <v>11</v>
      </c>
      <c r="F218" s="9">
        <v>5</v>
      </c>
      <c r="G218" s="9">
        <v>5</v>
      </c>
      <c r="H218" s="10">
        <v>1722</v>
      </c>
      <c r="I218" s="11">
        <v>1.84</v>
      </c>
      <c r="J218" s="11">
        <v>1.48</v>
      </c>
      <c r="K218" s="12">
        <f t="shared" si="18"/>
        <v>9.616724738675958E-2</v>
      </c>
      <c r="L218" s="12">
        <f t="shared" si="19"/>
        <v>7.7351916376306618E-2</v>
      </c>
      <c r="M218" s="10">
        <v>0</v>
      </c>
      <c r="N218" s="10">
        <v>5</v>
      </c>
      <c r="O218" s="10">
        <v>69</v>
      </c>
      <c r="P218" s="10">
        <v>2.2000000000000002</v>
      </c>
      <c r="Q218" s="10">
        <v>18</v>
      </c>
      <c r="R218" s="11">
        <v>11.5</v>
      </c>
      <c r="S218" s="6"/>
      <c r="T218" s="6"/>
      <c r="U218" s="6"/>
      <c r="V218" s="7" t="b">
        <v>0</v>
      </c>
      <c r="W218" s="8">
        <f>IFERROR(VLOOKUP(D218,Teams!$B$2:$I$21,6,FALSE),"")</f>
        <v>0</v>
      </c>
      <c r="X218" s="2" t="s">
        <v>65</v>
      </c>
      <c r="Y218" s="13"/>
      <c r="Z218" s="14"/>
      <c r="AA218" s="15">
        <f>IFERROR(H218/(H218+Priors!$G$3),0)</f>
        <v>0.63262307127112416</v>
      </c>
      <c r="AB218" s="16">
        <f>VLOOKUP(E218,Priors!$A$3:$C$6,2,FALSE)</f>
        <v>0.15714383234350468</v>
      </c>
      <c r="AC218" s="16">
        <f>VLOOKUP(E218,Priors!$A$3:$C$6,3,FALSE)</f>
        <v>0.13222062939449797</v>
      </c>
      <c r="AD218" s="12">
        <f t="shared" si="20"/>
        <v>0.11856863789254396</v>
      </c>
      <c r="AE218" s="12">
        <f t="shared" si="21"/>
        <v>9.7509415648235842E-2</v>
      </c>
      <c r="AF218" s="17">
        <v>1</v>
      </c>
      <c r="AG218" s="17">
        <v>1</v>
      </c>
      <c r="AH218" s="16">
        <f>IFERROR(VLOOKUP(D218,Teams!$B$2:$I$21,7,FALSE),1)</f>
        <v>1</v>
      </c>
      <c r="AI218" s="12">
        <f t="shared" si="22"/>
        <v>0.11856863789254396</v>
      </c>
      <c r="AJ218" s="12">
        <f t="shared" si="23"/>
        <v>9.7509415648235842E-2</v>
      </c>
      <c r="AK218" s="6" t="s">
        <v>66</v>
      </c>
      <c r="AL218" s="18"/>
      <c r="AM218" s="23"/>
      <c r="AN218" s="24">
        <v>1E-3</v>
      </c>
      <c r="AO218" s="25" t="b">
        <v>1</v>
      </c>
      <c r="AP218" s="23" t="s">
        <v>273</v>
      </c>
      <c r="AQ218" s="25" t="b">
        <v>0</v>
      </c>
      <c r="AR218" s="23"/>
      <c r="AS218" s="23" t="s">
        <v>68</v>
      </c>
    </row>
    <row r="219" spans="1:45" ht="60">
      <c r="A219" s="6">
        <v>214</v>
      </c>
      <c r="B219" s="6" t="s">
        <v>676</v>
      </c>
      <c r="C219" s="6" t="s">
        <v>677</v>
      </c>
      <c r="D219" s="6" t="s">
        <v>639</v>
      </c>
      <c r="E219" s="6" t="s">
        <v>11</v>
      </c>
      <c r="F219" s="9">
        <v>5</v>
      </c>
      <c r="G219" s="9">
        <v>5</v>
      </c>
      <c r="H219" s="10">
        <v>1899</v>
      </c>
      <c r="I219" s="11">
        <v>1.64</v>
      </c>
      <c r="J219" s="11">
        <v>3.24</v>
      </c>
      <c r="K219" s="12">
        <f t="shared" si="18"/>
        <v>7.772511848341232E-2</v>
      </c>
      <c r="L219" s="12">
        <f t="shared" si="19"/>
        <v>0.15355450236966825</v>
      </c>
      <c r="M219" s="10">
        <v>0</v>
      </c>
      <c r="N219" s="10">
        <v>2</v>
      </c>
      <c r="O219" s="10">
        <v>67</v>
      </c>
      <c r="P219" s="10">
        <v>2.4</v>
      </c>
      <c r="Q219" s="10">
        <v>22</v>
      </c>
      <c r="R219" s="11">
        <v>9.86</v>
      </c>
      <c r="S219" s="6"/>
      <c r="T219" s="6"/>
      <c r="U219" s="6">
        <v>8</v>
      </c>
      <c r="V219" s="7" t="b">
        <v>0</v>
      </c>
      <c r="W219" s="8">
        <f>IFERROR(VLOOKUP(D219,Teams!$B$2:$I$21,6,FALSE),"")</f>
        <v>0</v>
      </c>
      <c r="X219" s="2" t="s">
        <v>65</v>
      </c>
      <c r="Y219" s="13"/>
      <c r="Z219" s="14"/>
      <c r="AA219" s="15">
        <f>IFERROR(H219/(H219+Priors!$G$3),0)</f>
        <v>0.65505346671265952</v>
      </c>
      <c r="AB219" s="16">
        <f>VLOOKUP(E219,Priors!$A$3:$C$6,2,FALSE)</f>
        <v>0.15714383234350468</v>
      </c>
      <c r="AC219" s="16">
        <f>VLOOKUP(E219,Priors!$A$3:$C$6,3,FALSE)</f>
        <v>0.13222062939449797</v>
      </c>
      <c r="AD219" s="12">
        <f t="shared" si="20"/>
        <v>0.10512032850759044</v>
      </c>
      <c r="AE219" s="12">
        <f t="shared" si="21"/>
        <v>0.14619545684529078</v>
      </c>
      <c r="AF219" s="17">
        <v>1</v>
      </c>
      <c r="AG219" s="17">
        <v>1</v>
      </c>
      <c r="AH219" s="16">
        <f>IFERROR(VLOOKUP(D219,Teams!$B$2:$I$21,7,FALSE),1)</f>
        <v>1</v>
      </c>
      <c r="AI219" s="12">
        <f t="shared" si="22"/>
        <v>0.10512032850759044</v>
      </c>
      <c r="AJ219" s="12">
        <f t="shared" si="23"/>
        <v>0.14619545684529078</v>
      </c>
      <c r="AK219" s="6" t="s">
        <v>66</v>
      </c>
      <c r="AL219" s="18"/>
      <c r="AM219" s="23"/>
      <c r="AN219" s="24">
        <v>3.0000000000000001E-3</v>
      </c>
      <c r="AO219" s="25" t="b">
        <v>1</v>
      </c>
      <c r="AP219" s="23" t="s">
        <v>201</v>
      </c>
      <c r="AQ219" s="25" t="b">
        <v>0</v>
      </c>
      <c r="AR219" s="23"/>
      <c r="AS219" s="23" t="s">
        <v>68</v>
      </c>
    </row>
    <row r="220" spans="1:45" ht="60">
      <c r="A220" s="6">
        <v>215</v>
      </c>
      <c r="B220" s="6" t="s">
        <v>678</v>
      </c>
      <c r="C220" s="6" t="s">
        <v>679</v>
      </c>
      <c r="D220" s="6" t="s">
        <v>639</v>
      </c>
      <c r="E220" s="6" t="s">
        <v>11</v>
      </c>
      <c r="F220" s="9">
        <v>5</v>
      </c>
      <c r="G220" s="9">
        <v>5</v>
      </c>
      <c r="H220" s="10">
        <v>785</v>
      </c>
      <c r="I220" s="11">
        <v>2.38</v>
      </c>
      <c r="J220" s="11">
        <v>0.39</v>
      </c>
      <c r="K220" s="12">
        <f t="shared" si="18"/>
        <v>0.27286624203821652</v>
      </c>
      <c r="L220" s="12">
        <f t="shared" si="19"/>
        <v>4.4713375796178345E-2</v>
      </c>
      <c r="M220" s="10">
        <v>1</v>
      </c>
      <c r="N220" s="10">
        <v>0</v>
      </c>
      <c r="O220" s="10">
        <v>36</v>
      </c>
      <c r="P220" s="10">
        <v>1.7</v>
      </c>
      <c r="Q220" s="10">
        <v>7</v>
      </c>
      <c r="R220" s="11">
        <v>8.25</v>
      </c>
      <c r="S220" s="6">
        <v>3</v>
      </c>
      <c r="T220" s="6">
        <v>3</v>
      </c>
      <c r="U220" s="6"/>
      <c r="V220" s="7" t="b">
        <v>0</v>
      </c>
      <c r="W220" s="8">
        <f>IFERROR(VLOOKUP(D220,Teams!$B$2:$I$21,6,FALSE),"")</f>
        <v>0</v>
      </c>
      <c r="X220" s="2" t="s">
        <v>65</v>
      </c>
      <c r="Y220" s="13"/>
      <c r="Z220" s="14"/>
      <c r="AA220" s="15">
        <f>IFERROR(H220/(H220+Priors!$G$3),0)</f>
        <v>0.43977591036414565</v>
      </c>
      <c r="AB220" s="16">
        <f>VLOOKUP(E220,Priors!$A$3:$C$6,2,FALSE)</f>
        <v>0.15714383234350468</v>
      </c>
      <c r="AC220" s="16">
        <f>VLOOKUP(E220,Priors!$A$3:$C$6,3,FALSE)</f>
        <v>0.13222062939449797</v>
      </c>
      <c r="AD220" s="12">
        <f t="shared" si="20"/>
        <v>0.20803576041652921</v>
      </c>
      <c r="AE220" s="12">
        <f t="shared" si="21"/>
        <v>9.3737047279830801E-2</v>
      </c>
      <c r="AF220" s="17">
        <v>1</v>
      </c>
      <c r="AG220" s="17">
        <v>1</v>
      </c>
      <c r="AH220" s="16">
        <f>IFERROR(VLOOKUP(D220,Teams!$B$2:$I$21,7,FALSE),1)</f>
        <v>1</v>
      </c>
      <c r="AI220" s="12">
        <f t="shared" si="22"/>
        <v>0.20803576041652921</v>
      </c>
      <c r="AJ220" s="12">
        <f t="shared" si="23"/>
        <v>9.3737047279830801E-2</v>
      </c>
      <c r="AK220" s="6" t="s">
        <v>66</v>
      </c>
      <c r="AL220" s="18"/>
      <c r="AM220" s="23"/>
      <c r="AN220" s="24">
        <v>0</v>
      </c>
      <c r="AO220" s="25" t="b">
        <v>1</v>
      </c>
      <c r="AP220" s="23" t="s">
        <v>680</v>
      </c>
      <c r="AQ220" s="25" t="b">
        <v>0</v>
      </c>
      <c r="AR220" s="23"/>
      <c r="AS220" s="23" t="s">
        <v>68</v>
      </c>
    </row>
    <row r="221" spans="1:45" ht="60">
      <c r="A221" s="6">
        <v>216</v>
      </c>
      <c r="B221" s="6" t="s">
        <v>681</v>
      </c>
      <c r="C221" s="6" t="s">
        <v>682</v>
      </c>
      <c r="D221" s="6" t="s">
        <v>639</v>
      </c>
      <c r="E221" s="6" t="s">
        <v>11</v>
      </c>
      <c r="F221" s="9">
        <v>5</v>
      </c>
      <c r="G221" s="9">
        <v>5</v>
      </c>
      <c r="H221" s="10">
        <v>40</v>
      </c>
      <c r="I221" s="11">
        <v>0</v>
      </c>
      <c r="J221" s="11">
        <v>0.04</v>
      </c>
      <c r="K221" s="12">
        <f t="shared" si="18"/>
        <v>0</v>
      </c>
      <c r="L221" s="12">
        <f t="shared" si="19"/>
        <v>0.09</v>
      </c>
      <c r="M221" s="10">
        <v>0</v>
      </c>
      <c r="N221" s="10">
        <v>0</v>
      </c>
      <c r="O221" s="10">
        <v>4</v>
      </c>
      <c r="P221" s="10">
        <v>1</v>
      </c>
      <c r="Q221" s="10">
        <v>0</v>
      </c>
      <c r="R221" s="11">
        <v>11.25</v>
      </c>
      <c r="S221" s="6"/>
      <c r="T221" s="6"/>
      <c r="U221" s="6"/>
      <c r="V221" s="7" t="b">
        <v>0</v>
      </c>
      <c r="W221" s="8">
        <f>IFERROR(VLOOKUP(D221,Teams!$B$2:$I$21,6,FALSE),"")</f>
        <v>0</v>
      </c>
      <c r="X221" s="2" t="s">
        <v>65</v>
      </c>
      <c r="Y221" s="13"/>
      <c r="Z221" s="14"/>
      <c r="AA221" s="15">
        <f>IFERROR(H221/(H221+Priors!$G$3),0)</f>
        <v>3.8461538461538464E-2</v>
      </c>
      <c r="AB221" s="16">
        <f>VLOOKUP(E221,Priors!$A$3:$C$6,2,FALSE)</f>
        <v>0.15714383234350468</v>
      </c>
      <c r="AC221" s="16">
        <f>VLOOKUP(E221,Priors!$A$3:$C$6,3,FALSE)</f>
        <v>0.13222062939449797</v>
      </c>
      <c r="AD221" s="12">
        <f t="shared" si="20"/>
        <v>0.15109983879183142</v>
      </c>
      <c r="AE221" s="12">
        <f t="shared" si="21"/>
        <v>0.13059675903317114</v>
      </c>
      <c r="AF221" s="17">
        <v>1</v>
      </c>
      <c r="AG221" s="17">
        <v>1</v>
      </c>
      <c r="AH221" s="16">
        <f>IFERROR(VLOOKUP(D221,Teams!$B$2:$I$21,7,FALSE),1)</f>
        <v>1</v>
      </c>
      <c r="AI221" s="12">
        <f t="shared" si="22"/>
        <v>0.15109983879183142</v>
      </c>
      <c r="AJ221" s="12">
        <f t="shared" si="23"/>
        <v>0.13059675903317114</v>
      </c>
      <c r="AK221" s="6" t="s">
        <v>66</v>
      </c>
      <c r="AL221" s="18"/>
      <c r="AM221" s="23"/>
      <c r="AN221" s="24">
        <v>1E-3</v>
      </c>
      <c r="AO221" s="25" t="b">
        <v>1</v>
      </c>
      <c r="AP221" s="23" t="s">
        <v>683</v>
      </c>
      <c r="AQ221" s="25" t="b">
        <v>0</v>
      </c>
      <c r="AR221" s="23"/>
      <c r="AS221" s="23" t="s">
        <v>68</v>
      </c>
    </row>
    <row r="222" spans="1:45" ht="60">
      <c r="A222" s="6">
        <v>217</v>
      </c>
      <c r="B222" s="6" t="s">
        <v>684</v>
      </c>
      <c r="C222" s="6" t="s">
        <v>685</v>
      </c>
      <c r="D222" s="6" t="s">
        <v>639</v>
      </c>
      <c r="E222" s="6" t="s">
        <v>11</v>
      </c>
      <c r="F222" s="9">
        <v>5</v>
      </c>
      <c r="G222" s="9">
        <v>5</v>
      </c>
      <c r="H222" s="10">
        <v>0</v>
      </c>
      <c r="I222" s="11">
        <v>0</v>
      </c>
      <c r="J222" s="11">
        <v>0</v>
      </c>
      <c r="K222" s="12">
        <f t="shared" si="18"/>
        <v>0</v>
      </c>
      <c r="L222" s="12">
        <f t="shared" si="19"/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1">
        <v>0</v>
      </c>
      <c r="S222" s="6"/>
      <c r="T222" s="6"/>
      <c r="U222" s="6"/>
      <c r="V222" s="7" t="b">
        <v>0</v>
      </c>
      <c r="W222" s="8">
        <f>IFERROR(VLOOKUP(D222,Teams!$B$2:$I$21,6,FALSE),"")</f>
        <v>0</v>
      </c>
      <c r="X222" s="2" t="s">
        <v>65</v>
      </c>
      <c r="Y222" s="13"/>
      <c r="Z222" s="14"/>
      <c r="AA222" s="15">
        <f>IFERROR(H222/(H222+Priors!$G$3),0)</f>
        <v>0</v>
      </c>
      <c r="AB222" s="16">
        <f>VLOOKUP(E222,Priors!$A$3:$C$6,2,FALSE)</f>
        <v>0.15714383234350468</v>
      </c>
      <c r="AC222" s="16">
        <f>VLOOKUP(E222,Priors!$A$3:$C$6,3,FALSE)</f>
        <v>0.13222062939449797</v>
      </c>
      <c r="AD222" s="12">
        <f t="shared" si="20"/>
        <v>0.15714383234350468</v>
      </c>
      <c r="AE222" s="12">
        <f t="shared" si="21"/>
        <v>0.13222062939449797</v>
      </c>
      <c r="AF222" s="17">
        <v>1</v>
      </c>
      <c r="AG222" s="17">
        <v>1</v>
      </c>
      <c r="AH222" s="16">
        <f>IFERROR(VLOOKUP(D222,Teams!$B$2:$I$21,7,FALSE),1)</f>
        <v>1</v>
      </c>
      <c r="AI222" s="12">
        <f t="shared" si="22"/>
        <v>0.15714383234350468</v>
      </c>
      <c r="AJ222" s="12">
        <f t="shared" si="23"/>
        <v>0.13222062939449797</v>
      </c>
      <c r="AK222" s="6" t="s">
        <v>66</v>
      </c>
      <c r="AL222" s="18"/>
      <c r="AM222" s="23"/>
      <c r="AN222" s="24">
        <v>0</v>
      </c>
      <c r="AO222" s="25" t="b">
        <v>1</v>
      </c>
      <c r="AP222" s="23" t="s">
        <v>480</v>
      </c>
      <c r="AQ222" s="25" t="b">
        <v>0</v>
      </c>
      <c r="AR222" s="23"/>
      <c r="AS222" s="23" t="s">
        <v>68</v>
      </c>
    </row>
    <row r="223" spans="1:45" ht="60">
      <c r="A223" s="6">
        <v>218</v>
      </c>
      <c r="B223" s="6" t="s">
        <v>686</v>
      </c>
      <c r="C223" s="6" t="s">
        <v>687</v>
      </c>
      <c r="D223" s="6" t="s">
        <v>639</v>
      </c>
      <c r="E223" s="6" t="s">
        <v>11</v>
      </c>
      <c r="F223" s="9">
        <v>5</v>
      </c>
      <c r="G223" s="9">
        <v>5</v>
      </c>
      <c r="H223" s="10">
        <v>0</v>
      </c>
      <c r="I223" s="11">
        <v>0</v>
      </c>
      <c r="J223" s="11">
        <v>0</v>
      </c>
      <c r="K223" s="12">
        <f t="shared" si="18"/>
        <v>0</v>
      </c>
      <c r="L223" s="12">
        <f t="shared" si="19"/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1">
        <v>0</v>
      </c>
      <c r="S223" s="6"/>
      <c r="T223" s="6"/>
      <c r="U223" s="6"/>
      <c r="V223" s="7" t="b">
        <v>0</v>
      </c>
      <c r="W223" s="8">
        <f>IFERROR(VLOOKUP(D223,Teams!$B$2:$I$21,6,FALSE),"")</f>
        <v>0</v>
      </c>
      <c r="X223" s="2" t="s">
        <v>65</v>
      </c>
      <c r="Y223" s="13"/>
      <c r="Z223" s="14"/>
      <c r="AA223" s="15">
        <f>IFERROR(H223/(H223+Priors!$G$3),0)</f>
        <v>0</v>
      </c>
      <c r="AB223" s="16">
        <f>VLOOKUP(E223,Priors!$A$3:$C$6,2,FALSE)</f>
        <v>0.15714383234350468</v>
      </c>
      <c r="AC223" s="16">
        <f>VLOOKUP(E223,Priors!$A$3:$C$6,3,FALSE)</f>
        <v>0.13222062939449797</v>
      </c>
      <c r="AD223" s="12">
        <f t="shared" si="20"/>
        <v>0.15714383234350468</v>
      </c>
      <c r="AE223" s="12">
        <f t="shared" si="21"/>
        <v>0.13222062939449797</v>
      </c>
      <c r="AF223" s="17">
        <v>1</v>
      </c>
      <c r="AG223" s="17">
        <v>1</v>
      </c>
      <c r="AH223" s="16">
        <f>IFERROR(VLOOKUP(D223,Teams!$B$2:$I$21,7,FALSE),1)</f>
        <v>1</v>
      </c>
      <c r="AI223" s="12">
        <f t="shared" si="22"/>
        <v>0.15714383234350468</v>
      </c>
      <c r="AJ223" s="12">
        <f t="shared" si="23"/>
        <v>0.13222062939449797</v>
      </c>
      <c r="AK223" s="6" t="s">
        <v>66</v>
      </c>
      <c r="AL223" s="18"/>
      <c r="AM223" s="23"/>
      <c r="AN223" s="24">
        <v>1E-3</v>
      </c>
      <c r="AO223" s="25" t="b">
        <v>1</v>
      </c>
      <c r="AP223" s="23" t="s">
        <v>688</v>
      </c>
      <c r="AQ223" s="25" t="b">
        <v>0</v>
      </c>
      <c r="AR223" s="23"/>
      <c r="AS223" s="23" t="s">
        <v>68</v>
      </c>
    </row>
    <row r="224" spans="1:45" ht="60">
      <c r="A224" s="6">
        <v>219</v>
      </c>
      <c r="B224" s="6" t="s">
        <v>689</v>
      </c>
      <c r="C224" s="6" t="s">
        <v>690</v>
      </c>
      <c r="D224" s="6" t="s">
        <v>639</v>
      </c>
      <c r="E224" s="6" t="s">
        <v>11</v>
      </c>
      <c r="F224" s="9">
        <v>5</v>
      </c>
      <c r="G224" s="9">
        <v>5</v>
      </c>
      <c r="H224" s="10">
        <v>0</v>
      </c>
      <c r="I224" s="11">
        <v>0</v>
      </c>
      <c r="J224" s="11">
        <v>0</v>
      </c>
      <c r="K224" s="12">
        <f t="shared" si="18"/>
        <v>0</v>
      </c>
      <c r="L224" s="12">
        <f t="shared" si="19"/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1">
        <v>0</v>
      </c>
      <c r="S224" s="6"/>
      <c r="T224" s="6"/>
      <c r="U224" s="6"/>
      <c r="V224" s="7" t="b">
        <v>0</v>
      </c>
      <c r="W224" s="8">
        <f>IFERROR(VLOOKUP(D224,Teams!$B$2:$I$21,6,FALSE),"")</f>
        <v>0</v>
      </c>
      <c r="X224" s="2" t="s">
        <v>65</v>
      </c>
      <c r="Y224" s="13"/>
      <c r="Z224" s="14"/>
      <c r="AA224" s="15">
        <f>IFERROR(H224/(H224+Priors!$G$3),0)</f>
        <v>0</v>
      </c>
      <c r="AB224" s="16">
        <f>VLOOKUP(E224,Priors!$A$3:$C$6,2,FALSE)</f>
        <v>0.15714383234350468</v>
      </c>
      <c r="AC224" s="16">
        <f>VLOOKUP(E224,Priors!$A$3:$C$6,3,FALSE)</f>
        <v>0.13222062939449797</v>
      </c>
      <c r="AD224" s="12">
        <f t="shared" si="20"/>
        <v>0.15714383234350468</v>
      </c>
      <c r="AE224" s="12">
        <f t="shared" si="21"/>
        <v>0.13222062939449797</v>
      </c>
      <c r="AF224" s="17">
        <v>1</v>
      </c>
      <c r="AG224" s="17">
        <v>1</v>
      </c>
      <c r="AH224" s="16">
        <f>IFERROR(VLOOKUP(D224,Teams!$B$2:$I$21,7,FALSE),1)</f>
        <v>1</v>
      </c>
      <c r="AI224" s="12">
        <f t="shared" si="22"/>
        <v>0.15714383234350468</v>
      </c>
      <c r="AJ224" s="12">
        <f t="shared" si="23"/>
        <v>0.13222062939449797</v>
      </c>
      <c r="AK224" s="6" t="s">
        <v>66</v>
      </c>
      <c r="AL224" s="18"/>
      <c r="AM224" s="23"/>
      <c r="AN224" s="24">
        <v>0</v>
      </c>
      <c r="AO224" s="25" t="b">
        <v>1</v>
      </c>
      <c r="AP224" s="23" t="s">
        <v>691</v>
      </c>
      <c r="AQ224" s="25" t="b">
        <v>0</v>
      </c>
      <c r="AR224" s="23"/>
      <c r="AS224" s="23" t="s">
        <v>68</v>
      </c>
    </row>
    <row r="225" spans="1:45" ht="60">
      <c r="A225" s="6">
        <v>220</v>
      </c>
      <c r="B225" s="6" t="s">
        <v>692</v>
      </c>
      <c r="C225" s="6" t="s">
        <v>693</v>
      </c>
      <c r="D225" s="6" t="s">
        <v>639</v>
      </c>
      <c r="E225" s="6" t="s">
        <v>9</v>
      </c>
      <c r="F225" s="9">
        <v>4.5</v>
      </c>
      <c r="G225" s="9">
        <v>4.5</v>
      </c>
      <c r="H225" s="10">
        <v>90</v>
      </c>
      <c r="I225" s="11">
        <v>0.02</v>
      </c>
      <c r="J225" s="11">
        <v>0.16</v>
      </c>
      <c r="K225" s="12">
        <f t="shared" si="18"/>
        <v>0.02</v>
      </c>
      <c r="L225" s="12">
        <f t="shared" si="19"/>
        <v>0.16</v>
      </c>
      <c r="M225" s="10">
        <v>0</v>
      </c>
      <c r="N225" s="10">
        <v>0</v>
      </c>
      <c r="O225" s="10">
        <v>2</v>
      </c>
      <c r="P225" s="10">
        <v>2</v>
      </c>
      <c r="Q225" s="10">
        <v>1</v>
      </c>
      <c r="R225" s="11">
        <v>7</v>
      </c>
      <c r="S225" s="6"/>
      <c r="T225" s="6"/>
      <c r="U225" s="6"/>
      <c r="V225" s="7" t="b">
        <v>0</v>
      </c>
      <c r="W225" s="8">
        <f>IFERROR(VLOOKUP(D225,Teams!$B$2:$I$21,6,FALSE),"")</f>
        <v>0</v>
      </c>
      <c r="X225" s="2" t="s">
        <v>65</v>
      </c>
      <c r="Y225" s="13"/>
      <c r="Z225" s="14"/>
      <c r="AA225" s="15">
        <f>IFERROR(H225/(H225+Priors!$G$3),0)</f>
        <v>8.2568807339449546E-2</v>
      </c>
      <c r="AB225" s="16">
        <f>VLOOKUP(E225,Priors!$A$3:$C$6,2,FALSE)</f>
        <v>6.0081391379341341E-2</v>
      </c>
      <c r="AC225" s="16">
        <f>VLOOKUP(E225,Priors!$A$3:$C$6,3,FALSE)</f>
        <v>5.9588191961478354E-2</v>
      </c>
      <c r="AD225" s="12">
        <f t="shared" si="20"/>
        <v>5.6771918696643435E-2</v>
      </c>
      <c r="AE225" s="12">
        <f t="shared" si="21"/>
        <v>6.7879075194016841E-2</v>
      </c>
      <c r="AF225" s="17">
        <v>1</v>
      </c>
      <c r="AG225" s="17">
        <v>1</v>
      </c>
      <c r="AH225" s="16">
        <f>IFERROR(VLOOKUP(D225,Teams!$B$2:$I$21,7,FALSE),1)</f>
        <v>1</v>
      </c>
      <c r="AI225" s="12">
        <f t="shared" si="22"/>
        <v>5.6771918696643435E-2</v>
      </c>
      <c r="AJ225" s="12">
        <f t="shared" si="23"/>
        <v>6.7879075194016841E-2</v>
      </c>
      <c r="AK225" s="6" t="s">
        <v>66</v>
      </c>
      <c r="AL225" s="18"/>
      <c r="AM225" s="23"/>
      <c r="AN225" s="24">
        <v>0</v>
      </c>
      <c r="AO225" s="25" t="b">
        <v>1</v>
      </c>
      <c r="AP225" s="23" t="s">
        <v>101</v>
      </c>
      <c r="AQ225" s="25" t="b">
        <v>0</v>
      </c>
      <c r="AR225" s="23"/>
      <c r="AS225" s="23" t="s">
        <v>68</v>
      </c>
    </row>
    <row r="226" spans="1:45" ht="60">
      <c r="A226" s="6">
        <v>221</v>
      </c>
      <c r="B226" s="6" t="s">
        <v>694</v>
      </c>
      <c r="C226" s="6" t="s">
        <v>695</v>
      </c>
      <c r="D226" s="6" t="s">
        <v>639</v>
      </c>
      <c r="E226" s="6" t="s">
        <v>11</v>
      </c>
      <c r="F226" s="9">
        <v>4.5</v>
      </c>
      <c r="G226" s="9">
        <v>4.5</v>
      </c>
      <c r="H226" s="10">
        <v>7</v>
      </c>
      <c r="I226" s="11">
        <v>0</v>
      </c>
      <c r="J226" s="11">
        <v>0</v>
      </c>
      <c r="K226" s="12">
        <f t="shared" si="18"/>
        <v>0</v>
      </c>
      <c r="L226" s="12">
        <f t="shared" si="19"/>
        <v>0</v>
      </c>
      <c r="M226" s="10">
        <v>0</v>
      </c>
      <c r="N226" s="10">
        <v>0</v>
      </c>
      <c r="O226" s="10">
        <v>2</v>
      </c>
      <c r="P226" s="10">
        <v>1</v>
      </c>
      <c r="Q226" s="10">
        <v>0</v>
      </c>
      <c r="R226" s="11">
        <v>38.57</v>
      </c>
      <c r="S226" s="6"/>
      <c r="T226" s="6"/>
      <c r="U226" s="6"/>
      <c r="V226" s="7" t="b">
        <v>0</v>
      </c>
      <c r="W226" s="8">
        <f>IFERROR(VLOOKUP(D226,Teams!$B$2:$I$21,6,FALSE),"")</f>
        <v>0</v>
      </c>
      <c r="X226" s="2" t="s">
        <v>65</v>
      </c>
      <c r="Y226" s="13"/>
      <c r="Z226" s="14"/>
      <c r="AA226" s="15">
        <f>IFERROR(H226/(H226+Priors!$G$3),0)</f>
        <v>6.9513406156901684E-3</v>
      </c>
      <c r="AB226" s="16">
        <f>VLOOKUP(E226,Priors!$A$3:$C$6,2,FALSE)</f>
        <v>0.15714383234350468</v>
      </c>
      <c r="AC226" s="16">
        <f>VLOOKUP(E226,Priors!$A$3:$C$6,3,FALSE)</f>
        <v>0.13222062939449797</v>
      </c>
      <c r="AD226" s="12">
        <f t="shared" si="20"/>
        <v>0.15605147203923009</v>
      </c>
      <c r="AE226" s="12">
        <f t="shared" si="21"/>
        <v>0.13130151876315588</v>
      </c>
      <c r="AF226" s="17">
        <v>1</v>
      </c>
      <c r="AG226" s="17">
        <v>1</v>
      </c>
      <c r="AH226" s="16">
        <f>IFERROR(VLOOKUP(D226,Teams!$B$2:$I$21,7,FALSE),1)</f>
        <v>1</v>
      </c>
      <c r="AI226" s="12">
        <f t="shared" si="22"/>
        <v>0.15605147203923009</v>
      </c>
      <c r="AJ226" s="12">
        <f t="shared" si="23"/>
        <v>0.13130151876315588</v>
      </c>
      <c r="AK226" s="6" t="s">
        <v>66</v>
      </c>
      <c r="AL226" s="18"/>
      <c r="AM226" s="23"/>
      <c r="AN226" s="24">
        <v>1E-3</v>
      </c>
      <c r="AO226" s="25" t="b">
        <v>1</v>
      </c>
      <c r="AP226" s="23" t="s">
        <v>696</v>
      </c>
      <c r="AQ226" s="25" t="b">
        <v>0</v>
      </c>
      <c r="AR226" s="23"/>
      <c r="AS226" s="23" t="s">
        <v>68</v>
      </c>
    </row>
    <row r="227" spans="1:45" ht="60">
      <c r="A227" s="6">
        <v>222</v>
      </c>
      <c r="B227" s="6" t="s">
        <v>697</v>
      </c>
      <c r="C227" s="6" t="s">
        <v>698</v>
      </c>
      <c r="D227" s="6" t="s">
        <v>639</v>
      </c>
      <c r="E227" s="6" t="s">
        <v>14</v>
      </c>
      <c r="F227" s="9">
        <v>6</v>
      </c>
      <c r="G227" s="9">
        <v>6</v>
      </c>
      <c r="H227" s="10">
        <v>2301</v>
      </c>
      <c r="I227" s="11">
        <v>5.3</v>
      </c>
      <c r="J227" s="11">
        <v>1.1200000000000001</v>
      </c>
      <c r="K227" s="12">
        <f t="shared" si="18"/>
        <v>0.20730117340286833</v>
      </c>
      <c r="L227" s="12">
        <f t="shared" si="19"/>
        <v>4.3807040417209911E-2</v>
      </c>
      <c r="M227" s="10">
        <v>4</v>
      </c>
      <c r="N227" s="10">
        <v>1</v>
      </c>
      <c r="O227" s="10">
        <v>75</v>
      </c>
      <c r="P227" s="10">
        <v>2.1</v>
      </c>
      <c r="Q227" s="10">
        <v>26</v>
      </c>
      <c r="R227" s="11">
        <v>3.72</v>
      </c>
      <c r="S227" s="6"/>
      <c r="T227" s="6"/>
      <c r="U227" s="6"/>
      <c r="V227" s="7" t="b">
        <v>0</v>
      </c>
      <c r="W227" s="8">
        <f>IFERROR(VLOOKUP(D227,Teams!$B$2:$I$21,6,FALSE),"")</f>
        <v>0</v>
      </c>
      <c r="X227" s="2" t="s">
        <v>65</v>
      </c>
      <c r="Y227" s="13"/>
      <c r="Z227" s="14"/>
      <c r="AA227" s="15">
        <f>IFERROR(H227/(H227+Priors!$G$3),0)</f>
        <v>0.69706149651620719</v>
      </c>
      <c r="AB227" s="16">
        <f>VLOOKUP(E227,Priors!$A$3:$C$6,2,FALSE)</f>
        <v>0.44625207326425426</v>
      </c>
      <c r="AC227" s="16">
        <f>VLOOKUP(E227,Priors!$A$3:$C$6,3,FALSE)</f>
        <v>5.8217260259314105E-2</v>
      </c>
      <c r="AD227" s="12">
        <f t="shared" si="20"/>
        <v>0.27968860141298224</v>
      </c>
      <c r="AE227" s="12">
        <f t="shared" si="21"/>
        <v>4.8172450851049417E-2</v>
      </c>
      <c r="AF227" s="17">
        <v>1</v>
      </c>
      <c r="AG227" s="17">
        <v>1</v>
      </c>
      <c r="AH227" s="16">
        <f>IFERROR(VLOOKUP(D227,Teams!$B$2:$I$21,7,FALSE),1)</f>
        <v>1</v>
      </c>
      <c r="AI227" s="12">
        <f t="shared" si="22"/>
        <v>0.27968860141298224</v>
      </c>
      <c r="AJ227" s="12">
        <f t="shared" si="23"/>
        <v>4.8172450851049417E-2</v>
      </c>
      <c r="AK227" s="6" t="s">
        <v>66</v>
      </c>
      <c r="AL227" s="18"/>
      <c r="AM227" s="23"/>
      <c r="AN227" s="24">
        <v>6.0000000000000001E-3</v>
      </c>
      <c r="AO227" s="25" t="b">
        <v>1</v>
      </c>
      <c r="AP227" s="23" t="s">
        <v>699</v>
      </c>
      <c r="AQ227" s="25" t="b">
        <v>0</v>
      </c>
      <c r="AR227" s="23"/>
      <c r="AS227" s="23" t="s">
        <v>68</v>
      </c>
    </row>
    <row r="228" spans="1:45" ht="60">
      <c r="A228" s="6">
        <v>223</v>
      </c>
      <c r="B228" s="6" t="s">
        <v>700</v>
      </c>
      <c r="C228" s="6" t="s">
        <v>701</v>
      </c>
      <c r="D228" s="6" t="s">
        <v>639</v>
      </c>
      <c r="E228" s="6" t="s">
        <v>14</v>
      </c>
      <c r="F228" s="9">
        <v>6.5</v>
      </c>
      <c r="G228" s="9">
        <v>6.5</v>
      </c>
      <c r="H228" s="10">
        <v>2210</v>
      </c>
      <c r="I228" s="11">
        <v>14.42</v>
      </c>
      <c r="J228" s="11">
        <v>1.32</v>
      </c>
      <c r="K228" s="12">
        <f t="shared" si="18"/>
        <v>0.58723981900452482</v>
      </c>
      <c r="L228" s="12">
        <f t="shared" si="19"/>
        <v>5.375565610859729E-2</v>
      </c>
      <c r="M228" s="10">
        <v>12</v>
      </c>
      <c r="N228" s="10">
        <v>0</v>
      </c>
      <c r="O228" s="10">
        <v>114</v>
      </c>
      <c r="P228" s="10">
        <v>3.6</v>
      </c>
      <c r="Q228" s="10">
        <v>25</v>
      </c>
      <c r="R228" s="11">
        <v>5.09</v>
      </c>
      <c r="S228" s="6">
        <v>1</v>
      </c>
      <c r="T228" s="6"/>
      <c r="U228" s="6"/>
      <c r="V228" s="7" t="b">
        <v>0</v>
      </c>
      <c r="W228" s="8">
        <f>IFERROR(VLOOKUP(D228,Teams!$B$2:$I$21,6,FALSE),"")</f>
        <v>0</v>
      </c>
      <c r="X228" s="2" t="s">
        <v>65</v>
      </c>
      <c r="Y228" s="13"/>
      <c r="Z228" s="14"/>
      <c r="AA228" s="15">
        <f>IFERROR(H228/(H228+Priors!$G$3),0)</f>
        <v>0.68847352024922115</v>
      </c>
      <c r="AB228" s="16">
        <f>VLOOKUP(E228,Priors!$A$3:$C$6,2,FALSE)</f>
        <v>0.44625207326425426</v>
      </c>
      <c r="AC228" s="16">
        <f>VLOOKUP(E228,Priors!$A$3:$C$6,3,FALSE)</f>
        <v>5.8217260259314105E-2</v>
      </c>
      <c r="AD228" s="12">
        <f t="shared" si="20"/>
        <v>0.54331840288606048</v>
      </c>
      <c r="AE228" s="12">
        <f t="shared" si="21"/>
        <v>5.5145563943711562E-2</v>
      </c>
      <c r="AF228" s="17">
        <v>1</v>
      </c>
      <c r="AG228" s="17">
        <v>1</v>
      </c>
      <c r="AH228" s="16">
        <f>IFERROR(VLOOKUP(D228,Teams!$B$2:$I$21,7,FALSE),1)</f>
        <v>1</v>
      </c>
      <c r="AI228" s="12">
        <f t="shared" si="22"/>
        <v>0.54331840288606048</v>
      </c>
      <c r="AJ228" s="12">
        <f t="shared" si="23"/>
        <v>5.5145563943711562E-2</v>
      </c>
      <c r="AK228" s="6" t="s">
        <v>66</v>
      </c>
      <c r="AL228" s="18"/>
      <c r="AM228" s="23"/>
      <c r="AN228" s="24">
        <v>7.0000000000000007E-2</v>
      </c>
      <c r="AO228" s="25" t="b">
        <v>1</v>
      </c>
      <c r="AP228" s="23" t="s">
        <v>702</v>
      </c>
      <c r="AQ228" s="25" t="b">
        <v>0</v>
      </c>
      <c r="AR228" s="23"/>
      <c r="AS228" s="23" t="s">
        <v>68</v>
      </c>
    </row>
    <row r="229" spans="1:45" ht="60">
      <c r="A229" s="6">
        <v>224</v>
      </c>
      <c r="B229" s="6" t="s">
        <v>703</v>
      </c>
      <c r="C229" s="6" t="s">
        <v>704</v>
      </c>
      <c r="D229" s="6" t="s">
        <v>639</v>
      </c>
      <c r="E229" s="6" t="s">
        <v>14</v>
      </c>
      <c r="F229" s="9">
        <v>5.5</v>
      </c>
      <c r="G229" s="9">
        <v>5.5</v>
      </c>
      <c r="H229" s="10">
        <v>414</v>
      </c>
      <c r="I229" s="11">
        <v>1.77</v>
      </c>
      <c r="J229" s="11">
        <v>0.46</v>
      </c>
      <c r="K229" s="12">
        <f t="shared" si="18"/>
        <v>0.38478260869565223</v>
      </c>
      <c r="L229" s="12">
        <f t="shared" si="19"/>
        <v>9.9999999999999992E-2</v>
      </c>
      <c r="M229" s="10">
        <v>2</v>
      </c>
      <c r="N229" s="10">
        <v>0</v>
      </c>
      <c r="O229" s="10">
        <v>23</v>
      </c>
      <c r="P229" s="10">
        <v>1.9</v>
      </c>
      <c r="Q229" s="10">
        <v>2</v>
      </c>
      <c r="R229" s="11">
        <v>8.26</v>
      </c>
      <c r="S229" s="6"/>
      <c r="T229" s="6"/>
      <c r="U229" s="6"/>
      <c r="V229" s="7" t="b">
        <v>0</v>
      </c>
      <c r="W229" s="8">
        <f>IFERROR(VLOOKUP(D229,Teams!$B$2:$I$21,6,FALSE),"")</f>
        <v>0</v>
      </c>
      <c r="X229" s="2" t="s">
        <v>65</v>
      </c>
      <c r="Y229" s="13"/>
      <c r="Z229" s="14"/>
      <c r="AA229" s="15">
        <f>IFERROR(H229/(H229+Priors!$G$3),0)</f>
        <v>0.29278642149929279</v>
      </c>
      <c r="AB229" s="16">
        <f>VLOOKUP(E229,Priors!$A$3:$C$6,2,FALSE)</f>
        <v>0.44625207326425426</v>
      </c>
      <c r="AC229" s="16">
        <f>VLOOKUP(E229,Priors!$A$3:$C$6,3,FALSE)</f>
        <v>5.8217260259314105E-2</v>
      </c>
      <c r="AD229" s="12">
        <f t="shared" si="20"/>
        <v>0.42825464870173569</v>
      </c>
      <c r="AE229" s="12">
        <f t="shared" si="21"/>
        <v>7.0450679108425812E-2</v>
      </c>
      <c r="AF229" s="17">
        <v>1</v>
      </c>
      <c r="AG229" s="17">
        <v>1</v>
      </c>
      <c r="AH229" s="16">
        <f>IFERROR(VLOOKUP(D229,Teams!$B$2:$I$21,7,FALSE),1)</f>
        <v>1</v>
      </c>
      <c r="AI229" s="12">
        <f t="shared" si="22"/>
        <v>0.42825464870173569</v>
      </c>
      <c r="AJ229" s="12">
        <f t="shared" si="23"/>
        <v>7.0450679108425812E-2</v>
      </c>
      <c r="AK229" s="6" t="s">
        <v>66</v>
      </c>
      <c r="AL229" s="18"/>
      <c r="AM229" s="23"/>
      <c r="AN229" s="24">
        <v>4.0000000000000001E-3</v>
      </c>
      <c r="AO229" s="25" t="b">
        <v>1</v>
      </c>
      <c r="AP229" s="23" t="s">
        <v>705</v>
      </c>
      <c r="AQ229" s="25" t="b">
        <v>0</v>
      </c>
      <c r="AR229" s="23"/>
      <c r="AS229" s="23" t="s">
        <v>68</v>
      </c>
    </row>
    <row r="230" spans="1:45" ht="60">
      <c r="A230" s="6">
        <v>225</v>
      </c>
      <c r="B230" s="6" t="s">
        <v>706</v>
      </c>
      <c r="C230" s="6" t="s">
        <v>707</v>
      </c>
      <c r="D230" s="6" t="s">
        <v>639</v>
      </c>
      <c r="E230" s="6" t="s">
        <v>14</v>
      </c>
      <c r="F230" s="9">
        <v>5</v>
      </c>
      <c r="G230" s="9">
        <v>5</v>
      </c>
      <c r="H230" s="10">
        <v>159</v>
      </c>
      <c r="I230" s="11">
        <v>0.49</v>
      </c>
      <c r="J230" s="11">
        <v>0.01</v>
      </c>
      <c r="K230" s="12">
        <f t="shared" si="18"/>
        <v>0.27735849056603773</v>
      </c>
      <c r="L230" s="12">
        <f t="shared" si="19"/>
        <v>5.6603773584905665E-3</v>
      </c>
      <c r="M230" s="10">
        <v>0</v>
      </c>
      <c r="N230" s="10">
        <v>1</v>
      </c>
      <c r="O230" s="10">
        <v>17</v>
      </c>
      <c r="P230" s="10">
        <v>1.2</v>
      </c>
      <c r="Q230" s="10">
        <v>0</v>
      </c>
      <c r="R230" s="11">
        <v>7.36</v>
      </c>
      <c r="S230" s="6"/>
      <c r="T230" s="6"/>
      <c r="U230" s="6"/>
      <c r="V230" s="7" t="b">
        <v>1</v>
      </c>
      <c r="W230" s="8">
        <f>IFERROR(VLOOKUP(D230,Teams!$B$2:$I$21,6,FALSE),"")</f>
        <v>0</v>
      </c>
      <c r="X230" s="2" t="s">
        <v>65</v>
      </c>
      <c r="Y230" s="13"/>
      <c r="Z230" s="14"/>
      <c r="AA230" s="15">
        <f>IFERROR(H230/(H230+Priors!$G$3),0)</f>
        <v>0.13718723037100949</v>
      </c>
      <c r="AB230" s="16">
        <f>VLOOKUP(E230,Priors!$A$3:$C$6,2,FALSE)</f>
        <v>0.44625207326425426</v>
      </c>
      <c r="AC230" s="16">
        <f>VLOOKUP(E230,Priors!$A$3:$C$6,3,FALSE)</f>
        <v>5.8217260259314105E-2</v>
      </c>
      <c r="AD230" s="12">
        <f t="shared" si="20"/>
        <v>0.42308203042644887</v>
      </c>
      <c r="AE230" s="12">
        <f t="shared" si="21"/>
        <v>5.1007127057216654E-2</v>
      </c>
      <c r="AF230" s="17">
        <v>1</v>
      </c>
      <c r="AG230" s="17">
        <v>1</v>
      </c>
      <c r="AH230" s="16">
        <f>IFERROR(VLOOKUP(D230,Teams!$B$2:$I$21,7,FALSE),1)</f>
        <v>1</v>
      </c>
      <c r="AI230" s="12">
        <f t="shared" si="22"/>
        <v>0.42308203042644887</v>
      </c>
      <c r="AJ230" s="12">
        <f t="shared" si="23"/>
        <v>5.1007127057216654E-2</v>
      </c>
      <c r="AK230" s="6" t="s">
        <v>368</v>
      </c>
      <c r="AL230" s="18">
        <v>0</v>
      </c>
      <c r="AM230" s="23" t="s">
        <v>708</v>
      </c>
      <c r="AN230" s="24">
        <v>0</v>
      </c>
      <c r="AO230" s="25" t="b">
        <v>0</v>
      </c>
      <c r="AP230" s="23" t="s">
        <v>65</v>
      </c>
      <c r="AQ230" s="25" t="b">
        <v>0</v>
      </c>
      <c r="AR230" s="23"/>
      <c r="AS230" s="23" t="s">
        <v>68</v>
      </c>
    </row>
    <row r="231" spans="1:45" ht="60">
      <c r="A231" s="6">
        <v>555</v>
      </c>
      <c r="B231" s="6" t="s">
        <v>709</v>
      </c>
      <c r="C231" s="6" t="s">
        <v>710</v>
      </c>
      <c r="D231" s="6" t="s">
        <v>639</v>
      </c>
      <c r="E231" s="6" t="s">
        <v>7</v>
      </c>
      <c r="F231" s="9">
        <v>4</v>
      </c>
      <c r="G231" s="9">
        <v>4</v>
      </c>
      <c r="H231" s="10">
        <v>0</v>
      </c>
      <c r="I231" s="11">
        <v>0</v>
      </c>
      <c r="J231" s="11">
        <v>0</v>
      </c>
      <c r="K231" s="12">
        <f t="shared" si="18"/>
        <v>0</v>
      </c>
      <c r="L231" s="12">
        <f t="shared" si="19"/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1">
        <v>0</v>
      </c>
      <c r="S231" s="6"/>
      <c r="T231" s="6"/>
      <c r="U231" s="6"/>
      <c r="V231" s="7" t="b">
        <v>0</v>
      </c>
      <c r="W231" s="8">
        <f>IFERROR(VLOOKUP(D231,Teams!$B$2:$I$21,6,FALSE),"")</f>
        <v>0</v>
      </c>
      <c r="X231" s="2" t="s">
        <v>65</v>
      </c>
      <c r="Y231" s="13"/>
      <c r="Z231" s="14"/>
      <c r="AA231" s="15">
        <f>IFERROR(H231/(H231+Priors!$G$3),0)</f>
        <v>0</v>
      </c>
      <c r="AB231" s="16">
        <f>VLOOKUP(E231,Priors!$A$3:$C$6,2,FALSE)</f>
        <v>2.4013207263995197E-4</v>
      </c>
      <c r="AC231" s="16">
        <f>VLOOKUP(E231,Priors!$A$3:$C$6,3,FALSE)</f>
        <v>1.9810895992796044E-3</v>
      </c>
      <c r="AD231" s="12">
        <f t="shared" si="20"/>
        <v>2.4013207263995197E-4</v>
      </c>
      <c r="AE231" s="12">
        <f t="shared" si="21"/>
        <v>1.9810895992796044E-3</v>
      </c>
      <c r="AF231" s="17">
        <v>1</v>
      </c>
      <c r="AG231" s="17">
        <v>1</v>
      </c>
      <c r="AH231" s="16">
        <f>IFERROR(VLOOKUP(D231,Teams!$B$2:$I$21,7,FALSE),1)</f>
        <v>1</v>
      </c>
      <c r="AI231" s="12">
        <f t="shared" si="22"/>
        <v>2.4013207263995197E-4</v>
      </c>
      <c r="AJ231" s="12">
        <f t="shared" si="23"/>
        <v>1.9810895992796044E-3</v>
      </c>
      <c r="AK231" s="6" t="s">
        <v>66</v>
      </c>
      <c r="AL231" s="18"/>
      <c r="AM231" s="23"/>
      <c r="AN231" s="24">
        <v>1.7000000000000001E-2</v>
      </c>
      <c r="AO231" s="25" t="b">
        <v>1</v>
      </c>
      <c r="AP231" s="23" t="s">
        <v>711</v>
      </c>
      <c r="AQ231" s="25" t="b">
        <v>0</v>
      </c>
      <c r="AR231" s="23"/>
      <c r="AS231" s="23" t="s">
        <v>68</v>
      </c>
    </row>
    <row r="232" spans="1:45" ht="60">
      <c r="A232" s="6">
        <v>226</v>
      </c>
      <c r="B232" s="6" t="s">
        <v>712</v>
      </c>
      <c r="C232" s="6" t="s">
        <v>713</v>
      </c>
      <c r="D232" s="6" t="s">
        <v>714</v>
      </c>
      <c r="E232" s="6" t="s">
        <v>7</v>
      </c>
      <c r="F232" s="9">
        <v>5.5</v>
      </c>
      <c r="G232" s="9">
        <v>5.5</v>
      </c>
      <c r="H232" s="10">
        <v>3420</v>
      </c>
      <c r="I232" s="11">
        <v>0</v>
      </c>
      <c r="J232" s="11">
        <v>0.2</v>
      </c>
      <c r="K232" s="12">
        <f t="shared" si="18"/>
        <v>0</v>
      </c>
      <c r="L232" s="12">
        <f t="shared" si="19"/>
        <v>5.263157894736842E-3</v>
      </c>
      <c r="M232" s="10">
        <v>0</v>
      </c>
      <c r="N232" s="10">
        <v>0</v>
      </c>
      <c r="O232" s="10">
        <v>135</v>
      </c>
      <c r="P232" s="10">
        <v>3.6</v>
      </c>
      <c r="Q232" s="10">
        <v>38</v>
      </c>
      <c r="R232" s="11">
        <v>0</v>
      </c>
      <c r="S232" s="6"/>
      <c r="T232" s="6"/>
      <c r="U232" s="6"/>
      <c r="V232" s="7" t="b">
        <v>0</v>
      </c>
      <c r="W232" s="8">
        <f>IFERROR(VLOOKUP(D232,Teams!$B$2:$I$21,6,FALSE),"")</f>
        <v>0</v>
      </c>
      <c r="X232" s="2" t="s">
        <v>65</v>
      </c>
      <c r="Y232" s="13"/>
      <c r="Z232" s="14"/>
      <c r="AA232" s="15">
        <f>IFERROR(H232/(H232+Priors!$G$3),0)</f>
        <v>0.77375565610859731</v>
      </c>
      <c r="AB232" s="16">
        <f>VLOOKUP(E232,Priors!$A$3:$C$6,2,FALSE)</f>
        <v>2.4013207263995197E-4</v>
      </c>
      <c r="AC232" s="16">
        <f>VLOOKUP(E232,Priors!$A$3:$C$6,3,FALSE)</f>
        <v>1.9810895992796044E-3</v>
      </c>
      <c r="AD232" s="12">
        <f t="shared" si="20"/>
        <v>5.4328523221708587E-5</v>
      </c>
      <c r="AE232" s="12">
        <f t="shared" si="21"/>
        <v>4.5206085066243455E-3</v>
      </c>
      <c r="AF232" s="17">
        <v>1</v>
      </c>
      <c r="AG232" s="17">
        <v>1</v>
      </c>
      <c r="AH232" s="16">
        <f>IFERROR(VLOOKUP(D232,Teams!$B$2:$I$21,7,FALSE),1)</f>
        <v>1</v>
      </c>
      <c r="AI232" s="12">
        <f t="shared" si="22"/>
        <v>5.4328523221708587E-5</v>
      </c>
      <c r="AJ232" s="12">
        <f t="shared" si="23"/>
        <v>4.5206085066243455E-3</v>
      </c>
      <c r="AK232" s="6" t="s">
        <v>66</v>
      </c>
      <c r="AL232" s="18"/>
      <c r="AM232" s="23"/>
      <c r="AN232" s="24">
        <v>0.09</v>
      </c>
      <c r="AO232" s="25" t="b">
        <v>1</v>
      </c>
      <c r="AP232" s="23" t="s">
        <v>715</v>
      </c>
      <c r="AQ232" s="25" t="b">
        <v>0</v>
      </c>
      <c r="AR232" s="23"/>
      <c r="AS232" s="23" t="s">
        <v>68</v>
      </c>
    </row>
    <row r="233" spans="1:45" ht="60">
      <c r="A233" s="6">
        <v>227</v>
      </c>
      <c r="B233" s="6" t="s">
        <v>716</v>
      </c>
      <c r="C233" s="6" t="s">
        <v>717</v>
      </c>
      <c r="D233" s="6" t="s">
        <v>714</v>
      </c>
      <c r="E233" s="6" t="s">
        <v>7</v>
      </c>
      <c r="F233" s="9">
        <v>5</v>
      </c>
      <c r="G233" s="9">
        <v>5</v>
      </c>
      <c r="H233" s="10">
        <v>0</v>
      </c>
      <c r="I233" s="11">
        <v>0</v>
      </c>
      <c r="J233" s="11">
        <v>0</v>
      </c>
      <c r="K233" s="12">
        <f t="shared" si="18"/>
        <v>0</v>
      </c>
      <c r="L233" s="12">
        <f t="shared" si="19"/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1">
        <v>0</v>
      </c>
      <c r="S233" s="6"/>
      <c r="T233" s="6"/>
      <c r="U233" s="6"/>
      <c r="V233" s="7" t="b">
        <v>0</v>
      </c>
      <c r="W233" s="8">
        <f>IFERROR(VLOOKUP(D233,Teams!$B$2:$I$21,6,FALSE),"")</f>
        <v>0</v>
      </c>
      <c r="X233" s="2" t="s">
        <v>65</v>
      </c>
      <c r="Y233" s="13"/>
      <c r="Z233" s="14"/>
      <c r="AA233" s="15">
        <f>IFERROR(H233/(H233+Priors!$G$3),0)</f>
        <v>0</v>
      </c>
      <c r="AB233" s="16">
        <f>VLOOKUP(E233,Priors!$A$3:$C$6,2,FALSE)</f>
        <v>2.4013207263995197E-4</v>
      </c>
      <c r="AC233" s="16">
        <f>VLOOKUP(E233,Priors!$A$3:$C$6,3,FALSE)</f>
        <v>1.9810895992796044E-3</v>
      </c>
      <c r="AD233" s="12">
        <f t="shared" si="20"/>
        <v>2.4013207263995197E-4</v>
      </c>
      <c r="AE233" s="12">
        <f t="shared" si="21"/>
        <v>1.9810895992796044E-3</v>
      </c>
      <c r="AF233" s="17">
        <v>1</v>
      </c>
      <c r="AG233" s="17">
        <v>1</v>
      </c>
      <c r="AH233" s="16">
        <f>IFERROR(VLOOKUP(D233,Teams!$B$2:$I$21,7,FALSE),1)</f>
        <v>1</v>
      </c>
      <c r="AI233" s="12">
        <f t="shared" si="22"/>
        <v>2.4013207263995197E-4</v>
      </c>
      <c r="AJ233" s="12">
        <f t="shared" si="23"/>
        <v>1.9810895992796044E-3</v>
      </c>
      <c r="AK233" s="6" t="s">
        <v>66</v>
      </c>
      <c r="AL233" s="18"/>
      <c r="AM233" s="23"/>
      <c r="AN233" s="24">
        <v>1E-3</v>
      </c>
      <c r="AO233" s="25" t="b">
        <v>1</v>
      </c>
      <c r="AP233" s="23" t="s">
        <v>157</v>
      </c>
      <c r="AQ233" s="25" t="b">
        <v>0</v>
      </c>
      <c r="AR233" s="23"/>
      <c r="AS233" s="23" t="s">
        <v>68</v>
      </c>
    </row>
    <row r="234" spans="1:45" ht="60">
      <c r="A234" s="6">
        <v>228</v>
      </c>
      <c r="B234" s="6" t="s">
        <v>718</v>
      </c>
      <c r="C234" s="6" t="s">
        <v>719</v>
      </c>
      <c r="D234" s="6" t="s">
        <v>714</v>
      </c>
      <c r="E234" s="6" t="s">
        <v>7</v>
      </c>
      <c r="F234" s="9">
        <v>4.5</v>
      </c>
      <c r="G234" s="9">
        <v>4.5</v>
      </c>
      <c r="H234" s="10">
        <v>0</v>
      </c>
      <c r="I234" s="11">
        <v>0</v>
      </c>
      <c r="J234" s="11">
        <v>0</v>
      </c>
      <c r="K234" s="12">
        <f t="shared" si="18"/>
        <v>0</v>
      </c>
      <c r="L234" s="12">
        <f t="shared" si="19"/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1">
        <v>0</v>
      </c>
      <c r="S234" s="6"/>
      <c r="T234" s="6"/>
      <c r="U234" s="6"/>
      <c r="V234" s="7" t="b">
        <v>0</v>
      </c>
      <c r="W234" s="8">
        <f>IFERROR(VLOOKUP(D234,Teams!$B$2:$I$21,6,FALSE),"")</f>
        <v>0</v>
      </c>
      <c r="X234" s="2" t="s">
        <v>65</v>
      </c>
      <c r="Y234" s="13"/>
      <c r="Z234" s="14"/>
      <c r="AA234" s="15">
        <f>IFERROR(H234/(H234+Priors!$G$3),0)</f>
        <v>0</v>
      </c>
      <c r="AB234" s="16">
        <f>VLOOKUP(E234,Priors!$A$3:$C$6,2,FALSE)</f>
        <v>2.4013207263995197E-4</v>
      </c>
      <c r="AC234" s="16">
        <f>VLOOKUP(E234,Priors!$A$3:$C$6,3,FALSE)</f>
        <v>1.9810895992796044E-3</v>
      </c>
      <c r="AD234" s="12">
        <f t="shared" si="20"/>
        <v>2.4013207263995197E-4</v>
      </c>
      <c r="AE234" s="12">
        <f t="shared" si="21"/>
        <v>1.9810895992796044E-3</v>
      </c>
      <c r="AF234" s="17">
        <v>1</v>
      </c>
      <c r="AG234" s="17">
        <v>1</v>
      </c>
      <c r="AH234" s="16">
        <f>IFERROR(VLOOKUP(D234,Teams!$B$2:$I$21,7,FALSE),1)</f>
        <v>1</v>
      </c>
      <c r="AI234" s="12">
        <f t="shared" si="22"/>
        <v>2.4013207263995197E-4</v>
      </c>
      <c r="AJ234" s="12">
        <f t="shared" si="23"/>
        <v>1.9810895992796044E-3</v>
      </c>
      <c r="AK234" s="6" t="s">
        <v>66</v>
      </c>
      <c r="AL234" s="18"/>
      <c r="AM234" s="23"/>
      <c r="AN234" s="24">
        <v>1E-3</v>
      </c>
      <c r="AO234" s="25" t="b">
        <v>1</v>
      </c>
      <c r="AP234" s="23" t="s">
        <v>720</v>
      </c>
      <c r="AQ234" s="25" t="b">
        <v>0</v>
      </c>
      <c r="AR234" s="23"/>
      <c r="AS234" s="23" t="s">
        <v>68</v>
      </c>
    </row>
    <row r="235" spans="1:45" ht="60">
      <c r="A235" s="6">
        <v>229</v>
      </c>
      <c r="B235" s="6" t="s">
        <v>721</v>
      </c>
      <c r="C235" s="6" t="s">
        <v>722</v>
      </c>
      <c r="D235" s="6" t="s">
        <v>714</v>
      </c>
      <c r="E235" s="6" t="s">
        <v>9</v>
      </c>
      <c r="F235" s="9">
        <v>6</v>
      </c>
      <c r="G235" s="9">
        <v>6</v>
      </c>
      <c r="H235" s="10">
        <v>3330</v>
      </c>
      <c r="I235" s="11">
        <v>2.5299999999999998</v>
      </c>
      <c r="J235" s="11">
        <v>2.1</v>
      </c>
      <c r="K235" s="12">
        <f t="shared" si="18"/>
        <v>6.8378378378378374E-2</v>
      </c>
      <c r="L235" s="12">
        <f t="shared" si="19"/>
        <v>5.675675675675676E-2</v>
      </c>
      <c r="M235" s="10">
        <v>2</v>
      </c>
      <c r="N235" s="10">
        <v>3</v>
      </c>
      <c r="O235" s="10">
        <v>170</v>
      </c>
      <c r="P235" s="10">
        <v>4.5999999999999996</v>
      </c>
      <c r="Q235" s="10">
        <v>37</v>
      </c>
      <c r="R235" s="11">
        <v>10.16</v>
      </c>
      <c r="S235" s="6"/>
      <c r="T235" s="6"/>
      <c r="U235" s="6"/>
      <c r="V235" s="7" t="b">
        <v>0</v>
      </c>
      <c r="W235" s="8">
        <f>IFERROR(VLOOKUP(D235,Teams!$B$2:$I$21,6,FALSE),"")</f>
        <v>0</v>
      </c>
      <c r="X235" s="2" t="s">
        <v>65</v>
      </c>
      <c r="Y235" s="13"/>
      <c r="Z235" s="14"/>
      <c r="AA235" s="15">
        <f>IFERROR(H235/(H235+Priors!$G$3),0)</f>
        <v>0.76905311778290997</v>
      </c>
      <c r="AB235" s="16">
        <f>VLOOKUP(E235,Priors!$A$3:$C$6,2,FALSE)</f>
        <v>6.0081391379341341E-2</v>
      </c>
      <c r="AC235" s="16">
        <f>VLOOKUP(E235,Priors!$A$3:$C$6,3,FALSE)</f>
        <v>5.9588191961478354E-2</v>
      </c>
      <c r="AD235" s="12">
        <f t="shared" si="20"/>
        <v>6.6462215099155036E-2</v>
      </c>
      <c r="AE235" s="12">
        <f t="shared" si="21"/>
        <v>5.741066788948692E-2</v>
      </c>
      <c r="AF235" s="17">
        <v>1</v>
      </c>
      <c r="AG235" s="17">
        <v>1</v>
      </c>
      <c r="AH235" s="16">
        <f>IFERROR(VLOOKUP(D235,Teams!$B$2:$I$21,7,FALSE),1)</f>
        <v>1</v>
      </c>
      <c r="AI235" s="12">
        <f t="shared" si="22"/>
        <v>6.6462215099155036E-2</v>
      </c>
      <c r="AJ235" s="12">
        <f t="shared" si="23"/>
        <v>5.741066788948692E-2</v>
      </c>
      <c r="AK235" s="6" t="s">
        <v>66</v>
      </c>
      <c r="AL235" s="18"/>
      <c r="AM235" s="23"/>
      <c r="AN235" s="24">
        <v>9.9000000000000005E-2</v>
      </c>
      <c r="AO235" s="25" t="b">
        <v>1</v>
      </c>
      <c r="AP235" s="23" t="s">
        <v>507</v>
      </c>
      <c r="AQ235" s="25" t="b">
        <v>1</v>
      </c>
      <c r="AR235" s="23"/>
      <c r="AS235" s="23" t="s">
        <v>68</v>
      </c>
    </row>
    <row r="236" spans="1:45" ht="60">
      <c r="A236" s="6">
        <v>230</v>
      </c>
      <c r="B236" s="6" t="s">
        <v>723</v>
      </c>
      <c r="C236" s="6" t="s">
        <v>724</v>
      </c>
      <c r="D236" s="6" t="s">
        <v>714</v>
      </c>
      <c r="E236" s="6" t="s">
        <v>9</v>
      </c>
      <c r="F236" s="9">
        <v>5.5</v>
      </c>
      <c r="G236" s="9">
        <v>5.5</v>
      </c>
      <c r="H236" s="10">
        <v>678</v>
      </c>
      <c r="I236" s="11">
        <v>0.34</v>
      </c>
      <c r="J236" s="11">
        <v>0.11</v>
      </c>
      <c r="K236" s="12">
        <f t="shared" si="18"/>
        <v>4.5132743362831858E-2</v>
      </c>
      <c r="L236" s="12">
        <f t="shared" si="19"/>
        <v>1.4601769911504425E-2</v>
      </c>
      <c r="M236" s="10">
        <v>1</v>
      </c>
      <c r="N236" s="10">
        <v>1</v>
      </c>
      <c r="O236" s="10">
        <v>32</v>
      </c>
      <c r="P236" s="10">
        <v>3.2</v>
      </c>
      <c r="Q236" s="10">
        <v>7</v>
      </c>
      <c r="R236" s="11">
        <v>8.89</v>
      </c>
      <c r="S236" s="6"/>
      <c r="T236" s="6"/>
      <c r="U236" s="6"/>
      <c r="V236" s="7" t="b">
        <v>0</v>
      </c>
      <c r="W236" s="8">
        <f>IFERROR(VLOOKUP(D236,Teams!$B$2:$I$21,6,FALSE),"")</f>
        <v>0</v>
      </c>
      <c r="X236" s="2" t="s">
        <v>65</v>
      </c>
      <c r="Y236" s="13"/>
      <c r="Z236" s="14"/>
      <c r="AA236" s="15">
        <f>IFERROR(H236/(H236+Priors!$G$3),0)</f>
        <v>0.40405244338498214</v>
      </c>
      <c r="AB236" s="16">
        <f>VLOOKUP(E236,Priors!$A$3:$C$6,2,FALSE)</f>
        <v>6.0081391379341341E-2</v>
      </c>
      <c r="AC236" s="16">
        <f>VLOOKUP(E236,Priors!$A$3:$C$6,3,FALSE)</f>
        <v>5.9588191961478354E-2</v>
      </c>
      <c r="AD236" s="12">
        <f t="shared" si="20"/>
        <v>5.4041353622968615E-2</v>
      </c>
      <c r="AE236" s="12">
        <f t="shared" si="21"/>
        <v>4.1411318213038353E-2</v>
      </c>
      <c r="AF236" s="17">
        <v>1</v>
      </c>
      <c r="AG236" s="17">
        <v>1</v>
      </c>
      <c r="AH236" s="16">
        <f>IFERROR(VLOOKUP(D236,Teams!$B$2:$I$21,7,FALSE),1)</f>
        <v>1</v>
      </c>
      <c r="AI236" s="12">
        <f t="shared" si="22"/>
        <v>5.4041353622968615E-2</v>
      </c>
      <c r="AJ236" s="12">
        <f t="shared" si="23"/>
        <v>4.1411318213038353E-2</v>
      </c>
      <c r="AK236" s="6" t="s">
        <v>66</v>
      </c>
      <c r="AL236" s="18"/>
      <c r="AM236" s="23"/>
      <c r="AN236" s="24">
        <v>1.9E-2</v>
      </c>
      <c r="AO236" s="25" t="b">
        <v>1</v>
      </c>
      <c r="AP236" s="23" t="s">
        <v>725</v>
      </c>
      <c r="AQ236" s="25" t="b">
        <v>0</v>
      </c>
      <c r="AR236" s="23"/>
      <c r="AS236" s="23" t="s">
        <v>68</v>
      </c>
    </row>
    <row r="237" spans="1:45" ht="60">
      <c r="A237" s="6">
        <v>231</v>
      </c>
      <c r="B237" s="6" t="s">
        <v>726</v>
      </c>
      <c r="C237" s="6" t="s">
        <v>727</v>
      </c>
      <c r="D237" s="6" t="s">
        <v>714</v>
      </c>
      <c r="E237" s="6" t="s">
        <v>9</v>
      </c>
      <c r="F237" s="9">
        <v>5</v>
      </c>
      <c r="G237" s="9">
        <v>5</v>
      </c>
      <c r="H237" s="10">
        <v>2588</v>
      </c>
      <c r="I237" s="11">
        <v>2.2999999999999998</v>
      </c>
      <c r="J237" s="11">
        <v>0.49</v>
      </c>
      <c r="K237" s="12">
        <f t="shared" si="18"/>
        <v>7.9984544049459025E-2</v>
      </c>
      <c r="L237" s="12">
        <f t="shared" si="19"/>
        <v>1.7040185471406493E-2</v>
      </c>
      <c r="M237" s="10">
        <v>3</v>
      </c>
      <c r="N237" s="10">
        <v>1</v>
      </c>
      <c r="O237" s="10">
        <v>131</v>
      </c>
      <c r="P237" s="10">
        <v>4</v>
      </c>
      <c r="Q237" s="10">
        <v>29</v>
      </c>
      <c r="R237" s="11">
        <v>10.5</v>
      </c>
      <c r="S237" s="6"/>
      <c r="T237" s="6"/>
      <c r="U237" s="6"/>
      <c r="V237" s="7" t="b">
        <v>0</v>
      </c>
      <c r="W237" s="8">
        <f>IFERROR(VLOOKUP(D237,Teams!$B$2:$I$21,6,FALSE),"")</f>
        <v>0</v>
      </c>
      <c r="X237" s="2" t="s">
        <v>65</v>
      </c>
      <c r="Y237" s="13"/>
      <c r="Z237" s="14"/>
      <c r="AA237" s="15">
        <f>IFERROR(H237/(H237+Priors!$G$3),0)</f>
        <v>0.72129319955406912</v>
      </c>
      <c r="AB237" s="16">
        <f>VLOOKUP(E237,Priors!$A$3:$C$6,2,FALSE)</f>
        <v>6.0081391379341341E-2</v>
      </c>
      <c r="AC237" s="16">
        <f>VLOOKUP(E237,Priors!$A$3:$C$6,3,FALSE)</f>
        <v>5.9588191961478354E-2</v>
      </c>
      <c r="AD237" s="12">
        <f t="shared" si="20"/>
        <v>7.4437400049983643E-2</v>
      </c>
      <c r="AE237" s="12">
        <f t="shared" si="21"/>
        <v>2.8898604225607121E-2</v>
      </c>
      <c r="AF237" s="17">
        <v>1</v>
      </c>
      <c r="AG237" s="17">
        <v>1</v>
      </c>
      <c r="AH237" s="16">
        <f>IFERROR(VLOOKUP(D237,Teams!$B$2:$I$21,7,FALSE),1)</f>
        <v>1</v>
      </c>
      <c r="AI237" s="12">
        <f t="shared" si="22"/>
        <v>7.4437400049983643E-2</v>
      </c>
      <c r="AJ237" s="12">
        <f t="shared" si="23"/>
        <v>2.8898604225607121E-2</v>
      </c>
      <c r="AK237" s="6" t="s">
        <v>66</v>
      </c>
      <c r="AL237" s="18"/>
      <c r="AM237" s="23"/>
      <c r="AN237" s="24">
        <v>1.4999999999999999E-2</v>
      </c>
      <c r="AO237" s="25" t="b">
        <v>1</v>
      </c>
      <c r="AP237" s="23" t="s">
        <v>728</v>
      </c>
      <c r="AQ237" s="25" t="b">
        <v>0</v>
      </c>
      <c r="AR237" s="23"/>
      <c r="AS237" s="23" t="s">
        <v>68</v>
      </c>
    </row>
    <row r="238" spans="1:45" ht="60">
      <c r="A238" s="6">
        <v>232</v>
      </c>
      <c r="B238" s="6" t="s">
        <v>729</v>
      </c>
      <c r="C238" s="6" t="s">
        <v>730</v>
      </c>
      <c r="D238" s="6" t="s">
        <v>714</v>
      </c>
      <c r="E238" s="6" t="s">
        <v>9</v>
      </c>
      <c r="F238" s="9">
        <v>5</v>
      </c>
      <c r="G238" s="9">
        <v>5</v>
      </c>
      <c r="H238" s="10">
        <v>3118</v>
      </c>
      <c r="I238" s="11">
        <v>1.67</v>
      </c>
      <c r="J238" s="11">
        <v>1</v>
      </c>
      <c r="K238" s="12">
        <f t="shared" si="18"/>
        <v>4.8203976908274528E-2</v>
      </c>
      <c r="L238" s="12">
        <f t="shared" si="19"/>
        <v>2.8864656831302116E-2</v>
      </c>
      <c r="M238" s="10">
        <v>1</v>
      </c>
      <c r="N238" s="10">
        <v>3</v>
      </c>
      <c r="O238" s="10">
        <v>116</v>
      </c>
      <c r="P238" s="10">
        <v>3.1</v>
      </c>
      <c r="Q238" s="10">
        <v>35</v>
      </c>
      <c r="R238" s="11">
        <v>6.67</v>
      </c>
      <c r="S238" s="6"/>
      <c r="T238" s="6"/>
      <c r="U238" s="6"/>
      <c r="V238" s="7" t="b">
        <v>0</v>
      </c>
      <c r="W238" s="8">
        <f>IFERROR(VLOOKUP(D238,Teams!$B$2:$I$21,6,FALSE),"")</f>
        <v>0</v>
      </c>
      <c r="X238" s="2" t="s">
        <v>65</v>
      </c>
      <c r="Y238" s="13"/>
      <c r="Z238" s="14"/>
      <c r="AA238" s="15">
        <f>IFERROR(H238/(H238+Priors!$G$3),0)</f>
        <v>0.75716367168528409</v>
      </c>
      <c r="AB238" s="16">
        <f>VLOOKUP(E238,Priors!$A$3:$C$6,2,FALSE)</f>
        <v>6.0081391379341341E-2</v>
      </c>
      <c r="AC238" s="16">
        <f>VLOOKUP(E238,Priors!$A$3:$C$6,3,FALSE)</f>
        <v>5.9588191961478354E-2</v>
      </c>
      <c r="AD238" s="12">
        <f t="shared" si="20"/>
        <v>5.1088244628300465E-2</v>
      </c>
      <c r="AE238" s="12">
        <f t="shared" si="21"/>
        <v>3.6325447295162301E-2</v>
      </c>
      <c r="AF238" s="17">
        <v>1</v>
      </c>
      <c r="AG238" s="17">
        <v>1</v>
      </c>
      <c r="AH238" s="16">
        <f>IFERROR(VLOOKUP(D238,Teams!$B$2:$I$21,7,FALSE),1)</f>
        <v>1</v>
      </c>
      <c r="AI238" s="12">
        <f t="shared" si="22"/>
        <v>5.1088244628300465E-2</v>
      </c>
      <c r="AJ238" s="12">
        <f t="shared" si="23"/>
        <v>3.6325447295162301E-2</v>
      </c>
      <c r="AK238" s="6" t="s">
        <v>66</v>
      </c>
      <c r="AL238" s="18"/>
      <c r="AM238" s="23"/>
      <c r="AN238" s="24">
        <v>5.0000000000000001E-3</v>
      </c>
      <c r="AO238" s="25" t="b">
        <v>1</v>
      </c>
      <c r="AP238" s="23" t="s">
        <v>483</v>
      </c>
      <c r="AQ238" s="25" t="b">
        <v>0</v>
      </c>
      <c r="AR238" s="23"/>
      <c r="AS238" s="23" t="s">
        <v>68</v>
      </c>
    </row>
    <row r="239" spans="1:45" ht="60">
      <c r="A239" s="6">
        <v>233</v>
      </c>
      <c r="B239" s="6" t="s">
        <v>731</v>
      </c>
      <c r="C239" s="6" t="s">
        <v>732</v>
      </c>
      <c r="D239" s="6" t="s">
        <v>714</v>
      </c>
      <c r="E239" s="6" t="s">
        <v>9</v>
      </c>
      <c r="F239" s="9">
        <v>4.5</v>
      </c>
      <c r="G239" s="9">
        <v>4.5</v>
      </c>
      <c r="H239" s="10">
        <v>2959</v>
      </c>
      <c r="I239" s="11">
        <v>0.28000000000000003</v>
      </c>
      <c r="J239" s="11">
        <v>2.46</v>
      </c>
      <c r="K239" s="12">
        <f t="shared" si="18"/>
        <v>8.5163906725245018E-3</v>
      </c>
      <c r="L239" s="12">
        <f t="shared" si="19"/>
        <v>7.4822575194322408E-2</v>
      </c>
      <c r="M239" s="10">
        <v>0</v>
      </c>
      <c r="N239" s="10">
        <v>1</v>
      </c>
      <c r="O239" s="10">
        <v>95</v>
      </c>
      <c r="P239" s="10">
        <v>2.9</v>
      </c>
      <c r="Q239" s="10">
        <v>33</v>
      </c>
      <c r="R239" s="11">
        <v>7.03</v>
      </c>
      <c r="S239" s="6"/>
      <c r="T239" s="6"/>
      <c r="U239" s="6"/>
      <c r="V239" s="7" t="b">
        <v>0</v>
      </c>
      <c r="W239" s="8">
        <f>IFERROR(VLOOKUP(D239,Teams!$B$2:$I$21,6,FALSE),"")</f>
        <v>0</v>
      </c>
      <c r="X239" s="2" t="s">
        <v>65</v>
      </c>
      <c r="Y239" s="13"/>
      <c r="Z239" s="14"/>
      <c r="AA239" s="15">
        <f>IFERROR(H239/(H239+Priors!$G$3),0)</f>
        <v>0.74741096236423343</v>
      </c>
      <c r="AB239" s="16">
        <f>VLOOKUP(E239,Priors!$A$3:$C$6,2,FALSE)</f>
        <v>6.0081391379341341E-2</v>
      </c>
      <c r="AC239" s="16">
        <f>VLOOKUP(E239,Priors!$A$3:$C$6,3,FALSE)</f>
        <v>5.9588191961478354E-2</v>
      </c>
      <c r="AD239" s="12">
        <f t="shared" si="20"/>
        <v>2.1541144576746989E-2</v>
      </c>
      <c r="AE239" s="12">
        <f t="shared" si="21"/>
        <v>7.0974536994563867E-2</v>
      </c>
      <c r="AF239" s="17">
        <v>1</v>
      </c>
      <c r="AG239" s="17">
        <v>1</v>
      </c>
      <c r="AH239" s="16">
        <f>IFERROR(VLOOKUP(D239,Teams!$B$2:$I$21,7,FALSE),1)</f>
        <v>1</v>
      </c>
      <c r="AI239" s="12">
        <f t="shared" si="22"/>
        <v>2.1541144576746989E-2</v>
      </c>
      <c r="AJ239" s="12">
        <f t="shared" si="23"/>
        <v>7.0974536994563867E-2</v>
      </c>
      <c r="AK239" s="6" t="s">
        <v>66</v>
      </c>
      <c r="AL239" s="18"/>
      <c r="AM239" s="23"/>
      <c r="AN239" s="24">
        <v>1.3999999999999999E-2</v>
      </c>
      <c r="AO239" s="25" t="b">
        <v>1</v>
      </c>
      <c r="AP239" s="23" t="s">
        <v>733</v>
      </c>
      <c r="AQ239" s="25" t="b">
        <v>0</v>
      </c>
      <c r="AR239" s="23"/>
      <c r="AS239" s="23" t="s">
        <v>68</v>
      </c>
    </row>
    <row r="240" spans="1:45" ht="60">
      <c r="A240" s="6">
        <v>234</v>
      </c>
      <c r="B240" s="6" t="s">
        <v>734</v>
      </c>
      <c r="C240" s="6" t="s">
        <v>735</v>
      </c>
      <c r="D240" s="6" t="s">
        <v>714</v>
      </c>
      <c r="E240" s="6" t="s">
        <v>9</v>
      </c>
      <c r="F240" s="9">
        <v>4.5</v>
      </c>
      <c r="G240" s="9">
        <v>4.5</v>
      </c>
      <c r="H240" s="10">
        <v>238</v>
      </c>
      <c r="I240" s="11">
        <v>0.03</v>
      </c>
      <c r="J240" s="11">
        <v>0.04</v>
      </c>
      <c r="K240" s="12">
        <f t="shared" si="18"/>
        <v>1.134453781512605E-2</v>
      </c>
      <c r="L240" s="12">
        <f t="shared" si="19"/>
        <v>1.5126050420168067E-2</v>
      </c>
      <c r="M240" s="10">
        <v>0</v>
      </c>
      <c r="N240" s="10">
        <v>0</v>
      </c>
      <c r="O240" s="10">
        <v>22</v>
      </c>
      <c r="P240" s="10">
        <v>3.1</v>
      </c>
      <c r="Q240" s="10">
        <v>3</v>
      </c>
      <c r="R240" s="11">
        <v>11.72</v>
      </c>
      <c r="S240" s="6"/>
      <c r="T240" s="6"/>
      <c r="U240" s="6"/>
      <c r="V240" s="7" t="b">
        <v>0</v>
      </c>
      <c r="W240" s="8">
        <f>IFERROR(VLOOKUP(D240,Teams!$B$2:$I$21,6,FALSE),"")</f>
        <v>0</v>
      </c>
      <c r="X240" s="2" t="s">
        <v>65</v>
      </c>
      <c r="Y240" s="13"/>
      <c r="Z240" s="14"/>
      <c r="AA240" s="15">
        <f>IFERROR(H240/(H240+Priors!$G$3),0)</f>
        <v>0.19224555735056542</v>
      </c>
      <c r="AB240" s="16">
        <f>VLOOKUP(E240,Priors!$A$3:$C$6,2,FALSE)</f>
        <v>6.0081391379341341E-2</v>
      </c>
      <c r="AC240" s="16">
        <f>VLOOKUP(E240,Priors!$A$3:$C$6,3,FALSE)</f>
        <v>5.9588191961478354E-2</v>
      </c>
      <c r="AD240" s="12">
        <f t="shared" si="20"/>
        <v>5.0711947802375881E-2</v>
      </c>
      <c r="AE240" s="12">
        <f t="shared" si="21"/>
        <v>5.1040542779869427E-2</v>
      </c>
      <c r="AF240" s="17">
        <v>1</v>
      </c>
      <c r="AG240" s="17">
        <v>1</v>
      </c>
      <c r="AH240" s="16">
        <f>IFERROR(VLOOKUP(D240,Teams!$B$2:$I$21,7,FALSE),1)</f>
        <v>1</v>
      </c>
      <c r="AI240" s="12">
        <f t="shared" si="22"/>
        <v>5.0711947802375881E-2</v>
      </c>
      <c r="AJ240" s="12">
        <f t="shared" si="23"/>
        <v>5.1040542779869427E-2</v>
      </c>
      <c r="AK240" s="6" t="s">
        <v>66</v>
      </c>
      <c r="AL240" s="18"/>
      <c r="AM240" s="23"/>
      <c r="AN240" s="24">
        <v>0</v>
      </c>
      <c r="AO240" s="25" t="b">
        <v>1</v>
      </c>
      <c r="AP240" s="23" t="s">
        <v>736</v>
      </c>
      <c r="AQ240" s="25" t="b">
        <v>0</v>
      </c>
      <c r="AR240" s="23"/>
      <c r="AS240" s="23" t="s">
        <v>68</v>
      </c>
    </row>
    <row r="241" spans="1:45" ht="60">
      <c r="A241" s="6">
        <v>235</v>
      </c>
      <c r="B241" s="6" t="s">
        <v>737</v>
      </c>
      <c r="C241" s="6" t="s">
        <v>738</v>
      </c>
      <c r="D241" s="6" t="s">
        <v>714</v>
      </c>
      <c r="E241" s="6" t="s">
        <v>9</v>
      </c>
      <c r="F241" s="9">
        <v>4</v>
      </c>
      <c r="G241" s="9">
        <v>4</v>
      </c>
      <c r="H241" s="10">
        <v>0</v>
      </c>
      <c r="I241" s="11">
        <v>0</v>
      </c>
      <c r="J241" s="11">
        <v>0</v>
      </c>
      <c r="K241" s="12">
        <f t="shared" si="18"/>
        <v>0</v>
      </c>
      <c r="L241" s="12">
        <f t="shared" si="19"/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1">
        <v>0</v>
      </c>
      <c r="S241" s="6"/>
      <c r="T241" s="6"/>
      <c r="U241" s="6"/>
      <c r="V241" s="7" t="b">
        <v>0</v>
      </c>
      <c r="W241" s="8">
        <f>IFERROR(VLOOKUP(D241,Teams!$B$2:$I$21,6,FALSE),"")</f>
        <v>0</v>
      </c>
      <c r="X241" s="2" t="s">
        <v>65</v>
      </c>
      <c r="Y241" s="13"/>
      <c r="Z241" s="14"/>
      <c r="AA241" s="15">
        <f>IFERROR(H241/(H241+Priors!$G$3),0)</f>
        <v>0</v>
      </c>
      <c r="AB241" s="16">
        <f>VLOOKUP(E241,Priors!$A$3:$C$6,2,FALSE)</f>
        <v>6.0081391379341341E-2</v>
      </c>
      <c r="AC241" s="16">
        <f>VLOOKUP(E241,Priors!$A$3:$C$6,3,FALSE)</f>
        <v>5.9588191961478354E-2</v>
      </c>
      <c r="AD241" s="12">
        <f t="shared" si="20"/>
        <v>6.0081391379341341E-2</v>
      </c>
      <c r="AE241" s="12">
        <f t="shared" si="21"/>
        <v>5.9588191961478354E-2</v>
      </c>
      <c r="AF241" s="17">
        <v>1</v>
      </c>
      <c r="AG241" s="17">
        <v>1</v>
      </c>
      <c r="AH241" s="16">
        <f>IFERROR(VLOOKUP(D241,Teams!$B$2:$I$21,7,FALSE),1)</f>
        <v>1</v>
      </c>
      <c r="AI241" s="12">
        <f t="shared" si="22"/>
        <v>6.0081391379341341E-2</v>
      </c>
      <c r="AJ241" s="12">
        <f t="shared" si="23"/>
        <v>5.9588191961478354E-2</v>
      </c>
      <c r="AK241" s="6" t="s">
        <v>66</v>
      </c>
      <c r="AL241" s="18"/>
      <c r="AM241" s="23"/>
      <c r="AN241" s="24">
        <v>2E-3</v>
      </c>
      <c r="AO241" s="25" t="b">
        <v>1</v>
      </c>
      <c r="AP241" s="23" t="s">
        <v>739</v>
      </c>
      <c r="AQ241" s="25" t="b">
        <v>0</v>
      </c>
      <c r="AR241" s="23"/>
      <c r="AS241" s="23" t="s">
        <v>68</v>
      </c>
    </row>
    <row r="242" spans="1:45" ht="60">
      <c r="A242" s="6">
        <v>236</v>
      </c>
      <c r="B242" s="6" t="s">
        <v>740</v>
      </c>
      <c r="C242" s="6" t="s">
        <v>741</v>
      </c>
      <c r="D242" s="6" t="s">
        <v>714</v>
      </c>
      <c r="E242" s="6" t="s">
        <v>11</v>
      </c>
      <c r="F242" s="9">
        <v>6.5</v>
      </c>
      <c r="G242" s="9">
        <v>6.5</v>
      </c>
      <c r="H242" s="10">
        <v>2629</v>
      </c>
      <c r="I242" s="11">
        <v>4.3499999999999996</v>
      </c>
      <c r="J242" s="11">
        <v>5.34</v>
      </c>
      <c r="K242" s="12">
        <f t="shared" si="18"/>
        <v>0.14891593761886646</v>
      </c>
      <c r="L242" s="12">
        <f t="shared" si="19"/>
        <v>0.18280715100798781</v>
      </c>
      <c r="M242" s="10">
        <v>8</v>
      </c>
      <c r="N242" s="10">
        <v>7</v>
      </c>
      <c r="O242" s="10">
        <v>151</v>
      </c>
      <c r="P242" s="10">
        <v>4.9000000000000004</v>
      </c>
      <c r="Q242" s="10">
        <v>30</v>
      </c>
      <c r="R242" s="11">
        <v>7.87</v>
      </c>
      <c r="S242" s="6"/>
      <c r="T242" s="6"/>
      <c r="U242" s="6">
        <v>5</v>
      </c>
      <c r="V242" s="7" t="b">
        <v>0</v>
      </c>
      <c r="W242" s="8">
        <f>IFERROR(VLOOKUP(D242,Teams!$B$2:$I$21,6,FALSE),"")</f>
        <v>0</v>
      </c>
      <c r="X242" s="2" t="s">
        <v>65</v>
      </c>
      <c r="Y242" s="13"/>
      <c r="Z242" s="14"/>
      <c r="AA242" s="15">
        <f>IFERROR(H242/(H242+Priors!$G$3),0)</f>
        <v>0.72444199503995588</v>
      </c>
      <c r="AB242" s="16">
        <f>VLOOKUP(E242,Priors!$A$3:$C$6,2,FALSE)</f>
        <v>0.15714383234350468</v>
      </c>
      <c r="AC242" s="16">
        <f>VLOOKUP(E242,Priors!$A$3:$C$6,3,FALSE)</f>
        <v>0.13222062939449797</v>
      </c>
      <c r="AD242" s="12">
        <f t="shared" si="20"/>
        <v>0.15118319987420903</v>
      </c>
      <c r="AE242" s="12">
        <f t="shared" si="21"/>
        <v>0.16886763003430638</v>
      </c>
      <c r="AF242" s="17">
        <v>1</v>
      </c>
      <c r="AG242" s="17">
        <v>1</v>
      </c>
      <c r="AH242" s="16">
        <f>IFERROR(VLOOKUP(D242,Teams!$B$2:$I$21,7,FALSE),1)</f>
        <v>1</v>
      </c>
      <c r="AI242" s="12">
        <f t="shared" si="22"/>
        <v>0.15118319987420903</v>
      </c>
      <c r="AJ242" s="12">
        <f t="shared" si="23"/>
        <v>0.16886763003430638</v>
      </c>
      <c r="AK242" s="6" t="s">
        <v>66</v>
      </c>
      <c r="AL242" s="18"/>
      <c r="AM242" s="23"/>
      <c r="AN242" s="24">
        <v>0.04</v>
      </c>
      <c r="AO242" s="25" t="b">
        <v>1</v>
      </c>
      <c r="AP242" s="23" t="s">
        <v>742</v>
      </c>
      <c r="AQ242" s="25" t="b">
        <v>0</v>
      </c>
      <c r="AR242" s="23"/>
      <c r="AS242" s="23" t="s">
        <v>68</v>
      </c>
    </row>
    <row r="243" spans="1:45" ht="60">
      <c r="A243" s="6">
        <v>237</v>
      </c>
      <c r="B243" s="6" t="s">
        <v>743</v>
      </c>
      <c r="C243" s="6" t="s">
        <v>744</v>
      </c>
      <c r="D243" s="6" t="s">
        <v>714</v>
      </c>
      <c r="E243" s="6" t="s">
        <v>11</v>
      </c>
      <c r="F243" s="9">
        <v>6</v>
      </c>
      <c r="G243" s="9">
        <v>6</v>
      </c>
      <c r="H243" s="10">
        <v>2781</v>
      </c>
      <c r="I243" s="11">
        <v>6.68</v>
      </c>
      <c r="J243" s="11">
        <v>4.41</v>
      </c>
      <c r="K243" s="12">
        <f t="shared" si="18"/>
        <v>0.21618122977346277</v>
      </c>
      <c r="L243" s="12">
        <f t="shared" si="19"/>
        <v>0.14271844660194177</v>
      </c>
      <c r="M243" s="10">
        <v>6</v>
      </c>
      <c r="N243" s="10">
        <v>3</v>
      </c>
      <c r="O243" s="10">
        <v>128</v>
      </c>
      <c r="P243" s="10">
        <v>4</v>
      </c>
      <c r="Q243" s="10">
        <v>32</v>
      </c>
      <c r="R243" s="11">
        <v>9.16</v>
      </c>
      <c r="S243" s="6">
        <v>1</v>
      </c>
      <c r="T243" s="6"/>
      <c r="U243" s="6"/>
      <c r="V243" s="7" t="b">
        <v>0</v>
      </c>
      <c r="W243" s="8">
        <f>IFERROR(VLOOKUP(D243,Teams!$B$2:$I$21,6,FALSE),"")</f>
        <v>0</v>
      </c>
      <c r="X243" s="2" t="s">
        <v>65</v>
      </c>
      <c r="Y243" s="13"/>
      <c r="Z243" s="14"/>
      <c r="AA243" s="15">
        <f>IFERROR(H243/(H243+Priors!$G$3),0)</f>
        <v>0.73551970378206821</v>
      </c>
      <c r="AB243" s="16">
        <f>VLOOKUP(E243,Priors!$A$3:$C$6,2,FALSE)</f>
        <v>0.15714383234350468</v>
      </c>
      <c r="AC243" s="16">
        <f>VLOOKUP(E243,Priors!$A$3:$C$6,3,FALSE)</f>
        <v>0.13222062939449797</v>
      </c>
      <c r="AD243" s="12">
        <f t="shared" si="20"/>
        <v>0.20056700141325168</v>
      </c>
      <c r="AE243" s="12">
        <f t="shared" si="21"/>
        <v>0.13994198079727532</v>
      </c>
      <c r="AF243" s="17">
        <v>1</v>
      </c>
      <c r="AG243" s="17">
        <v>1</v>
      </c>
      <c r="AH243" s="16">
        <f>IFERROR(VLOOKUP(D243,Teams!$B$2:$I$21,7,FALSE),1)</f>
        <v>1</v>
      </c>
      <c r="AI243" s="12">
        <f t="shared" si="22"/>
        <v>0.20056700141325168</v>
      </c>
      <c r="AJ243" s="12">
        <f t="shared" si="23"/>
        <v>0.13994198079727532</v>
      </c>
      <c r="AK243" s="6" t="s">
        <v>66</v>
      </c>
      <c r="AL243" s="18"/>
      <c r="AM243" s="23"/>
      <c r="AN243" s="24">
        <v>0.17</v>
      </c>
      <c r="AO243" s="25" t="b">
        <v>1</v>
      </c>
      <c r="AP243" s="23" t="s">
        <v>745</v>
      </c>
      <c r="AQ243" s="25" t="b">
        <v>1</v>
      </c>
      <c r="AR243" s="23"/>
      <c r="AS243" s="23" t="s">
        <v>68</v>
      </c>
    </row>
    <row r="244" spans="1:45" ht="60">
      <c r="A244" s="6">
        <v>239</v>
      </c>
      <c r="B244" s="6" t="s">
        <v>746</v>
      </c>
      <c r="C244" s="6" t="s">
        <v>747</v>
      </c>
      <c r="D244" s="6" t="s">
        <v>714</v>
      </c>
      <c r="E244" s="6" t="s">
        <v>11</v>
      </c>
      <c r="F244" s="9">
        <v>6</v>
      </c>
      <c r="G244" s="9">
        <v>6</v>
      </c>
      <c r="H244" s="10">
        <v>3413</v>
      </c>
      <c r="I244" s="11">
        <v>2.1</v>
      </c>
      <c r="J244" s="11">
        <v>6.18</v>
      </c>
      <c r="K244" s="12">
        <f t="shared" si="18"/>
        <v>5.5376501611485496E-2</v>
      </c>
      <c r="L244" s="12">
        <f t="shared" si="19"/>
        <v>0.16296513331380016</v>
      </c>
      <c r="M244" s="10">
        <v>2</v>
      </c>
      <c r="N244" s="10">
        <v>7</v>
      </c>
      <c r="O244" s="10">
        <v>159</v>
      </c>
      <c r="P244" s="10">
        <v>4.2</v>
      </c>
      <c r="Q244" s="10">
        <v>38</v>
      </c>
      <c r="R244" s="11">
        <v>12.08</v>
      </c>
      <c r="S244" s="6">
        <v>3</v>
      </c>
      <c r="T244" s="6">
        <v>1</v>
      </c>
      <c r="U244" s="6">
        <v>4</v>
      </c>
      <c r="V244" s="7" t="b">
        <v>0</v>
      </c>
      <c r="W244" s="8">
        <f>IFERROR(VLOOKUP(D244,Teams!$B$2:$I$21,6,FALSE),"")</f>
        <v>0</v>
      </c>
      <c r="X244" s="2" t="s">
        <v>65</v>
      </c>
      <c r="Y244" s="13"/>
      <c r="Z244" s="14"/>
      <c r="AA244" s="15">
        <f>IFERROR(H244/(H244+Priors!$G$3),0)</f>
        <v>0.77339678223430774</v>
      </c>
      <c r="AB244" s="16">
        <f>VLOOKUP(E244,Priors!$A$3:$C$6,2,FALSE)</f>
        <v>0.15714383234350468</v>
      </c>
      <c r="AC244" s="16">
        <f>VLOOKUP(E244,Priors!$A$3:$C$6,3,FALSE)</f>
        <v>0.13222062939449797</v>
      </c>
      <c r="AD244" s="12">
        <f t="shared" si="20"/>
        <v>7.8437306218786473E-2</v>
      </c>
      <c r="AE244" s="12">
        <f t="shared" si="21"/>
        <v>0.15599832979707634</v>
      </c>
      <c r="AF244" s="17">
        <v>1</v>
      </c>
      <c r="AG244" s="17">
        <v>1</v>
      </c>
      <c r="AH244" s="16">
        <f>IFERROR(VLOOKUP(D244,Teams!$B$2:$I$21,7,FALSE),1)</f>
        <v>1</v>
      </c>
      <c r="AI244" s="12">
        <f t="shared" si="22"/>
        <v>7.8437306218786473E-2</v>
      </c>
      <c r="AJ244" s="12">
        <f t="shared" si="23"/>
        <v>0.15599832979707634</v>
      </c>
      <c r="AK244" s="6" t="s">
        <v>80</v>
      </c>
      <c r="AL244" s="18">
        <v>0</v>
      </c>
      <c r="AM244" s="23" t="s">
        <v>748</v>
      </c>
      <c r="AN244" s="24">
        <v>8.0000000000000002E-3</v>
      </c>
      <c r="AO244" s="25" t="b">
        <v>1</v>
      </c>
      <c r="AP244" s="23" t="s">
        <v>749</v>
      </c>
      <c r="AQ244" s="25" t="b">
        <v>0</v>
      </c>
      <c r="AR244" s="23"/>
      <c r="AS244" s="23" t="s">
        <v>68</v>
      </c>
    </row>
    <row r="245" spans="1:45" ht="60">
      <c r="A245" s="6">
        <v>240</v>
      </c>
      <c r="B245" s="6" t="s">
        <v>750</v>
      </c>
      <c r="C245" s="6" t="s">
        <v>751</v>
      </c>
      <c r="D245" s="6" t="s">
        <v>714</v>
      </c>
      <c r="E245" s="6" t="s">
        <v>11</v>
      </c>
      <c r="F245" s="9">
        <v>5</v>
      </c>
      <c r="G245" s="9">
        <v>5</v>
      </c>
      <c r="H245" s="10">
        <v>1477</v>
      </c>
      <c r="I245" s="11">
        <v>0.54</v>
      </c>
      <c r="J245" s="11">
        <v>0.71</v>
      </c>
      <c r="K245" s="12">
        <f t="shared" si="18"/>
        <v>3.2904536222071769E-2</v>
      </c>
      <c r="L245" s="12">
        <f t="shared" si="19"/>
        <v>4.3263371699390658E-2</v>
      </c>
      <c r="M245" s="10">
        <v>0</v>
      </c>
      <c r="N245" s="10">
        <v>3</v>
      </c>
      <c r="O245" s="10">
        <v>68</v>
      </c>
      <c r="P245" s="10">
        <v>2.2999999999999998</v>
      </c>
      <c r="Q245" s="10">
        <v>17</v>
      </c>
      <c r="R245" s="11">
        <v>11.52</v>
      </c>
      <c r="S245" s="6"/>
      <c r="T245" s="6"/>
      <c r="U245" s="6"/>
      <c r="V245" s="7" t="b">
        <v>0</v>
      </c>
      <c r="W245" s="8">
        <f>IFERROR(VLOOKUP(D245,Teams!$B$2:$I$21,6,FALSE),"")</f>
        <v>0</v>
      </c>
      <c r="X245" s="2" t="s">
        <v>65</v>
      </c>
      <c r="Y245" s="13"/>
      <c r="Z245" s="14"/>
      <c r="AA245" s="15">
        <f>IFERROR(H245/(H245+Priors!$G$3),0)</f>
        <v>0.59628582963262011</v>
      </c>
      <c r="AB245" s="16">
        <f>VLOOKUP(E245,Priors!$A$3:$C$6,2,FALSE)</f>
        <v>0.15714383234350468</v>
      </c>
      <c r="AC245" s="16">
        <f>VLOOKUP(E245,Priors!$A$3:$C$6,3,FALSE)</f>
        <v>0.13222062939449797</v>
      </c>
      <c r="AD245" s="12">
        <f t="shared" si="20"/>
        <v>8.3061700582763298E-2</v>
      </c>
      <c r="AE245" s="12">
        <f t="shared" si="21"/>
        <v>7.9176677187928132E-2</v>
      </c>
      <c r="AF245" s="17">
        <v>1</v>
      </c>
      <c r="AG245" s="17">
        <v>1</v>
      </c>
      <c r="AH245" s="16">
        <f>IFERROR(VLOOKUP(D245,Teams!$B$2:$I$21,7,FALSE),1)</f>
        <v>1</v>
      </c>
      <c r="AI245" s="12">
        <f t="shared" si="22"/>
        <v>8.3061700582763298E-2</v>
      </c>
      <c r="AJ245" s="12">
        <f t="shared" si="23"/>
        <v>7.9176677187928132E-2</v>
      </c>
      <c r="AK245" s="6" t="s">
        <v>66</v>
      </c>
      <c r="AL245" s="18"/>
      <c r="AM245" s="23"/>
      <c r="AN245" s="24">
        <v>1E-3</v>
      </c>
      <c r="AO245" s="25" t="b">
        <v>1</v>
      </c>
      <c r="AP245" s="23" t="s">
        <v>752</v>
      </c>
      <c r="AQ245" s="25" t="b">
        <v>0</v>
      </c>
      <c r="AR245" s="23"/>
      <c r="AS245" s="23" t="s">
        <v>68</v>
      </c>
    </row>
    <row r="246" spans="1:45" ht="60">
      <c r="A246" s="6">
        <v>241</v>
      </c>
      <c r="B246" s="6" t="s">
        <v>753</v>
      </c>
      <c r="C246" s="6" t="s">
        <v>754</v>
      </c>
      <c r="D246" s="6" t="s">
        <v>714</v>
      </c>
      <c r="E246" s="6" t="s">
        <v>11</v>
      </c>
      <c r="F246" s="9">
        <v>5.5</v>
      </c>
      <c r="G246" s="9">
        <v>5.5</v>
      </c>
      <c r="H246" s="10">
        <v>1161</v>
      </c>
      <c r="I246" s="11">
        <v>1.37</v>
      </c>
      <c r="J246" s="11">
        <v>1.91</v>
      </c>
      <c r="K246" s="12">
        <f t="shared" si="18"/>
        <v>0.1062015503875969</v>
      </c>
      <c r="L246" s="12">
        <f t="shared" si="19"/>
        <v>0.14806201550387599</v>
      </c>
      <c r="M246" s="10">
        <v>0</v>
      </c>
      <c r="N246" s="10">
        <v>3</v>
      </c>
      <c r="O246" s="10">
        <v>53</v>
      </c>
      <c r="P246" s="10">
        <v>2.4</v>
      </c>
      <c r="Q246" s="10">
        <v>14</v>
      </c>
      <c r="R246" s="11">
        <v>8.6</v>
      </c>
      <c r="S246" s="6"/>
      <c r="T246" s="6">
        <v>2</v>
      </c>
      <c r="U246" s="6">
        <v>6</v>
      </c>
      <c r="V246" s="7" t="b">
        <v>0</v>
      </c>
      <c r="W246" s="8">
        <f>IFERROR(VLOOKUP(D246,Teams!$B$2:$I$21,6,FALSE),"")</f>
        <v>0</v>
      </c>
      <c r="X246" s="2" t="s">
        <v>65</v>
      </c>
      <c r="Y246" s="13"/>
      <c r="Z246" s="14"/>
      <c r="AA246" s="15">
        <f>IFERROR(H246/(H246+Priors!$G$3),0)</f>
        <v>0.53725127255900051</v>
      </c>
      <c r="AB246" s="16">
        <f>VLOOKUP(E246,Priors!$A$3:$C$6,2,FALSE)</f>
        <v>0.15714383234350468</v>
      </c>
      <c r="AC246" s="16">
        <f>VLOOKUP(E246,Priors!$A$3:$C$6,3,FALSE)</f>
        <v>0.13222062939449797</v>
      </c>
      <c r="AD246" s="12">
        <f t="shared" si="20"/>
        <v>0.12977502653563383</v>
      </c>
      <c r="AE246" s="12">
        <f t="shared" si="21"/>
        <v>0.14073143424085977</v>
      </c>
      <c r="AF246" s="17">
        <v>1</v>
      </c>
      <c r="AG246" s="17">
        <v>1</v>
      </c>
      <c r="AH246" s="16">
        <f>IFERROR(VLOOKUP(D246,Teams!$B$2:$I$21,7,FALSE),1)</f>
        <v>1</v>
      </c>
      <c r="AI246" s="12">
        <f t="shared" si="22"/>
        <v>0.12977502653563383</v>
      </c>
      <c r="AJ246" s="12">
        <f t="shared" si="23"/>
        <v>0.14073143424085977</v>
      </c>
      <c r="AK246" s="6" t="s">
        <v>66</v>
      </c>
      <c r="AL246" s="18"/>
      <c r="AM246" s="23"/>
      <c r="AN246" s="24">
        <v>1E-3</v>
      </c>
      <c r="AO246" s="25" t="b">
        <v>1</v>
      </c>
      <c r="AP246" s="23" t="s">
        <v>755</v>
      </c>
      <c r="AQ246" s="25" t="b">
        <v>0</v>
      </c>
      <c r="AR246" s="23"/>
      <c r="AS246" s="23" t="s">
        <v>68</v>
      </c>
    </row>
    <row r="247" spans="1:45" ht="60">
      <c r="A247" s="6">
        <v>242</v>
      </c>
      <c r="B247" s="6" t="s">
        <v>756</v>
      </c>
      <c r="C247" s="6" t="s">
        <v>757</v>
      </c>
      <c r="D247" s="6" t="s">
        <v>714</v>
      </c>
      <c r="E247" s="6" t="s">
        <v>11</v>
      </c>
      <c r="F247" s="9">
        <v>5.5</v>
      </c>
      <c r="G247" s="9">
        <v>5.5</v>
      </c>
      <c r="H247" s="10">
        <v>351</v>
      </c>
      <c r="I247" s="11">
        <v>0.64</v>
      </c>
      <c r="J247" s="11">
        <v>1.19</v>
      </c>
      <c r="K247" s="12">
        <f t="shared" si="18"/>
        <v>0.1641025641025641</v>
      </c>
      <c r="L247" s="12">
        <f t="shared" si="19"/>
        <v>0.3051282051282051</v>
      </c>
      <c r="M247" s="10">
        <v>0</v>
      </c>
      <c r="N247" s="10">
        <v>0</v>
      </c>
      <c r="O247" s="10">
        <v>16</v>
      </c>
      <c r="P247" s="10">
        <v>1.1000000000000001</v>
      </c>
      <c r="Q247" s="10">
        <v>1</v>
      </c>
      <c r="R247" s="11">
        <v>5.9</v>
      </c>
      <c r="S247" s="6"/>
      <c r="T247" s="6"/>
      <c r="U247" s="6"/>
      <c r="V247" s="7" t="b">
        <v>1</v>
      </c>
      <c r="W247" s="8">
        <f>IFERROR(VLOOKUP(D247,Teams!$B$2:$I$21,6,FALSE),"")</f>
        <v>0</v>
      </c>
      <c r="X247" s="2" t="s">
        <v>65</v>
      </c>
      <c r="Y247" s="13"/>
      <c r="Z247" s="14"/>
      <c r="AA247" s="15">
        <f>IFERROR(H247/(H247+Priors!$G$3),0)</f>
        <v>0.25980754996299038</v>
      </c>
      <c r="AB247" s="16">
        <f>VLOOKUP(E247,Priors!$A$3:$C$6,2,FALSE)</f>
        <v>0.15714383234350468</v>
      </c>
      <c r="AC247" s="16">
        <f>VLOOKUP(E247,Priors!$A$3:$C$6,3,FALSE)</f>
        <v>0.13222062939449797</v>
      </c>
      <c r="AD247" s="12">
        <f t="shared" si="20"/>
        <v>0.15895176339267555</v>
      </c>
      <c r="AE247" s="12">
        <f t="shared" si="21"/>
        <v>0.17714332301591262</v>
      </c>
      <c r="AF247" s="17">
        <v>1</v>
      </c>
      <c r="AG247" s="17">
        <v>1</v>
      </c>
      <c r="AH247" s="16">
        <f>IFERROR(VLOOKUP(D247,Teams!$B$2:$I$21,7,FALSE),1)</f>
        <v>1</v>
      </c>
      <c r="AI247" s="12">
        <f t="shared" si="22"/>
        <v>0.15895176339267555</v>
      </c>
      <c r="AJ247" s="12">
        <f t="shared" si="23"/>
        <v>0.17714332301591262</v>
      </c>
      <c r="AK247" s="6" t="s">
        <v>66</v>
      </c>
      <c r="AL247" s="18"/>
      <c r="AM247" s="23"/>
      <c r="AN247" s="24">
        <v>1E-3</v>
      </c>
      <c r="AO247" s="25" t="b">
        <v>1</v>
      </c>
      <c r="AP247" s="23" t="s">
        <v>758</v>
      </c>
      <c r="AQ247" s="25" t="b">
        <v>0</v>
      </c>
      <c r="AR247" s="23"/>
      <c r="AS247" s="23" t="s">
        <v>68</v>
      </c>
    </row>
    <row r="248" spans="1:45" ht="60">
      <c r="A248" s="6">
        <v>243</v>
      </c>
      <c r="B248" s="6" t="s">
        <v>759</v>
      </c>
      <c r="C248" s="6" t="s">
        <v>760</v>
      </c>
      <c r="D248" s="6" t="s">
        <v>714</v>
      </c>
      <c r="E248" s="6" t="s">
        <v>11</v>
      </c>
      <c r="F248" s="9">
        <v>5</v>
      </c>
      <c r="G248" s="9">
        <v>5</v>
      </c>
      <c r="H248" s="10">
        <v>679</v>
      </c>
      <c r="I248" s="11">
        <v>1.17</v>
      </c>
      <c r="J248" s="11">
        <v>0.54</v>
      </c>
      <c r="K248" s="12">
        <f t="shared" si="18"/>
        <v>0.15508100147275405</v>
      </c>
      <c r="L248" s="12">
        <f t="shared" si="19"/>
        <v>7.1575846833578788E-2</v>
      </c>
      <c r="M248" s="10">
        <v>0</v>
      </c>
      <c r="N248" s="10">
        <v>1</v>
      </c>
      <c r="O248" s="10">
        <v>29</v>
      </c>
      <c r="P248" s="10">
        <v>1.4</v>
      </c>
      <c r="Q248" s="10">
        <v>6</v>
      </c>
      <c r="R248" s="11">
        <v>9.2799999999999994</v>
      </c>
      <c r="S248" s="6"/>
      <c r="T248" s="6"/>
      <c r="U248" s="6"/>
      <c r="V248" s="7" t="b">
        <v>0</v>
      </c>
      <c r="W248" s="8">
        <f>IFERROR(VLOOKUP(D248,Teams!$B$2:$I$21,6,FALSE),"")</f>
        <v>0</v>
      </c>
      <c r="X248" s="2" t="s">
        <v>65</v>
      </c>
      <c r="Y248" s="13"/>
      <c r="Z248" s="14"/>
      <c r="AA248" s="15">
        <f>IFERROR(H248/(H248+Priors!$G$3),0)</f>
        <v>0.40440738534842169</v>
      </c>
      <c r="AB248" s="16">
        <f>VLOOKUP(E248,Priors!$A$3:$C$6,2,FALSE)</f>
        <v>0.15714383234350468</v>
      </c>
      <c r="AC248" s="16">
        <f>VLOOKUP(E248,Priors!$A$3:$C$6,3,FALSE)</f>
        <v>0.13222062939449797</v>
      </c>
      <c r="AD248" s="12">
        <f t="shared" si="20"/>
        <v>0.15630960830464841</v>
      </c>
      <c r="AE248" s="12">
        <f t="shared" si="21"/>
        <v>0.10769543144401308</v>
      </c>
      <c r="AF248" s="17">
        <v>1</v>
      </c>
      <c r="AG248" s="17">
        <v>1</v>
      </c>
      <c r="AH248" s="16">
        <f>IFERROR(VLOOKUP(D248,Teams!$B$2:$I$21,7,FALSE),1)</f>
        <v>1</v>
      </c>
      <c r="AI248" s="12">
        <f t="shared" si="22"/>
        <v>0.15630960830464841</v>
      </c>
      <c r="AJ248" s="12">
        <f t="shared" si="23"/>
        <v>0.10769543144401308</v>
      </c>
      <c r="AK248" s="6" t="s">
        <v>66</v>
      </c>
      <c r="AL248" s="18"/>
      <c r="AM248" s="23"/>
      <c r="AN248" s="24">
        <v>1E-3</v>
      </c>
      <c r="AO248" s="25" t="b">
        <v>1</v>
      </c>
      <c r="AP248" s="23" t="s">
        <v>71</v>
      </c>
      <c r="AQ248" s="25" t="b">
        <v>0</v>
      </c>
      <c r="AR248" s="23"/>
      <c r="AS248" s="23" t="s">
        <v>68</v>
      </c>
    </row>
    <row r="249" spans="1:45" ht="60">
      <c r="A249" s="6">
        <v>244</v>
      </c>
      <c r="B249" s="6" t="s">
        <v>761</v>
      </c>
      <c r="C249" s="6" t="s">
        <v>762</v>
      </c>
      <c r="D249" s="6" t="s">
        <v>714</v>
      </c>
      <c r="E249" s="6" t="s">
        <v>11</v>
      </c>
      <c r="F249" s="9">
        <v>5</v>
      </c>
      <c r="G249" s="9">
        <v>5</v>
      </c>
      <c r="H249" s="10">
        <v>524</v>
      </c>
      <c r="I249" s="11">
        <v>0.79</v>
      </c>
      <c r="J249" s="11">
        <v>0.22</v>
      </c>
      <c r="K249" s="12">
        <f t="shared" si="18"/>
        <v>0.13568702290076337</v>
      </c>
      <c r="L249" s="12">
        <f t="shared" si="19"/>
        <v>3.7786259541984737E-2</v>
      </c>
      <c r="M249" s="10">
        <v>0</v>
      </c>
      <c r="N249" s="10">
        <v>0</v>
      </c>
      <c r="O249" s="10">
        <v>21</v>
      </c>
      <c r="P249" s="10">
        <v>1.6</v>
      </c>
      <c r="Q249" s="10">
        <v>6</v>
      </c>
      <c r="R249" s="11">
        <v>8.59</v>
      </c>
      <c r="S249" s="6"/>
      <c r="T249" s="6"/>
      <c r="U249" s="6"/>
      <c r="V249" s="7" t="b">
        <v>0</v>
      </c>
      <c r="W249" s="8">
        <f>IFERROR(VLOOKUP(D249,Teams!$B$2:$I$21,6,FALSE),"")</f>
        <v>0</v>
      </c>
      <c r="X249" s="2" t="s">
        <v>65</v>
      </c>
      <c r="Y249" s="13"/>
      <c r="Z249" s="14"/>
      <c r="AA249" s="15">
        <f>IFERROR(H249/(H249+Priors!$G$3),0)</f>
        <v>0.34383202099737531</v>
      </c>
      <c r="AB249" s="16">
        <f>VLOOKUP(E249,Priors!$A$3:$C$6,2,FALSE)</f>
        <v>0.15714383234350468</v>
      </c>
      <c r="AC249" s="16">
        <f>VLOOKUP(E249,Priors!$A$3:$C$6,3,FALSE)</f>
        <v>0.13222062939449797</v>
      </c>
      <c r="AD249" s="12">
        <f t="shared" si="20"/>
        <v>0.14976629418865137</v>
      </c>
      <c r="AE249" s="12">
        <f t="shared" si="21"/>
        <v>9.9751069156494732E-2</v>
      </c>
      <c r="AF249" s="17">
        <v>1</v>
      </c>
      <c r="AG249" s="17">
        <v>1</v>
      </c>
      <c r="AH249" s="16">
        <f>IFERROR(VLOOKUP(D249,Teams!$B$2:$I$21,7,FALSE),1)</f>
        <v>1</v>
      </c>
      <c r="AI249" s="12">
        <f t="shared" si="22"/>
        <v>0.14976629418865137</v>
      </c>
      <c r="AJ249" s="12">
        <f t="shared" si="23"/>
        <v>9.9751069156494732E-2</v>
      </c>
      <c r="AK249" s="6" t="s">
        <v>66</v>
      </c>
      <c r="AL249" s="18"/>
      <c r="AM249" s="23"/>
      <c r="AN249" s="24">
        <v>1E-3</v>
      </c>
      <c r="AO249" s="25" t="b">
        <v>1</v>
      </c>
      <c r="AP249" s="23" t="s">
        <v>763</v>
      </c>
      <c r="AQ249" s="25" t="b">
        <v>0</v>
      </c>
      <c r="AR249" s="23"/>
      <c r="AS249" s="23" t="s">
        <v>68</v>
      </c>
    </row>
    <row r="250" spans="1:45" ht="60">
      <c r="A250" s="6">
        <v>245</v>
      </c>
      <c r="B250" s="6" t="s">
        <v>764</v>
      </c>
      <c r="C250" s="6" t="s">
        <v>765</v>
      </c>
      <c r="D250" s="6" t="s">
        <v>714</v>
      </c>
      <c r="E250" s="6" t="s">
        <v>11</v>
      </c>
      <c r="F250" s="9">
        <v>5.5</v>
      </c>
      <c r="G250" s="9">
        <v>5.5</v>
      </c>
      <c r="H250" s="10">
        <v>349</v>
      </c>
      <c r="I250" s="11">
        <v>0.2</v>
      </c>
      <c r="J250" s="11">
        <v>0.14000000000000001</v>
      </c>
      <c r="K250" s="12">
        <f t="shared" si="18"/>
        <v>5.1575931232091692E-2</v>
      </c>
      <c r="L250" s="12">
        <f t="shared" si="19"/>
        <v>3.610315186246419E-2</v>
      </c>
      <c r="M250" s="10">
        <v>0</v>
      </c>
      <c r="N250" s="10">
        <v>0</v>
      </c>
      <c r="O250" s="10">
        <v>18</v>
      </c>
      <c r="P250" s="10">
        <v>1.3</v>
      </c>
      <c r="Q250" s="10">
        <v>4</v>
      </c>
      <c r="R250" s="11">
        <v>10.32</v>
      </c>
      <c r="S250" s="6"/>
      <c r="T250" s="6"/>
      <c r="U250" s="6"/>
      <c r="V250" s="7" t="b">
        <v>0</v>
      </c>
      <c r="W250" s="8">
        <f>IFERROR(VLOOKUP(D250,Teams!$B$2:$I$21,6,FALSE),"")</f>
        <v>0</v>
      </c>
      <c r="X250" s="2" t="s">
        <v>65</v>
      </c>
      <c r="Y250" s="13"/>
      <c r="Z250" s="14"/>
      <c r="AA250" s="15">
        <f>IFERROR(H250/(H250+Priors!$G$3),0)</f>
        <v>0.2587101556708673</v>
      </c>
      <c r="AB250" s="16">
        <f>VLOOKUP(E250,Priors!$A$3:$C$6,2,FALSE)</f>
        <v>0.15714383234350468</v>
      </c>
      <c r="AC250" s="16">
        <f>VLOOKUP(E250,Priors!$A$3:$C$6,3,FALSE)</f>
        <v>0.13222062939449797</v>
      </c>
      <c r="AD250" s="12">
        <f t="shared" si="20"/>
        <v>0.12983234421312428</v>
      </c>
      <c r="AE250" s="12">
        <f t="shared" si="21"/>
        <v>0.10735406181949442</v>
      </c>
      <c r="AF250" s="17">
        <v>1</v>
      </c>
      <c r="AG250" s="17">
        <v>1</v>
      </c>
      <c r="AH250" s="16">
        <f>IFERROR(VLOOKUP(D250,Teams!$B$2:$I$21,7,FALSE),1)</f>
        <v>1</v>
      </c>
      <c r="AI250" s="12">
        <f t="shared" si="22"/>
        <v>0.12983234421312428</v>
      </c>
      <c r="AJ250" s="12">
        <f t="shared" si="23"/>
        <v>0.10735406181949442</v>
      </c>
      <c r="AK250" s="6" t="s">
        <v>66</v>
      </c>
      <c r="AL250" s="18"/>
      <c r="AM250" s="23"/>
      <c r="AN250" s="24">
        <v>1E-3</v>
      </c>
      <c r="AO250" s="25" t="b">
        <v>1</v>
      </c>
      <c r="AP250" s="23" t="s">
        <v>766</v>
      </c>
      <c r="AQ250" s="25" t="b">
        <v>0</v>
      </c>
      <c r="AR250" s="23"/>
      <c r="AS250" s="23" t="s">
        <v>68</v>
      </c>
    </row>
    <row r="251" spans="1:45" ht="60">
      <c r="A251" s="6">
        <v>246</v>
      </c>
      <c r="B251" s="6" t="s">
        <v>767</v>
      </c>
      <c r="C251" s="6" t="s">
        <v>768</v>
      </c>
      <c r="D251" s="6" t="s">
        <v>714</v>
      </c>
      <c r="E251" s="6" t="s">
        <v>11</v>
      </c>
      <c r="F251" s="9">
        <v>5</v>
      </c>
      <c r="G251" s="9">
        <v>5</v>
      </c>
      <c r="H251" s="10">
        <v>675</v>
      </c>
      <c r="I251" s="11">
        <v>0.67</v>
      </c>
      <c r="J251" s="11">
        <v>0.35</v>
      </c>
      <c r="K251" s="12">
        <f t="shared" si="18"/>
        <v>8.9333333333333334E-2</v>
      </c>
      <c r="L251" s="12">
        <f t="shared" si="19"/>
        <v>4.6666666666666662E-2</v>
      </c>
      <c r="M251" s="10">
        <v>1</v>
      </c>
      <c r="N251" s="10">
        <v>1</v>
      </c>
      <c r="O251" s="10">
        <v>36</v>
      </c>
      <c r="P251" s="10">
        <v>2.2000000000000002</v>
      </c>
      <c r="Q251" s="10">
        <v>6</v>
      </c>
      <c r="R251" s="11">
        <v>9.07</v>
      </c>
      <c r="S251" s="6"/>
      <c r="T251" s="6"/>
      <c r="U251" s="6"/>
      <c r="V251" s="7" t="b">
        <v>1</v>
      </c>
      <c r="W251" s="8">
        <f>IFERROR(VLOOKUP(D251,Teams!$B$2:$I$21,6,FALSE),"")</f>
        <v>0</v>
      </c>
      <c r="X251" s="2" t="s">
        <v>65</v>
      </c>
      <c r="Y251" s="13"/>
      <c r="Z251" s="14"/>
      <c r="AA251" s="15">
        <f>IFERROR(H251/(H251+Priors!$G$3),0)</f>
        <v>0.40298507462686567</v>
      </c>
      <c r="AB251" s="16">
        <f>VLOOKUP(E251,Priors!$A$3:$C$6,2,FALSE)</f>
        <v>0.15714383234350468</v>
      </c>
      <c r="AC251" s="16">
        <f>VLOOKUP(E251,Priors!$A$3:$C$6,3,FALSE)</f>
        <v>0.13222062939449797</v>
      </c>
      <c r="AD251" s="12">
        <f t="shared" si="20"/>
        <v>0.12981721333940577</v>
      </c>
      <c r="AE251" s="12">
        <f t="shared" si="21"/>
        <v>9.7743659339998776E-2</v>
      </c>
      <c r="AF251" s="17">
        <v>1</v>
      </c>
      <c r="AG251" s="17">
        <v>1</v>
      </c>
      <c r="AH251" s="16">
        <f>IFERROR(VLOOKUP(D251,Teams!$B$2:$I$21,7,FALSE),1)</f>
        <v>1</v>
      </c>
      <c r="AI251" s="12">
        <f t="shared" si="22"/>
        <v>0.12981721333940577</v>
      </c>
      <c r="AJ251" s="12">
        <f t="shared" si="23"/>
        <v>9.7743659339998776E-2</v>
      </c>
      <c r="AK251" s="6" t="s">
        <v>66</v>
      </c>
      <c r="AL251" s="18"/>
      <c r="AM251" s="23"/>
      <c r="AN251" s="24">
        <v>1E-3</v>
      </c>
      <c r="AO251" s="25" t="b">
        <v>1</v>
      </c>
      <c r="AP251" s="23" t="s">
        <v>345</v>
      </c>
      <c r="AQ251" s="25" t="b">
        <v>0</v>
      </c>
      <c r="AR251" s="23"/>
      <c r="AS251" s="23" t="s">
        <v>68</v>
      </c>
    </row>
    <row r="252" spans="1:45" ht="60">
      <c r="A252" s="6">
        <v>247</v>
      </c>
      <c r="B252" s="6" t="s">
        <v>769</v>
      </c>
      <c r="C252" s="6" t="s">
        <v>770</v>
      </c>
      <c r="D252" s="6" t="s">
        <v>714</v>
      </c>
      <c r="E252" s="6" t="s">
        <v>11</v>
      </c>
      <c r="F252" s="9">
        <v>5.5</v>
      </c>
      <c r="G252" s="9">
        <v>5.5</v>
      </c>
      <c r="H252" s="10">
        <v>0</v>
      </c>
      <c r="I252" s="11">
        <v>0</v>
      </c>
      <c r="J252" s="11">
        <v>0</v>
      </c>
      <c r="K252" s="12">
        <f t="shared" si="18"/>
        <v>0</v>
      </c>
      <c r="L252" s="12">
        <f t="shared" si="19"/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1">
        <v>0</v>
      </c>
      <c r="S252" s="6"/>
      <c r="T252" s="6"/>
      <c r="U252" s="6"/>
      <c r="V252" s="7" t="b">
        <v>1</v>
      </c>
      <c r="W252" s="8">
        <f>IFERROR(VLOOKUP(D252,Teams!$B$2:$I$21,6,FALSE),"")</f>
        <v>0</v>
      </c>
      <c r="X252" s="2" t="s">
        <v>65</v>
      </c>
      <c r="Y252" s="13"/>
      <c r="Z252" s="14"/>
      <c r="AA252" s="15">
        <f>IFERROR(H252/(H252+Priors!$G$3),0)</f>
        <v>0</v>
      </c>
      <c r="AB252" s="16">
        <f>VLOOKUP(E252,Priors!$A$3:$C$6,2,FALSE)</f>
        <v>0.15714383234350468</v>
      </c>
      <c r="AC252" s="16">
        <f>VLOOKUP(E252,Priors!$A$3:$C$6,3,FALSE)</f>
        <v>0.13222062939449797</v>
      </c>
      <c r="AD252" s="12">
        <f t="shared" si="20"/>
        <v>0.15714383234350468</v>
      </c>
      <c r="AE252" s="12">
        <f t="shared" si="21"/>
        <v>0.13222062939449797</v>
      </c>
      <c r="AF252" s="17">
        <v>1</v>
      </c>
      <c r="AG252" s="17">
        <v>1</v>
      </c>
      <c r="AH252" s="16">
        <f>IFERROR(VLOOKUP(D252,Teams!$B$2:$I$21,7,FALSE),1)</f>
        <v>1</v>
      </c>
      <c r="AI252" s="12">
        <f t="shared" si="22"/>
        <v>0.15714383234350468</v>
      </c>
      <c r="AJ252" s="12">
        <f t="shared" si="23"/>
        <v>0.13222062939449797</v>
      </c>
      <c r="AK252" s="6" t="s">
        <v>66</v>
      </c>
      <c r="AL252" s="18"/>
      <c r="AM252" s="23"/>
      <c r="AN252" s="24">
        <v>3.0000000000000001E-3</v>
      </c>
      <c r="AO252" s="25" t="b">
        <v>1</v>
      </c>
      <c r="AP252" s="23" t="s">
        <v>415</v>
      </c>
      <c r="AQ252" s="25" t="b">
        <v>0</v>
      </c>
      <c r="AR252" s="23"/>
      <c r="AS252" s="23" t="s">
        <v>68</v>
      </c>
    </row>
    <row r="253" spans="1:45" ht="60">
      <c r="A253" s="6">
        <v>248</v>
      </c>
      <c r="B253" s="6" t="s">
        <v>771</v>
      </c>
      <c r="C253" s="6" t="s">
        <v>771</v>
      </c>
      <c r="D253" s="6" t="s">
        <v>714</v>
      </c>
      <c r="E253" s="6" t="s">
        <v>14</v>
      </c>
      <c r="F253" s="9">
        <v>5.5</v>
      </c>
      <c r="G253" s="9">
        <v>5.5</v>
      </c>
      <c r="H253" s="10">
        <v>1551</v>
      </c>
      <c r="I253" s="11">
        <v>8.9</v>
      </c>
      <c r="J253" s="11">
        <v>0.23</v>
      </c>
      <c r="K253" s="12">
        <f t="shared" si="18"/>
        <v>0.51644100580270791</v>
      </c>
      <c r="L253" s="12">
        <f t="shared" si="19"/>
        <v>1.334622823984526E-2</v>
      </c>
      <c r="M253" s="10">
        <v>9</v>
      </c>
      <c r="N253" s="10">
        <v>1</v>
      </c>
      <c r="O253" s="10">
        <v>104</v>
      </c>
      <c r="P253" s="10">
        <v>2.8</v>
      </c>
      <c r="Q253" s="10">
        <v>17</v>
      </c>
      <c r="R253" s="11">
        <v>5.16</v>
      </c>
      <c r="S253" s="6">
        <v>4</v>
      </c>
      <c r="T253" s="6"/>
      <c r="U253" s="6"/>
      <c r="V253" s="7" t="b">
        <v>0</v>
      </c>
      <c r="W253" s="8">
        <f>IFERROR(VLOOKUP(D253,Teams!$B$2:$I$21,6,FALSE),"")</f>
        <v>0</v>
      </c>
      <c r="X253" s="2" t="s">
        <v>65</v>
      </c>
      <c r="Y253" s="13"/>
      <c r="Z253" s="14"/>
      <c r="AA253" s="15">
        <f>IFERROR(H253/(H253+Priors!$G$3),0)</f>
        <v>0.60799686397491182</v>
      </c>
      <c r="AB253" s="16">
        <f>VLOOKUP(E253,Priors!$A$3:$C$6,2,FALSE)</f>
        <v>0.44625207326425426</v>
      </c>
      <c r="AC253" s="16">
        <f>VLOOKUP(E253,Priors!$A$3:$C$6,3,FALSE)</f>
        <v>5.8217260259314105E-2</v>
      </c>
      <c r="AD253" s="12">
        <f t="shared" si="20"/>
        <v>0.48892672413338067</v>
      </c>
      <c r="AE253" s="12">
        <f t="shared" si="21"/>
        <v>3.0935813508159191E-2</v>
      </c>
      <c r="AF253" s="17">
        <v>1</v>
      </c>
      <c r="AG253" s="17">
        <v>1</v>
      </c>
      <c r="AH253" s="16">
        <f>IFERROR(VLOOKUP(D253,Teams!$B$2:$I$21,7,FALSE),1)</f>
        <v>1</v>
      </c>
      <c r="AI253" s="12">
        <f t="shared" si="22"/>
        <v>0.48892672413338067</v>
      </c>
      <c r="AJ253" s="12">
        <f t="shared" si="23"/>
        <v>3.0935813508159191E-2</v>
      </c>
      <c r="AK253" s="6" t="s">
        <v>66</v>
      </c>
      <c r="AL253" s="18"/>
      <c r="AM253" s="23"/>
      <c r="AN253" s="24">
        <v>3.3000000000000002E-2</v>
      </c>
      <c r="AO253" s="25" t="b">
        <v>1</v>
      </c>
      <c r="AP253" s="23" t="s">
        <v>447</v>
      </c>
      <c r="AQ253" s="25" t="b">
        <v>0</v>
      </c>
      <c r="AR253" s="23"/>
      <c r="AS253" s="23" t="s">
        <v>68</v>
      </c>
    </row>
    <row r="254" spans="1:45" ht="60">
      <c r="A254" s="6">
        <v>249</v>
      </c>
      <c r="B254" s="6" t="s">
        <v>772</v>
      </c>
      <c r="C254" s="6" t="s">
        <v>773</v>
      </c>
      <c r="D254" s="6" t="s">
        <v>714</v>
      </c>
      <c r="E254" s="6" t="s">
        <v>14</v>
      </c>
      <c r="F254" s="9">
        <v>5.5</v>
      </c>
      <c r="G254" s="9">
        <v>5.5</v>
      </c>
      <c r="H254" s="10">
        <v>1898</v>
      </c>
      <c r="I254" s="11">
        <v>8.17</v>
      </c>
      <c r="J254" s="11">
        <v>0.44</v>
      </c>
      <c r="K254" s="12">
        <f t="shared" si="18"/>
        <v>0.38740779768177025</v>
      </c>
      <c r="L254" s="12">
        <f t="shared" si="19"/>
        <v>2.0864067439409904E-2</v>
      </c>
      <c r="M254" s="10">
        <v>8</v>
      </c>
      <c r="N254" s="10">
        <v>0</v>
      </c>
      <c r="O254" s="10">
        <v>95</v>
      </c>
      <c r="P254" s="10">
        <v>2.5</v>
      </c>
      <c r="Q254" s="10">
        <v>21</v>
      </c>
      <c r="R254" s="11">
        <v>3.51</v>
      </c>
      <c r="S254" s="6">
        <v>2</v>
      </c>
      <c r="T254" s="6"/>
      <c r="U254" s="6"/>
      <c r="V254" s="7" t="b">
        <v>0</v>
      </c>
      <c r="W254" s="8">
        <f>IFERROR(VLOOKUP(D254,Teams!$B$2:$I$21,6,FALSE),"")</f>
        <v>0</v>
      </c>
      <c r="X254" s="2" t="s">
        <v>65</v>
      </c>
      <c r="Y254" s="13"/>
      <c r="Z254" s="14"/>
      <c r="AA254" s="15">
        <f>IFERROR(H254/(H254+Priors!$G$3),0)</f>
        <v>0.65493443754313319</v>
      </c>
      <c r="AB254" s="16">
        <f>VLOOKUP(E254,Priors!$A$3:$C$6,2,FALSE)</f>
        <v>0.44625207326425426</v>
      </c>
      <c r="AC254" s="16">
        <f>VLOOKUP(E254,Priors!$A$3:$C$6,3,FALSE)</f>
        <v>5.8217260259314105E-2</v>
      </c>
      <c r="AD254" s="12">
        <f t="shared" si="20"/>
        <v>0.40771293073300696</v>
      </c>
      <c r="AE254" s="12">
        <f t="shared" si="21"/>
        <v>3.3753367929369948E-2</v>
      </c>
      <c r="AF254" s="17">
        <v>1</v>
      </c>
      <c r="AG254" s="17">
        <v>1</v>
      </c>
      <c r="AH254" s="16">
        <f>IFERROR(VLOOKUP(D254,Teams!$B$2:$I$21,7,FALSE),1)</f>
        <v>1</v>
      </c>
      <c r="AI254" s="12">
        <f t="shared" si="22"/>
        <v>0.40771293073300696</v>
      </c>
      <c r="AJ254" s="12">
        <f t="shared" si="23"/>
        <v>3.3753367929369948E-2</v>
      </c>
      <c r="AK254" s="6" t="s">
        <v>66</v>
      </c>
      <c r="AL254" s="18"/>
      <c r="AM254" s="23"/>
      <c r="AN254" s="24">
        <v>9.0000000000000011E-3</v>
      </c>
      <c r="AO254" s="25" t="b">
        <v>1</v>
      </c>
      <c r="AP254" s="23" t="s">
        <v>774</v>
      </c>
      <c r="AQ254" s="25" t="b">
        <v>0</v>
      </c>
      <c r="AR254" s="23"/>
      <c r="AS254" s="23" t="s">
        <v>68</v>
      </c>
    </row>
    <row r="255" spans="1:45" ht="60">
      <c r="A255" s="6">
        <v>250</v>
      </c>
      <c r="B255" s="6" t="s">
        <v>775</v>
      </c>
      <c r="C255" s="6" t="s">
        <v>776</v>
      </c>
      <c r="D255" s="6" t="s">
        <v>777</v>
      </c>
      <c r="E255" s="6" t="s">
        <v>7</v>
      </c>
      <c r="F255" s="9">
        <v>4.5</v>
      </c>
      <c r="G255" s="9">
        <v>4.5</v>
      </c>
      <c r="H255" s="10">
        <v>3420</v>
      </c>
      <c r="I255" s="11">
        <v>0</v>
      </c>
      <c r="J255" s="11">
        <v>0.02</v>
      </c>
      <c r="K255" s="12">
        <f t="shared" si="18"/>
        <v>0</v>
      </c>
      <c r="L255" s="12">
        <f t="shared" si="19"/>
        <v>5.263157894736842E-4</v>
      </c>
      <c r="M255" s="10">
        <v>0</v>
      </c>
      <c r="N255" s="10">
        <v>0</v>
      </c>
      <c r="O255" s="10">
        <v>122</v>
      </c>
      <c r="P255" s="10">
        <v>3.2</v>
      </c>
      <c r="Q255" s="10">
        <v>38</v>
      </c>
      <c r="R255" s="11">
        <v>0</v>
      </c>
      <c r="S255" s="6"/>
      <c r="T255" s="6"/>
      <c r="U255" s="6"/>
      <c r="V255" s="7" t="b">
        <v>0</v>
      </c>
      <c r="W255" s="8">
        <f>IFERROR(VLOOKUP(D255,Teams!$B$2:$I$21,6,FALSE),"")</f>
        <v>0</v>
      </c>
      <c r="X255" s="2" t="s">
        <v>65</v>
      </c>
      <c r="Y255" s="13"/>
      <c r="Z255" s="14"/>
      <c r="AA255" s="15">
        <f>IFERROR(H255/(H255+Priors!$G$3),0)</f>
        <v>0.77375565610859731</v>
      </c>
      <c r="AB255" s="16">
        <f>VLOOKUP(E255,Priors!$A$3:$C$6,2,FALSE)</f>
        <v>2.4013207263995197E-4</v>
      </c>
      <c r="AC255" s="16">
        <f>VLOOKUP(E255,Priors!$A$3:$C$6,3,FALSE)</f>
        <v>1.9810895992796044E-3</v>
      </c>
      <c r="AD255" s="12">
        <f t="shared" si="20"/>
        <v>5.4328523221708587E-5</v>
      </c>
      <c r="AE255" s="12">
        <f t="shared" si="21"/>
        <v>8.5545013558362083E-4</v>
      </c>
      <c r="AF255" s="17">
        <v>1</v>
      </c>
      <c r="AG255" s="17">
        <v>1</v>
      </c>
      <c r="AH255" s="16">
        <f>IFERROR(VLOOKUP(D255,Teams!$B$2:$I$21,7,FALSE),1)</f>
        <v>1</v>
      </c>
      <c r="AI255" s="12">
        <f t="shared" si="22"/>
        <v>5.4328523221708587E-5</v>
      </c>
      <c r="AJ255" s="12">
        <f t="shared" si="23"/>
        <v>8.5545013558362083E-4</v>
      </c>
      <c r="AK255" s="6" t="s">
        <v>66</v>
      </c>
      <c r="AL255" s="18"/>
      <c r="AM255" s="23"/>
      <c r="AN255" s="24">
        <v>3.1E-2</v>
      </c>
      <c r="AO255" s="25" t="b">
        <v>1</v>
      </c>
      <c r="AP255" s="23" t="s">
        <v>778</v>
      </c>
      <c r="AQ255" s="25" t="b">
        <v>0</v>
      </c>
      <c r="AR255" s="23"/>
      <c r="AS255" s="23" t="s">
        <v>68</v>
      </c>
    </row>
    <row r="256" spans="1:45" ht="60">
      <c r="A256" s="6">
        <v>251</v>
      </c>
      <c r="B256" s="6" t="s">
        <v>779</v>
      </c>
      <c r="C256" s="6" t="s">
        <v>780</v>
      </c>
      <c r="D256" s="6" t="s">
        <v>777</v>
      </c>
      <c r="E256" s="6" t="s">
        <v>7</v>
      </c>
      <c r="F256" s="9">
        <v>4</v>
      </c>
      <c r="G256" s="9">
        <v>4</v>
      </c>
      <c r="H256" s="10">
        <v>0</v>
      </c>
      <c r="I256" s="11">
        <v>0</v>
      </c>
      <c r="J256" s="11">
        <v>0</v>
      </c>
      <c r="K256" s="12">
        <f t="shared" si="18"/>
        <v>0</v>
      </c>
      <c r="L256" s="12">
        <f t="shared" si="19"/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1">
        <v>0</v>
      </c>
      <c r="S256" s="6"/>
      <c r="T256" s="6"/>
      <c r="U256" s="6"/>
      <c r="V256" s="7" t="b">
        <v>0</v>
      </c>
      <c r="W256" s="8">
        <f>IFERROR(VLOOKUP(D256,Teams!$B$2:$I$21,6,FALSE),"")</f>
        <v>0</v>
      </c>
      <c r="X256" s="2" t="s">
        <v>65</v>
      </c>
      <c r="Y256" s="13"/>
      <c r="Z256" s="14"/>
      <c r="AA256" s="15">
        <f>IFERROR(H256/(H256+Priors!$G$3),0)</f>
        <v>0</v>
      </c>
      <c r="AB256" s="16">
        <f>VLOOKUP(E256,Priors!$A$3:$C$6,2,FALSE)</f>
        <v>2.4013207263995197E-4</v>
      </c>
      <c r="AC256" s="16">
        <f>VLOOKUP(E256,Priors!$A$3:$C$6,3,FALSE)</f>
        <v>1.9810895992796044E-3</v>
      </c>
      <c r="AD256" s="12">
        <f t="shared" si="20"/>
        <v>2.4013207263995197E-4</v>
      </c>
      <c r="AE256" s="12">
        <f t="shared" si="21"/>
        <v>1.9810895992796044E-3</v>
      </c>
      <c r="AF256" s="17">
        <v>1</v>
      </c>
      <c r="AG256" s="17">
        <v>1</v>
      </c>
      <c r="AH256" s="16">
        <f>IFERROR(VLOOKUP(D256,Teams!$B$2:$I$21,7,FALSE),1)</f>
        <v>1</v>
      </c>
      <c r="AI256" s="12">
        <f t="shared" si="22"/>
        <v>2.4013207263995197E-4</v>
      </c>
      <c r="AJ256" s="12">
        <f t="shared" si="23"/>
        <v>1.9810895992796044E-3</v>
      </c>
      <c r="AK256" s="6" t="s">
        <v>66</v>
      </c>
      <c r="AL256" s="18"/>
      <c r="AM256" s="23"/>
      <c r="AN256" s="24">
        <v>1.4999999999999999E-2</v>
      </c>
      <c r="AO256" s="25" t="b">
        <v>1</v>
      </c>
      <c r="AP256" s="23" t="s">
        <v>141</v>
      </c>
      <c r="AQ256" s="25" t="b">
        <v>0</v>
      </c>
      <c r="AR256" s="23"/>
      <c r="AS256" s="23" t="s">
        <v>68</v>
      </c>
    </row>
    <row r="257" spans="1:45" ht="60">
      <c r="A257" s="6">
        <v>252</v>
      </c>
      <c r="B257" s="6" t="s">
        <v>781</v>
      </c>
      <c r="C257" s="6" t="s">
        <v>782</v>
      </c>
      <c r="D257" s="6" t="s">
        <v>777</v>
      </c>
      <c r="E257" s="6" t="s">
        <v>7</v>
      </c>
      <c r="F257" s="9">
        <v>4</v>
      </c>
      <c r="G257" s="9">
        <v>4</v>
      </c>
      <c r="H257" s="10">
        <v>0</v>
      </c>
      <c r="I257" s="11">
        <v>0</v>
      </c>
      <c r="J257" s="11">
        <v>0</v>
      </c>
      <c r="K257" s="12">
        <f t="shared" si="18"/>
        <v>0</v>
      </c>
      <c r="L257" s="12">
        <f t="shared" si="19"/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1">
        <v>0</v>
      </c>
      <c r="S257" s="6"/>
      <c r="T257" s="6"/>
      <c r="U257" s="6"/>
      <c r="V257" s="7" t="b">
        <v>1</v>
      </c>
      <c r="W257" s="8">
        <f>IFERROR(VLOOKUP(D257,Teams!$B$2:$I$21,6,FALSE),"")</f>
        <v>0</v>
      </c>
      <c r="X257" s="2" t="s">
        <v>65</v>
      </c>
      <c r="Y257" s="13"/>
      <c r="Z257" s="14"/>
      <c r="AA257" s="15">
        <f>IFERROR(H257/(H257+Priors!$G$3),0)</f>
        <v>0</v>
      </c>
      <c r="AB257" s="16">
        <f>VLOOKUP(E257,Priors!$A$3:$C$6,2,FALSE)</f>
        <v>2.4013207263995197E-4</v>
      </c>
      <c r="AC257" s="16">
        <f>VLOOKUP(E257,Priors!$A$3:$C$6,3,FALSE)</f>
        <v>1.9810895992796044E-3</v>
      </c>
      <c r="AD257" s="12">
        <f t="shared" si="20"/>
        <v>2.4013207263995197E-4</v>
      </c>
      <c r="AE257" s="12">
        <f t="shared" si="21"/>
        <v>1.9810895992796044E-3</v>
      </c>
      <c r="AF257" s="17">
        <v>1</v>
      </c>
      <c r="AG257" s="17">
        <v>1</v>
      </c>
      <c r="AH257" s="16">
        <f>IFERROR(VLOOKUP(D257,Teams!$B$2:$I$21,7,FALSE),1)</f>
        <v>1</v>
      </c>
      <c r="AI257" s="12">
        <f t="shared" si="22"/>
        <v>2.4013207263995197E-4</v>
      </c>
      <c r="AJ257" s="12">
        <f t="shared" si="23"/>
        <v>1.9810895992796044E-3</v>
      </c>
      <c r="AK257" s="6" t="s">
        <v>66</v>
      </c>
      <c r="AL257" s="18"/>
      <c r="AM257" s="23"/>
      <c r="AN257" s="24">
        <v>3.0000000000000001E-3</v>
      </c>
      <c r="AO257" s="25" t="b">
        <v>1</v>
      </c>
      <c r="AP257" s="23" t="s">
        <v>65</v>
      </c>
      <c r="AQ257" s="25" t="b">
        <v>0</v>
      </c>
      <c r="AR257" s="23"/>
      <c r="AS257" s="23" t="s">
        <v>68</v>
      </c>
    </row>
    <row r="258" spans="1:45" ht="60">
      <c r="A258" s="6">
        <v>253</v>
      </c>
      <c r="B258" s="6" t="s">
        <v>783</v>
      </c>
      <c r="C258" s="6" t="s">
        <v>784</v>
      </c>
      <c r="D258" s="6" t="s">
        <v>777</v>
      </c>
      <c r="E258" s="6" t="s">
        <v>9</v>
      </c>
      <c r="F258" s="9">
        <v>5</v>
      </c>
      <c r="G258" s="9">
        <v>5</v>
      </c>
      <c r="H258" s="10">
        <v>2882</v>
      </c>
      <c r="I258" s="11">
        <v>1.43</v>
      </c>
      <c r="J258" s="11">
        <v>1.83</v>
      </c>
      <c r="K258" s="12">
        <f t="shared" ref="K258:K321" si="24">IFERROR(I258*90/H258,0)</f>
        <v>4.4656488549618317E-2</v>
      </c>
      <c r="L258" s="12">
        <f t="shared" ref="L258:L321" si="25">IFERROR(J258*90/H258,0)</f>
        <v>5.7147814018043031E-2</v>
      </c>
      <c r="M258" s="10">
        <v>0</v>
      </c>
      <c r="N258" s="10">
        <v>1</v>
      </c>
      <c r="O258" s="10">
        <v>123</v>
      </c>
      <c r="P258" s="10">
        <v>3.7</v>
      </c>
      <c r="Q258" s="10">
        <v>33</v>
      </c>
      <c r="R258" s="11">
        <v>10.27</v>
      </c>
      <c r="S258" s="6"/>
      <c r="T258" s="6"/>
      <c r="U258" s="6"/>
      <c r="V258" s="7" t="b">
        <v>0</v>
      </c>
      <c r="W258" s="8">
        <f>IFERROR(VLOOKUP(D258,Teams!$B$2:$I$21,6,FALSE),"")</f>
        <v>0</v>
      </c>
      <c r="X258" s="2" t="s">
        <v>65</v>
      </c>
      <c r="Y258" s="13"/>
      <c r="Z258" s="14"/>
      <c r="AA258" s="15">
        <f>IFERROR(H258/(H258+Priors!$G$3),0)</f>
        <v>0.74240082431736221</v>
      </c>
      <c r="AB258" s="16">
        <f>VLOOKUP(E258,Priors!$A$3:$C$6,2,FALSE)</f>
        <v>6.0081391379341341E-2</v>
      </c>
      <c r="AC258" s="16">
        <f>VLOOKUP(E258,Priors!$A$3:$C$6,3,FALSE)</f>
        <v>5.9588191961478354E-2</v>
      </c>
      <c r="AD258" s="12">
        <f t="shared" ref="AD258:AD321" si="26">AA258*K258+(1-AA258)*AB258</f>
        <v>4.8629930803539757E-2</v>
      </c>
      <c r="AE258" s="12">
        <f t="shared" ref="AE258:AE321" si="27">AA258*L258+(1-AA258)*AC258</f>
        <v>5.7776453364626057E-2</v>
      </c>
      <c r="AF258" s="17">
        <v>1</v>
      </c>
      <c r="AG258" s="17">
        <v>1</v>
      </c>
      <c r="AH258" s="16">
        <f>IFERROR(VLOOKUP(D258,Teams!$B$2:$I$21,7,FALSE),1)</f>
        <v>1</v>
      </c>
      <c r="AI258" s="12">
        <f t="shared" ref="AI258:AI321" si="28">AD258*AF258*AG258*AH258</f>
        <v>4.8629930803539757E-2</v>
      </c>
      <c r="AJ258" s="12">
        <f t="shared" ref="AJ258:AJ321" si="29">AE258*AF258*AG258*AH258</f>
        <v>5.7776453364626057E-2</v>
      </c>
      <c r="AK258" s="6" t="s">
        <v>288</v>
      </c>
      <c r="AL258" s="18">
        <v>0</v>
      </c>
      <c r="AM258" s="23" t="s">
        <v>289</v>
      </c>
      <c r="AN258" s="24">
        <v>1E-3</v>
      </c>
      <c r="AO258" s="25" t="b">
        <v>1</v>
      </c>
      <c r="AP258" s="23" t="s">
        <v>785</v>
      </c>
      <c r="AQ258" s="25" t="b">
        <v>0</v>
      </c>
      <c r="AR258" s="23"/>
      <c r="AS258" s="23" t="s">
        <v>68</v>
      </c>
    </row>
    <row r="259" spans="1:45" ht="60">
      <c r="A259" s="6">
        <v>254</v>
      </c>
      <c r="B259" s="6" t="s">
        <v>786</v>
      </c>
      <c r="C259" s="6" t="s">
        <v>787</v>
      </c>
      <c r="D259" s="6" t="s">
        <v>777</v>
      </c>
      <c r="E259" s="6" t="s">
        <v>9</v>
      </c>
      <c r="F259" s="9">
        <v>4.5</v>
      </c>
      <c r="G259" s="9">
        <v>4.5</v>
      </c>
      <c r="H259" s="10">
        <v>1487</v>
      </c>
      <c r="I259" s="11">
        <v>1.07</v>
      </c>
      <c r="J259" s="11">
        <v>1.58</v>
      </c>
      <c r="K259" s="12">
        <f t="shared" si="24"/>
        <v>6.4761264290517831E-2</v>
      </c>
      <c r="L259" s="12">
        <f t="shared" si="25"/>
        <v>9.5628782784129132E-2</v>
      </c>
      <c r="M259" s="10">
        <v>1</v>
      </c>
      <c r="N259" s="10">
        <v>0</v>
      </c>
      <c r="O259" s="10">
        <v>65</v>
      </c>
      <c r="P259" s="10">
        <v>3</v>
      </c>
      <c r="Q259" s="10">
        <v>17</v>
      </c>
      <c r="R259" s="11">
        <v>8.23</v>
      </c>
      <c r="S259" s="6">
        <v>1</v>
      </c>
      <c r="T259" s="6"/>
      <c r="U259" s="6"/>
      <c r="V259" s="7" t="b">
        <v>0</v>
      </c>
      <c r="W259" s="8">
        <f>IFERROR(VLOOKUP(D259,Teams!$B$2:$I$21,6,FALSE),"")</f>
        <v>0</v>
      </c>
      <c r="X259" s="2" t="s">
        <v>65</v>
      </c>
      <c r="Y259" s="13"/>
      <c r="Z259" s="14"/>
      <c r="AA259" s="15">
        <f>IFERROR(H259/(H259+Priors!$G$3),0)</f>
        <v>0.59790912746280656</v>
      </c>
      <c r="AB259" s="16">
        <f>VLOOKUP(E259,Priors!$A$3:$C$6,2,FALSE)</f>
        <v>6.0081391379341341E-2</v>
      </c>
      <c r="AC259" s="16">
        <f>VLOOKUP(E259,Priors!$A$3:$C$6,3,FALSE)</f>
        <v>5.9588191961478354E-2</v>
      </c>
      <c r="AD259" s="12">
        <f t="shared" si="26"/>
        <v>6.2879530108299705E-2</v>
      </c>
      <c r="AE259" s="12">
        <f t="shared" si="27"/>
        <v>8.1137190173493523E-2</v>
      </c>
      <c r="AF259" s="17">
        <v>1</v>
      </c>
      <c r="AG259" s="17">
        <v>1</v>
      </c>
      <c r="AH259" s="16">
        <f>IFERROR(VLOOKUP(D259,Teams!$B$2:$I$21,7,FALSE),1)</f>
        <v>1</v>
      </c>
      <c r="AI259" s="12">
        <f t="shared" si="28"/>
        <v>6.2879530108299705E-2</v>
      </c>
      <c r="AJ259" s="12">
        <f t="shared" si="29"/>
        <v>8.1137190173493523E-2</v>
      </c>
      <c r="AK259" s="6" t="s">
        <v>66</v>
      </c>
      <c r="AL259" s="18"/>
      <c r="AM259" s="23"/>
      <c r="AN259" s="24">
        <v>2.8999999999999998E-2</v>
      </c>
      <c r="AO259" s="25" t="b">
        <v>1</v>
      </c>
      <c r="AP259" s="23" t="s">
        <v>788</v>
      </c>
      <c r="AQ259" s="25" t="b">
        <v>0</v>
      </c>
      <c r="AR259" s="23"/>
      <c r="AS259" s="23" t="s">
        <v>68</v>
      </c>
    </row>
    <row r="260" spans="1:45" ht="60">
      <c r="A260" s="6">
        <v>255</v>
      </c>
      <c r="B260" s="6" t="s">
        <v>789</v>
      </c>
      <c r="C260" s="6" t="s">
        <v>790</v>
      </c>
      <c r="D260" s="6" t="s">
        <v>777</v>
      </c>
      <c r="E260" s="6" t="s">
        <v>9</v>
      </c>
      <c r="F260" s="9">
        <v>4.5</v>
      </c>
      <c r="G260" s="9">
        <v>4.5</v>
      </c>
      <c r="H260" s="10">
        <v>935</v>
      </c>
      <c r="I260" s="11">
        <v>0.05</v>
      </c>
      <c r="J260" s="11">
        <v>0.53</v>
      </c>
      <c r="K260" s="12">
        <f t="shared" si="24"/>
        <v>4.8128342245989308E-3</v>
      </c>
      <c r="L260" s="12">
        <f t="shared" si="25"/>
        <v>5.1016042780748665E-2</v>
      </c>
      <c r="M260" s="10">
        <v>0</v>
      </c>
      <c r="N260" s="10">
        <v>0</v>
      </c>
      <c r="O260" s="10">
        <v>39</v>
      </c>
      <c r="P260" s="10">
        <v>2.6</v>
      </c>
      <c r="Q260" s="10">
        <v>11</v>
      </c>
      <c r="R260" s="11">
        <v>11.26</v>
      </c>
      <c r="S260" s="6"/>
      <c r="T260" s="6"/>
      <c r="U260" s="6"/>
      <c r="V260" s="7" t="b">
        <v>0</v>
      </c>
      <c r="W260" s="8">
        <f>IFERROR(VLOOKUP(D260,Teams!$B$2:$I$21,6,FALSE),"")</f>
        <v>0</v>
      </c>
      <c r="X260" s="2" t="s">
        <v>65</v>
      </c>
      <c r="Y260" s="13"/>
      <c r="Z260" s="14"/>
      <c r="AA260" s="15">
        <f>IFERROR(H260/(H260+Priors!$G$3),0)</f>
        <v>0.48320413436692505</v>
      </c>
      <c r="AB260" s="16">
        <f>VLOOKUP(E260,Priors!$A$3:$C$6,2,FALSE)</f>
        <v>6.0081391379341341E-2</v>
      </c>
      <c r="AC260" s="16">
        <f>VLOOKUP(E260,Priors!$A$3:$C$6,3,FALSE)</f>
        <v>5.9588191961478354E-2</v>
      </c>
      <c r="AD260" s="12">
        <f t="shared" si="26"/>
        <v>3.3375396061675111E-2</v>
      </c>
      <c r="AE260" s="12">
        <f t="shared" si="27"/>
        <v>5.5446094036939716E-2</v>
      </c>
      <c r="AF260" s="17">
        <v>1</v>
      </c>
      <c r="AG260" s="17">
        <v>1</v>
      </c>
      <c r="AH260" s="16">
        <f>IFERROR(VLOOKUP(D260,Teams!$B$2:$I$21,7,FALSE),1)</f>
        <v>1</v>
      </c>
      <c r="AI260" s="12">
        <f t="shared" si="28"/>
        <v>3.3375396061675111E-2</v>
      </c>
      <c r="AJ260" s="12">
        <f t="shared" si="29"/>
        <v>5.5446094036939716E-2</v>
      </c>
      <c r="AK260" s="6" t="s">
        <v>66</v>
      </c>
      <c r="AL260" s="18"/>
      <c r="AM260" s="23"/>
      <c r="AN260" s="24">
        <v>0</v>
      </c>
      <c r="AO260" s="25" t="b">
        <v>1</v>
      </c>
      <c r="AP260" s="23" t="s">
        <v>791</v>
      </c>
      <c r="AQ260" s="25" t="b">
        <v>0</v>
      </c>
      <c r="AR260" s="23"/>
      <c r="AS260" s="23" t="s">
        <v>68</v>
      </c>
    </row>
    <row r="261" spans="1:45" ht="60">
      <c r="A261" s="6">
        <v>256</v>
      </c>
      <c r="B261" s="6" t="s">
        <v>792</v>
      </c>
      <c r="C261" s="6" t="s">
        <v>793</v>
      </c>
      <c r="D261" s="6" t="s">
        <v>777</v>
      </c>
      <c r="E261" s="6" t="s">
        <v>9</v>
      </c>
      <c r="F261" s="9">
        <v>4.5</v>
      </c>
      <c r="G261" s="9">
        <v>4.5</v>
      </c>
      <c r="H261" s="10">
        <v>1791</v>
      </c>
      <c r="I261" s="11">
        <v>0.92</v>
      </c>
      <c r="J261" s="11">
        <v>1.46</v>
      </c>
      <c r="K261" s="12">
        <f t="shared" si="24"/>
        <v>4.6231155778894473E-2</v>
      </c>
      <c r="L261" s="12">
        <f t="shared" si="25"/>
        <v>7.3366834170854281E-2</v>
      </c>
      <c r="M261" s="10">
        <v>1</v>
      </c>
      <c r="N261" s="10">
        <v>0</v>
      </c>
      <c r="O261" s="10">
        <v>81</v>
      </c>
      <c r="P261" s="10">
        <v>3.7</v>
      </c>
      <c r="Q261" s="10">
        <v>21</v>
      </c>
      <c r="R261" s="11">
        <v>8.2899999999999991</v>
      </c>
      <c r="S261" s="6"/>
      <c r="T261" s="6"/>
      <c r="U261" s="6"/>
      <c r="V261" s="7" t="b">
        <v>0</v>
      </c>
      <c r="W261" s="8">
        <f>IFERROR(VLOOKUP(D261,Teams!$B$2:$I$21,6,FALSE),"")</f>
        <v>0</v>
      </c>
      <c r="X261" s="2" t="s">
        <v>65</v>
      </c>
      <c r="Y261" s="13"/>
      <c r="Z261" s="14"/>
      <c r="AA261" s="15">
        <f>IFERROR(H261/(H261+Priors!$G$3),0)</f>
        <v>0.64170548190612686</v>
      </c>
      <c r="AB261" s="16">
        <f>VLOOKUP(E261,Priors!$A$3:$C$6,2,FALSE)</f>
        <v>6.0081391379341341E-2</v>
      </c>
      <c r="AC261" s="16">
        <f>VLOOKUP(E261,Priors!$A$3:$C$6,3,FALSE)</f>
        <v>5.9588191961478354E-2</v>
      </c>
      <c r="AD261" s="12">
        <f t="shared" si="26"/>
        <v>5.1193619268843193E-2</v>
      </c>
      <c r="AE261" s="12">
        <f t="shared" si="27"/>
        <v>6.8430022200458032E-2</v>
      </c>
      <c r="AF261" s="17">
        <v>1</v>
      </c>
      <c r="AG261" s="17">
        <v>1</v>
      </c>
      <c r="AH261" s="16">
        <f>IFERROR(VLOOKUP(D261,Teams!$B$2:$I$21,7,FALSE),1)</f>
        <v>1</v>
      </c>
      <c r="AI261" s="12">
        <f t="shared" si="28"/>
        <v>5.1193619268843193E-2</v>
      </c>
      <c r="AJ261" s="12">
        <f t="shared" si="29"/>
        <v>6.8430022200458032E-2</v>
      </c>
      <c r="AK261" s="6" t="s">
        <v>66</v>
      </c>
      <c r="AL261" s="18"/>
      <c r="AM261" s="23"/>
      <c r="AN261" s="24">
        <v>2E-3</v>
      </c>
      <c r="AO261" s="25" t="b">
        <v>1</v>
      </c>
      <c r="AP261" s="23" t="s">
        <v>794</v>
      </c>
      <c r="AQ261" s="25" t="b">
        <v>0</v>
      </c>
      <c r="AR261" s="23"/>
      <c r="AS261" s="23" t="s">
        <v>68</v>
      </c>
    </row>
    <row r="262" spans="1:45" ht="60">
      <c r="A262" s="6">
        <v>257</v>
      </c>
      <c r="B262" s="6" t="s">
        <v>795</v>
      </c>
      <c r="C262" s="6" t="s">
        <v>796</v>
      </c>
      <c r="D262" s="6" t="s">
        <v>777</v>
      </c>
      <c r="E262" s="6" t="s">
        <v>9</v>
      </c>
      <c r="F262" s="9">
        <v>4.5</v>
      </c>
      <c r="G262" s="9">
        <v>4.5</v>
      </c>
      <c r="H262" s="10">
        <v>2532</v>
      </c>
      <c r="I262" s="11">
        <v>1.71</v>
      </c>
      <c r="J262" s="11">
        <v>0.35</v>
      </c>
      <c r="K262" s="12">
        <f t="shared" si="24"/>
        <v>6.0781990521327017E-2</v>
      </c>
      <c r="L262" s="12">
        <f t="shared" si="25"/>
        <v>1.2440758293838861E-2</v>
      </c>
      <c r="M262" s="10">
        <v>1</v>
      </c>
      <c r="N262" s="10">
        <v>1</v>
      </c>
      <c r="O262" s="10">
        <v>103</v>
      </c>
      <c r="P262" s="10">
        <v>3.4</v>
      </c>
      <c r="Q262" s="10">
        <v>28</v>
      </c>
      <c r="R262" s="11">
        <v>7.29</v>
      </c>
      <c r="S262" s="6"/>
      <c r="T262" s="6"/>
      <c r="U262" s="6"/>
      <c r="V262" s="7" t="b">
        <v>0</v>
      </c>
      <c r="W262" s="8">
        <f>IFERROR(VLOOKUP(D262,Teams!$B$2:$I$21,6,FALSE),"")</f>
        <v>0</v>
      </c>
      <c r="X262" s="2" t="s">
        <v>65</v>
      </c>
      <c r="Y262" s="13"/>
      <c r="Z262" s="14"/>
      <c r="AA262" s="15">
        <f>IFERROR(H262/(H262+Priors!$G$3),0)</f>
        <v>0.71687429218573051</v>
      </c>
      <c r="AB262" s="16">
        <f>VLOOKUP(E262,Priors!$A$3:$C$6,2,FALSE)</f>
        <v>6.0081391379341341E-2</v>
      </c>
      <c r="AC262" s="16">
        <f>VLOOKUP(E262,Priors!$A$3:$C$6,3,FALSE)</f>
        <v>5.9588191961478354E-2</v>
      </c>
      <c r="AD262" s="12">
        <f t="shared" si="26"/>
        <v>6.0583632893358254E-2</v>
      </c>
      <c r="AE262" s="12">
        <f t="shared" si="27"/>
        <v>2.5789408822615614E-2</v>
      </c>
      <c r="AF262" s="17">
        <v>1</v>
      </c>
      <c r="AG262" s="17">
        <v>1</v>
      </c>
      <c r="AH262" s="16">
        <f>IFERROR(VLOOKUP(D262,Teams!$B$2:$I$21,7,FALSE),1)</f>
        <v>1</v>
      </c>
      <c r="AI262" s="12">
        <f t="shared" si="28"/>
        <v>6.0583632893358254E-2</v>
      </c>
      <c r="AJ262" s="12">
        <f t="shared" si="29"/>
        <v>2.5789408822615614E-2</v>
      </c>
      <c r="AK262" s="6" t="s">
        <v>66</v>
      </c>
      <c r="AL262" s="18"/>
      <c r="AM262" s="23"/>
      <c r="AN262" s="24">
        <v>5.0000000000000001E-3</v>
      </c>
      <c r="AO262" s="25" t="b">
        <v>1</v>
      </c>
      <c r="AP262" s="23" t="s">
        <v>797</v>
      </c>
      <c r="AQ262" s="25" t="b">
        <v>0</v>
      </c>
      <c r="AR262" s="23"/>
      <c r="AS262" s="23" t="s">
        <v>68</v>
      </c>
    </row>
    <row r="263" spans="1:45" ht="60">
      <c r="A263" s="6">
        <v>258</v>
      </c>
      <c r="B263" s="6" t="s">
        <v>798</v>
      </c>
      <c r="C263" s="6" t="s">
        <v>799</v>
      </c>
      <c r="D263" s="6" t="s">
        <v>777</v>
      </c>
      <c r="E263" s="6" t="s">
        <v>9</v>
      </c>
      <c r="F263" s="9">
        <v>4.5</v>
      </c>
      <c r="G263" s="9">
        <v>4.5</v>
      </c>
      <c r="H263" s="10">
        <v>1838</v>
      </c>
      <c r="I263" s="11">
        <v>1.5</v>
      </c>
      <c r="J263" s="11">
        <v>1.47</v>
      </c>
      <c r="K263" s="12">
        <f t="shared" si="24"/>
        <v>7.3449401523394992E-2</v>
      </c>
      <c r="L263" s="12">
        <f t="shared" si="25"/>
        <v>7.1980413492927095E-2</v>
      </c>
      <c r="M263" s="10">
        <v>0</v>
      </c>
      <c r="N263" s="10">
        <v>2</v>
      </c>
      <c r="O263" s="10">
        <v>61</v>
      </c>
      <c r="P263" s="10">
        <v>2</v>
      </c>
      <c r="Q263" s="10">
        <v>20</v>
      </c>
      <c r="R263" s="11">
        <v>7.15</v>
      </c>
      <c r="S263" s="6"/>
      <c r="T263" s="6"/>
      <c r="U263" s="6"/>
      <c r="V263" s="7" t="b">
        <v>0</v>
      </c>
      <c r="W263" s="8">
        <f>IFERROR(VLOOKUP(D263,Teams!$B$2:$I$21,6,FALSE),"")</f>
        <v>0</v>
      </c>
      <c r="X263" s="2" t="s">
        <v>65</v>
      </c>
      <c r="Y263" s="13"/>
      <c r="Z263" s="14"/>
      <c r="AA263" s="15">
        <f>IFERROR(H263/(H263+Priors!$G$3),0)</f>
        <v>0.64763918252290342</v>
      </c>
      <c r="AB263" s="16">
        <f>VLOOKUP(E263,Priors!$A$3:$C$6,2,FALSE)</f>
        <v>6.0081391379341341E-2</v>
      </c>
      <c r="AC263" s="16">
        <f>VLOOKUP(E263,Priors!$A$3:$C$6,3,FALSE)</f>
        <v>5.9588191961478354E-2</v>
      </c>
      <c r="AD263" s="12">
        <f t="shared" si="26"/>
        <v>6.8739038540994127E-2</v>
      </c>
      <c r="AE263" s="12">
        <f t="shared" si="27"/>
        <v>6.7613880183748531E-2</v>
      </c>
      <c r="AF263" s="17">
        <v>1</v>
      </c>
      <c r="AG263" s="17">
        <v>1</v>
      </c>
      <c r="AH263" s="16">
        <f>IFERROR(VLOOKUP(D263,Teams!$B$2:$I$21,7,FALSE),1)</f>
        <v>1</v>
      </c>
      <c r="AI263" s="12">
        <f t="shared" si="28"/>
        <v>6.8739038540994127E-2</v>
      </c>
      <c r="AJ263" s="12">
        <f t="shared" si="29"/>
        <v>6.7613880183748531E-2</v>
      </c>
      <c r="AK263" s="6" t="s">
        <v>66</v>
      </c>
      <c r="AL263" s="18"/>
      <c r="AM263" s="23"/>
      <c r="AN263" s="24">
        <v>2E-3</v>
      </c>
      <c r="AO263" s="25" t="b">
        <v>1</v>
      </c>
      <c r="AP263" s="23" t="s">
        <v>447</v>
      </c>
      <c r="AQ263" s="25" t="b">
        <v>0</v>
      </c>
      <c r="AR263" s="23"/>
      <c r="AS263" s="23" t="s">
        <v>68</v>
      </c>
    </row>
    <row r="264" spans="1:45" ht="60">
      <c r="A264" s="6">
        <v>261</v>
      </c>
      <c r="B264" s="6" t="s">
        <v>800</v>
      </c>
      <c r="C264" s="6" t="s">
        <v>801</v>
      </c>
      <c r="D264" s="6" t="s">
        <v>777</v>
      </c>
      <c r="E264" s="6" t="s">
        <v>11</v>
      </c>
      <c r="F264" s="9">
        <v>5.5</v>
      </c>
      <c r="G264" s="9">
        <v>5.5</v>
      </c>
      <c r="H264" s="10">
        <v>2420</v>
      </c>
      <c r="I264" s="11">
        <v>1.91</v>
      </c>
      <c r="J264" s="11">
        <v>4.7</v>
      </c>
      <c r="K264" s="12">
        <f t="shared" si="24"/>
        <v>7.1033057851239673E-2</v>
      </c>
      <c r="L264" s="12">
        <f t="shared" si="25"/>
        <v>0.17479338842975206</v>
      </c>
      <c r="M264" s="10">
        <v>4</v>
      </c>
      <c r="N264" s="10">
        <v>3</v>
      </c>
      <c r="O264" s="10">
        <v>103</v>
      </c>
      <c r="P264" s="10">
        <v>3.6</v>
      </c>
      <c r="Q264" s="10">
        <v>29</v>
      </c>
      <c r="R264" s="11">
        <v>6.99</v>
      </c>
      <c r="S264" s="6">
        <v>2</v>
      </c>
      <c r="T264" s="6">
        <v>1</v>
      </c>
      <c r="U264" s="6">
        <v>4</v>
      </c>
      <c r="V264" s="7" t="b">
        <v>0</v>
      </c>
      <c r="W264" s="8">
        <f>IFERROR(VLOOKUP(D264,Teams!$B$2:$I$21,6,FALSE),"")</f>
        <v>0</v>
      </c>
      <c r="X264" s="2" t="s">
        <v>65</v>
      </c>
      <c r="Y264" s="13"/>
      <c r="Z264" s="14"/>
      <c r="AA264" s="15">
        <f>IFERROR(H264/(H264+Priors!$G$3),0)</f>
        <v>0.70760233918128657</v>
      </c>
      <c r="AB264" s="16">
        <f>VLOOKUP(E264,Priors!$A$3:$C$6,2,FALSE)</f>
        <v>0.15714383234350468</v>
      </c>
      <c r="AC264" s="16">
        <f>VLOOKUP(E264,Priors!$A$3:$C$6,3,FALSE)</f>
        <v>0.13222062939449797</v>
      </c>
      <c r="AD264" s="12">
        <f t="shared" si="26"/>
        <v>9.6211646884065694E-2</v>
      </c>
      <c r="AE264" s="12">
        <f t="shared" si="27"/>
        <v>0.16234521327324503</v>
      </c>
      <c r="AF264" s="17">
        <v>1</v>
      </c>
      <c r="AG264" s="17">
        <v>1</v>
      </c>
      <c r="AH264" s="16">
        <f>IFERROR(VLOOKUP(D264,Teams!$B$2:$I$21,7,FALSE),1)</f>
        <v>1</v>
      </c>
      <c r="AI264" s="12">
        <f t="shared" si="28"/>
        <v>9.6211646884065694E-2</v>
      </c>
      <c r="AJ264" s="12">
        <f t="shared" si="29"/>
        <v>0.16234521327324503</v>
      </c>
      <c r="AK264" s="6" t="s">
        <v>66</v>
      </c>
      <c r="AL264" s="18"/>
      <c r="AM264" s="23"/>
      <c r="AN264" s="24">
        <v>9.0000000000000011E-3</v>
      </c>
      <c r="AO264" s="25" t="b">
        <v>1</v>
      </c>
      <c r="AP264" s="23" t="s">
        <v>521</v>
      </c>
      <c r="AQ264" s="25" t="b">
        <v>0</v>
      </c>
      <c r="AR264" s="23"/>
      <c r="AS264" s="23" t="s">
        <v>68</v>
      </c>
    </row>
    <row r="265" spans="1:45" ht="60">
      <c r="A265" s="6">
        <v>262</v>
      </c>
      <c r="B265" s="6" t="s">
        <v>802</v>
      </c>
      <c r="C265" s="6" t="s">
        <v>803</v>
      </c>
      <c r="D265" s="6" t="s">
        <v>777</v>
      </c>
      <c r="E265" s="6" t="s">
        <v>11</v>
      </c>
      <c r="F265" s="9">
        <v>5.5</v>
      </c>
      <c r="G265" s="9">
        <v>5.5</v>
      </c>
      <c r="H265" s="10">
        <v>1909</v>
      </c>
      <c r="I265" s="11">
        <v>4.71</v>
      </c>
      <c r="J265" s="11">
        <v>1.1200000000000001</v>
      </c>
      <c r="K265" s="12">
        <f t="shared" si="24"/>
        <v>0.22205343111576742</v>
      </c>
      <c r="L265" s="12">
        <f t="shared" si="25"/>
        <v>5.2802514405447885E-2</v>
      </c>
      <c r="M265" s="10">
        <v>3</v>
      </c>
      <c r="N265" s="10">
        <v>1</v>
      </c>
      <c r="O265" s="10">
        <v>80</v>
      </c>
      <c r="P265" s="10">
        <v>2.2000000000000002</v>
      </c>
      <c r="Q265" s="10">
        <v>22</v>
      </c>
      <c r="R265" s="11">
        <v>6.98</v>
      </c>
      <c r="S265" s="6"/>
      <c r="T265" s="6"/>
      <c r="U265" s="6"/>
      <c r="V265" s="7" t="b">
        <v>0</v>
      </c>
      <c r="W265" s="8">
        <f>IFERROR(VLOOKUP(D265,Teams!$B$2:$I$21,6,FALSE),"")</f>
        <v>0</v>
      </c>
      <c r="X265" s="2" t="s">
        <v>65</v>
      </c>
      <c r="Y265" s="13"/>
      <c r="Z265" s="14"/>
      <c r="AA265" s="15">
        <f>IFERROR(H265/(H265+Priors!$G$3),0)</f>
        <v>0.65623925747679612</v>
      </c>
      <c r="AB265" s="16">
        <f>VLOOKUP(E265,Priors!$A$3:$C$6,2,FALSE)</f>
        <v>0.15714383234350468</v>
      </c>
      <c r="AC265" s="16">
        <f>VLOOKUP(E265,Priors!$A$3:$C$6,3,FALSE)</f>
        <v>0.13222062939449797</v>
      </c>
      <c r="AD265" s="12">
        <f t="shared" si="26"/>
        <v>0.19974005924493113</v>
      </c>
      <c r="AE265" s="12">
        <f t="shared" si="27"/>
        <v>8.0103344583876926E-2</v>
      </c>
      <c r="AF265" s="17">
        <v>1</v>
      </c>
      <c r="AG265" s="17">
        <v>1</v>
      </c>
      <c r="AH265" s="16">
        <f>IFERROR(VLOOKUP(D265,Teams!$B$2:$I$21,7,FALSE),1)</f>
        <v>1</v>
      </c>
      <c r="AI265" s="12">
        <f t="shared" si="28"/>
        <v>0.19974005924493113</v>
      </c>
      <c r="AJ265" s="12">
        <f t="shared" si="29"/>
        <v>8.0103344583876926E-2</v>
      </c>
      <c r="AK265" s="6" t="s">
        <v>66</v>
      </c>
      <c r="AL265" s="18"/>
      <c r="AM265" s="23"/>
      <c r="AN265" s="24">
        <v>4.0000000000000001E-3</v>
      </c>
      <c r="AO265" s="25" t="b">
        <v>1</v>
      </c>
      <c r="AP265" s="23" t="s">
        <v>804</v>
      </c>
      <c r="AQ265" s="25" t="b">
        <v>0</v>
      </c>
      <c r="AR265" s="23"/>
      <c r="AS265" s="23" t="s">
        <v>68</v>
      </c>
    </row>
    <row r="266" spans="1:45" ht="60">
      <c r="A266" s="6">
        <v>263</v>
      </c>
      <c r="B266" s="6" t="s">
        <v>805</v>
      </c>
      <c r="C266" s="6" t="s">
        <v>805</v>
      </c>
      <c r="D266" s="6" t="s">
        <v>777</v>
      </c>
      <c r="E266" s="6" t="s">
        <v>11</v>
      </c>
      <c r="F266" s="9">
        <v>5.5</v>
      </c>
      <c r="G266" s="9">
        <v>5.5</v>
      </c>
      <c r="H266" s="10">
        <v>1030</v>
      </c>
      <c r="I266" s="11">
        <v>1.21</v>
      </c>
      <c r="J266" s="11">
        <v>1.47</v>
      </c>
      <c r="K266" s="12">
        <f t="shared" si="24"/>
        <v>0.10572815533980581</v>
      </c>
      <c r="L266" s="12">
        <f t="shared" si="25"/>
        <v>0.12844660194174759</v>
      </c>
      <c r="M266" s="10">
        <v>1</v>
      </c>
      <c r="N266" s="10">
        <v>3</v>
      </c>
      <c r="O266" s="10">
        <v>49</v>
      </c>
      <c r="P266" s="10">
        <v>1.9</v>
      </c>
      <c r="Q266" s="10">
        <v>9</v>
      </c>
      <c r="R266" s="11">
        <v>7.51</v>
      </c>
      <c r="S266" s="6"/>
      <c r="T266" s="6"/>
      <c r="U266" s="6">
        <v>6</v>
      </c>
      <c r="V266" s="7" t="b">
        <v>0</v>
      </c>
      <c r="W266" s="8">
        <f>IFERROR(VLOOKUP(D266,Teams!$B$2:$I$21,6,FALSE),"")</f>
        <v>0</v>
      </c>
      <c r="X266" s="2" t="s">
        <v>65</v>
      </c>
      <c r="Y266" s="13"/>
      <c r="Z266" s="14"/>
      <c r="AA266" s="15">
        <f>IFERROR(H266/(H266+Priors!$G$3),0)</f>
        <v>0.5073891625615764</v>
      </c>
      <c r="AB266" s="16">
        <f>VLOOKUP(E266,Priors!$A$3:$C$6,2,FALSE)</f>
        <v>0.15714383234350468</v>
      </c>
      <c r="AC266" s="16">
        <f>VLOOKUP(E266,Priors!$A$3:$C$6,3,FALSE)</f>
        <v>0.13222062939449797</v>
      </c>
      <c r="AD266" s="12">
        <f t="shared" si="26"/>
        <v>0.13105607504606143</v>
      </c>
      <c r="AE266" s="12">
        <f t="shared" si="27"/>
        <v>0.13030572876576255</v>
      </c>
      <c r="AF266" s="17">
        <v>1</v>
      </c>
      <c r="AG266" s="17">
        <v>1</v>
      </c>
      <c r="AH266" s="16">
        <f>IFERROR(VLOOKUP(D266,Teams!$B$2:$I$21,7,FALSE),1)</f>
        <v>1</v>
      </c>
      <c r="AI266" s="12">
        <f t="shared" si="28"/>
        <v>0.13105607504606143</v>
      </c>
      <c r="AJ266" s="12">
        <f t="shared" si="29"/>
        <v>0.13030572876576255</v>
      </c>
      <c r="AK266" s="6" t="s">
        <v>66</v>
      </c>
      <c r="AL266" s="18"/>
      <c r="AM266" s="23"/>
      <c r="AN266" s="24">
        <v>1E-3</v>
      </c>
      <c r="AO266" s="25" t="b">
        <v>1</v>
      </c>
      <c r="AP266" s="23" t="s">
        <v>181</v>
      </c>
      <c r="AQ266" s="25" t="b">
        <v>0</v>
      </c>
      <c r="AR266" s="23"/>
      <c r="AS266" s="23" t="s">
        <v>68</v>
      </c>
    </row>
    <row r="267" spans="1:45" ht="60">
      <c r="A267" s="6">
        <v>264</v>
      </c>
      <c r="B267" s="6" t="s">
        <v>806</v>
      </c>
      <c r="C267" s="6" t="s">
        <v>807</v>
      </c>
      <c r="D267" s="6" t="s">
        <v>777</v>
      </c>
      <c r="E267" s="6" t="s">
        <v>11</v>
      </c>
      <c r="F267" s="9">
        <v>5.5</v>
      </c>
      <c r="G267" s="9">
        <v>5.5</v>
      </c>
      <c r="H267" s="10">
        <v>1030</v>
      </c>
      <c r="I267" s="11">
        <v>1.47</v>
      </c>
      <c r="J267" s="11">
        <v>2.1</v>
      </c>
      <c r="K267" s="12">
        <f t="shared" si="24"/>
        <v>0.12844660194174759</v>
      </c>
      <c r="L267" s="12">
        <f t="shared" si="25"/>
        <v>0.18349514563106797</v>
      </c>
      <c r="M267" s="10">
        <v>0</v>
      </c>
      <c r="N267" s="10">
        <v>2</v>
      </c>
      <c r="O267" s="10">
        <v>42</v>
      </c>
      <c r="P267" s="10">
        <v>1.8</v>
      </c>
      <c r="Q267" s="10">
        <v>11</v>
      </c>
      <c r="R267" s="11">
        <v>6.64</v>
      </c>
      <c r="S267" s="6"/>
      <c r="T267" s="6"/>
      <c r="U267" s="6"/>
      <c r="V267" s="7" t="b">
        <v>0</v>
      </c>
      <c r="W267" s="8">
        <f>IFERROR(VLOOKUP(D267,Teams!$B$2:$I$21,6,FALSE),"")</f>
        <v>0</v>
      </c>
      <c r="X267" s="2" t="s">
        <v>65</v>
      </c>
      <c r="Y267" s="13"/>
      <c r="Z267" s="14"/>
      <c r="AA267" s="15">
        <f>IFERROR(H267/(H267+Priors!$G$3),0)</f>
        <v>0.5073891625615764</v>
      </c>
      <c r="AB267" s="16">
        <f>VLOOKUP(E267,Priors!$A$3:$C$6,2,FALSE)</f>
        <v>0.15714383234350468</v>
      </c>
      <c r="AC267" s="16">
        <f>VLOOKUP(E267,Priors!$A$3:$C$6,3,FALSE)</f>
        <v>0.13222062939449797</v>
      </c>
      <c r="AD267" s="12">
        <f t="shared" si="26"/>
        <v>0.14258316864212053</v>
      </c>
      <c r="AE267" s="12">
        <f t="shared" si="27"/>
        <v>0.15823676324852118</v>
      </c>
      <c r="AF267" s="17">
        <v>1</v>
      </c>
      <c r="AG267" s="17">
        <v>1</v>
      </c>
      <c r="AH267" s="16">
        <f>IFERROR(VLOOKUP(D267,Teams!$B$2:$I$21,7,FALSE),1)</f>
        <v>1</v>
      </c>
      <c r="AI267" s="12">
        <f t="shared" si="28"/>
        <v>0.14258316864212053</v>
      </c>
      <c r="AJ267" s="12">
        <f t="shared" si="29"/>
        <v>0.15823676324852118</v>
      </c>
      <c r="AK267" s="6" t="s">
        <v>66</v>
      </c>
      <c r="AL267" s="18"/>
      <c r="AM267" s="23"/>
      <c r="AN267" s="24">
        <v>4.0000000000000001E-3</v>
      </c>
      <c r="AO267" s="25" t="b">
        <v>1</v>
      </c>
      <c r="AP267" s="23" t="s">
        <v>808</v>
      </c>
      <c r="AQ267" s="25" t="b">
        <v>0</v>
      </c>
      <c r="AR267" s="23"/>
      <c r="AS267" s="23" t="s">
        <v>68</v>
      </c>
    </row>
    <row r="268" spans="1:45" ht="60">
      <c r="A268" s="6">
        <v>265</v>
      </c>
      <c r="B268" s="6" t="s">
        <v>809</v>
      </c>
      <c r="C268" s="6" t="s">
        <v>810</v>
      </c>
      <c r="D268" s="6" t="s">
        <v>777</v>
      </c>
      <c r="E268" s="6" t="s">
        <v>11</v>
      </c>
      <c r="F268" s="9">
        <v>5</v>
      </c>
      <c r="G268" s="9">
        <v>5</v>
      </c>
      <c r="H268" s="10">
        <v>2904</v>
      </c>
      <c r="I268" s="11">
        <v>1.54</v>
      </c>
      <c r="J268" s="11">
        <v>1.5</v>
      </c>
      <c r="K268" s="12">
        <f t="shared" si="24"/>
        <v>4.7727272727272722E-2</v>
      </c>
      <c r="L268" s="12">
        <f t="shared" si="25"/>
        <v>4.6487603305785122E-2</v>
      </c>
      <c r="M268" s="10">
        <v>0</v>
      </c>
      <c r="N268" s="10">
        <v>3</v>
      </c>
      <c r="O268" s="10">
        <v>91</v>
      </c>
      <c r="P268" s="10">
        <v>2.6</v>
      </c>
      <c r="Q268" s="10">
        <v>34</v>
      </c>
      <c r="R268" s="11">
        <v>8.68</v>
      </c>
      <c r="S268" s="6"/>
      <c r="T268" s="6"/>
      <c r="U268" s="6"/>
      <c r="V268" s="7" t="b">
        <v>0</v>
      </c>
      <c r="W268" s="8">
        <f>IFERROR(VLOOKUP(D268,Teams!$B$2:$I$21,6,FALSE),"")</f>
        <v>0</v>
      </c>
      <c r="X268" s="2" t="s">
        <v>65</v>
      </c>
      <c r="Y268" s="13"/>
      <c r="Z268" s="14"/>
      <c r="AA268" s="15">
        <f>IFERROR(H268/(H268+Priors!$G$3),0)</f>
        <v>0.74385245901639341</v>
      </c>
      <c r="AB268" s="16">
        <f>VLOOKUP(E268,Priors!$A$3:$C$6,2,FALSE)</f>
        <v>0.15714383234350468</v>
      </c>
      <c r="AC268" s="16">
        <f>VLOOKUP(E268,Priors!$A$3:$C$6,3,FALSE)</f>
        <v>0.13222062939449797</v>
      </c>
      <c r="AD268" s="12">
        <f t="shared" si="26"/>
        <v>7.5754055415856725E-2</v>
      </c>
      <c r="AE268" s="12">
        <f t="shared" si="27"/>
        <v>6.8447907119492307E-2</v>
      </c>
      <c r="AF268" s="17">
        <v>1</v>
      </c>
      <c r="AG268" s="17">
        <v>1</v>
      </c>
      <c r="AH268" s="16">
        <f>IFERROR(VLOOKUP(D268,Teams!$B$2:$I$21,7,FALSE),1)</f>
        <v>1</v>
      </c>
      <c r="AI268" s="12">
        <f t="shared" si="28"/>
        <v>7.5754055415856725E-2</v>
      </c>
      <c r="AJ268" s="12">
        <f t="shared" si="29"/>
        <v>6.8447907119492307E-2</v>
      </c>
      <c r="AK268" s="6" t="s">
        <v>66</v>
      </c>
      <c r="AL268" s="18"/>
      <c r="AM268" s="23"/>
      <c r="AN268" s="24">
        <v>4.0000000000000001E-3</v>
      </c>
      <c r="AO268" s="25" t="b">
        <v>1</v>
      </c>
      <c r="AP268" s="23" t="s">
        <v>322</v>
      </c>
      <c r="AQ268" s="25" t="b">
        <v>0</v>
      </c>
      <c r="AR268" s="23"/>
      <c r="AS268" s="23" t="s">
        <v>68</v>
      </c>
    </row>
    <row r="269" spans="1:45" ht="60">
      <c r="A269" s="6">
        <v>266</v>
      </c>
      <c r="B269" s="6" t="s">
        <v>811</v>
      </c>
      <c r="C269" s="6" t="s">
        <v>812</v>
      </c>
      <c r="D269" s="6" t="s">
        <v>777</v>
      </c>
      <c r="E269" s="6" t="s">
        <v>11</v>
      </c>
      <c r="F269" s="9">
        <v>5</v>
      </c>
      <c r="G269" s="9">
        <v>5</v>
      </c>
      <c r="H269" s="10">
        <v>756</v>
      </c>
      <c r="I269" s="11">
        <v>1.21</v>
      </c>
      <c r="J269" s="11">
        <v>0.81</v>
      </c>
      <c r="K269" s="12">
        <f t="shared" si="24"/>
        <v>0.14404761904761904</v>
      </c>
      <c r="L269" s="12">
        <f t="shared" si="25"/>
        <v>9.6428571428571433E-2</v>
      </c>
      <c r="M269" s="10">
        <v>2</v>
      </c>
      <c r="N269" s="10">
        <v>0</v>
      </c>
      <c r="O269" s="10">
        <v>41</v>
      </c>
      <c r="P269" s="10">
        <v>1.7</v>
      </c>
      <c r="Q269" s="10">
        <v>6</v>
      </c>
      <c r="R269" s="11">
        <v>7.26</v>
      </c>
      <c r="S269" s="6"/>
      <c r="T269" s="6"/>
      <c r="U269" s="6"/>
      <c r="V269" s="7" t="b">
        <v>0</v>
      </c>
      <c r="W269" s="8">
        <f>IFERROR(VLOOKUP(D269,Teams!$B$2:$I$21,6,FALSE),"")</f>
        <v>0</v>
      </c>
      <c r="X269" s="2" t="s">
        <v>65</v>
      </c>
      <c r="Y269" s="13"/>
      <c r="Z269" s="14"/>
      <c r="AA269" s="15">
        <f>IFERROR(H269/(H269+Priors!$G$3),0)</f>
        <v>0.43052391799544421</v>
      </c>
      <c r="AB269" s="16">
        <f>VLOOKUP(E269,Priors!$A$3:$C$6,2,FALSE)</f>
        <v>0.15714383234350468</v>
      </c>
      <c r="AC269" s="16">
        <f>VLOOKUP(E269,Priors!$A$3:$C$6,3,FALSE)</f>
        <v>0.13222062939449797</v>
      </c>
      <c r="AD269" s="12">
        <f t="shared" si="26"/>
        <v>0.15150559928445595</v>
      </c>
      <c r="AE269" s="12">
        <f t="shared" si="27"/>
        <v>0.11681129236588723</v>
      </c>
      <c r="AF269" s="17">
        <v>1</v>
      </c>
      <c r="AG269" s="17">
        <v>1</v>
      </c>
      <c r="AH269" s="16">
        <f>IFERROR(VLOOKUP(D269,Teams!$B$2:$I$21,7,FALSE),1)</f>
        <v>1</v>
      </c>
      <c r="AI269" s="12">
        <f t="shared" si="28"/>
        <v>0.15150559928445595</v>
      </c>
      <c r="AJ269" s="12">
        <f t="shared" si="29"/>
        <v>0.11681129236588723</v>
      </c>
      <c r="AK269" s="6" t="s">
        <v>66</v>
      </c>
      <c r="AL269" s="18"/>
      <c r="AM269" s="23"/>
      <c r="AN269" s="24">
        <v>0</v>
      </c>
      <c r="AO269" s="25" t="b">
        <v>1</v>
      </c>
      <c r="AP269" s="23" t="s">
        <v>813</v>
      </c>
      <c r="AQ269" s="25" t="b">
        <v>0</v>
      </c>
      <c r="AR269" s="23"/>
      <c r="AS269" s="23" t="s">
        <v>68</v>
      </c>
    </row>
    <row r="270" spans="1:45" ht="60">
      <c r="A270" s="6">
        <v>267</v>
      </c>
      <c r="B270" s="6" t="s">
        <v>814</v>
      </c>
      <c r="C270" s="6" t="s">
        <v>815</v>
      </c>
      <c r="D270" s="6" t="s">
        <v>777</v>
      </c>
      <c r="E270" s="6" t="s">
        <v>11</v>
      </c>
      <c r="F270" s="9">
        <v>5</v>
      </c>
      <c r="G270" s="9">
        <v>5</v>
      </c>
      <c r="H270" s="10">
        <v>1730</v>
      </c>
      <c r="I270" s="11">
        <v>2.23</v>
      </c>
      <c r="J270" s="11">
        <v>1.91</v>
      </c>
      <c r="K270" s="12">
        <f t="shared" si="24"/>
        <v>0.11601156069364162</v>
      </c>
      <c r="L270" s="12">
        <f t="shared" si="25"/>
        <v>9.9364161849710989E-2</v>
      </c>
      <c r="M270" s="10">
        <v>1</v>
      </c>
      <c r="N270" s="10">
        <v>4</v>
      </c>
      <c r="O270" s="10">
        <v>67</v>
      </c>
      <c r="P270" s="10">
        <v>2.6</v>
      </c>
      <c r="Q270" s="10">
        <v>20</v>
      </c>
      <c r="R270" s="11">
        <v>9.52</v>
      </c>
      <c r="S270" s="6"/>
      <c r="T270" s="6">
        <v>2</v>
      </c>
      <c r="U270" s="6">
        <v>5</v>
      </c>
      <c r="V270" s="7" t="b">
        <v>0</v>
      </c>
      <c r="W270" s="8">
        <f>IFERROR(VLOOKUP(D270,Teams!$B$2:$I$21,6,FALSE),"")</f>
        <v>0</v>
      </c>
      <c r="X270" s="2" t="s">
        <v>65</v>
      </c>
      <c r="Y270" s="13"/>
      <c r="Z270" s="14"/>
      <c r="AA270" s="15">
        <f>IFERROR(H270/(H270+Priors!$G$3),0)</f>
        <v>0.63369963369963367</v>
      </c>
      <c r="AB270" s="16">
        <f>VLOOKUP(E270,Priors!$A$3:$C$6,2,FALSE)</f>
        <v>0.15714383234350468</v>
      </c>
      <c r="AC270" s="16">
        <f>VLOOKUP(E270,Priors!$A$3:$C$6,3,FALSE)</f>
        <v>0.13222062939449797</v>
      </c>
      <c r="AD270" s="12">
        <f t="shared" si="26"/>
        <v>0.13107832686575263</v>
      </c>
      <c r="AE270" s="12">
        <f t="shared" si="27"/>
        <v>0.11139949794670256</v>
      </c>
      <c r="AF270" s="17">
        <v>1</v>
      </c>
      <c r="AG270" s="17">
        <v>1</v>
      </c>
      <c r="AH270" s="16">
        <f>IFERROR(VLOOKUP(D270,Teams!$B$2:$I$21,7,FALSE),1)</f>
        <v>1</v>
      </c>
      <c r="AI270" s="12">
        <f t="shared" si="28"/>
        <v>0.13107832686575263</v>
      </c>
      <c r="AJ270" s="12">
        <f t="shared" si="29"/>
        <v>0.11139949794670256</v>
      </c>
      <c r="AK270" s="6" t="s">
        <v>66</v>
      </c>
      <c r="AL270" s="18"/>
      <c r="AM270" s="23"/>
      <c r="AN270" s="24">
        <v>1E-3</v>
      </c>
      <c r="AO270" s="25" t="b">
        <v>1</v>
      </c>
      <c r="AP270" s="23" t="s">
        <v>524</v>
      </c>
      <c r="AQ270" s="25" t="b">
        <v>0</v>
      </c>
      <c r="AR270" s="23"/>
      <c r="AS270" s="23" t="s">
        <v>68</v>
      </c>
    </row>
    <row r="271" spans="1:45" ht="60">
      <c r="A271" s="6">
        <v>268</v>
      </c>
      <c r="B271" s="6" t="s">
        <v>718</v>
      </c>
      <c r="C271" s="6" t="s">
        <v>816</v>
      </c>
      <c r="D271" s="6" t="s">
        <v>777</v>
      </c>
      <c r="E271" s="6" t="s">
        <v>11</v>
      </c>
      <c r="F271" s="9">
        <v>5.5</v>
      </c>
      <c r="G271" s="9">
        <v>5.5</v>
      </c>
      <c r="H271" s="10">
        <v>1290</v>
      </c>
      <c r="I271" s="11">
        <v>2.4700000000000002</v>
      </c>
      <c r="J271" s="11">
        <v>0.66</v>
      </c>
      <c r="K271" s="12">
        <f t="shared" si="24"/>
        <v>0.17232558139534884</v>
      </c>
      <c r="L271" s="12">
        <f t="shared" si="25"/>
        <v>4.6046511627906982E-2</v>
      </c>
      <c r="M271" s="10">
        <v>1</v>
      </c>
      <c r="N271" s="10">
        <v>3</v>
      </c>
      <c r="O271" s="10">
        <v>63</v>
      </c>
      <c r="P271" s="10">
        <v>2</v>
      </c>
      <c r="Q271" s="10">
        <v>15</v>
      </c>
      <c r="R271" s="11">
        <v>7.47</v>
      </c>
      <c r="S271" s="6"/>
      <c r="T271" s="6"/>
      <c r="U271" s="6"/>
      <c r="V271" s="7" t="b">
        <v>0</v>
      </c>
      <c r="W271" s="8">
        <f>IFERROR(VLOOKUP(D271,Teams!$B$2:$I$21,6,FALSE),"")</f>
        <v>0</v>
      </c>
      <c r="X271" s="2" t="s">
        <v>65</v>
      </c>
      <c r="Y271" s="13"/>
      <c r="Z271" s="14"/>
      <c r="AA271" s="15">
        <f>IFERROR(H271/(H271+Priors!$G$3),0)</f>
        <v>0.5633187772925764</v>
      </c>
      <c r="AB271" s="16">
        <f>VLOOKUP(E271,Priors!$A$3:$C$6,2,FALSE)</f>
        <v>0.15714383234350468</v>
      </c>
      <c r="AC271" s="16">
        <f>VLOOKUP(E271,Priors!$A$3:$C$6,3,FALSE)</f>
        <v>0.13222062939449797</v>
      </c>
      <c r="AD271" s="12">
        <f t="shared" si="26"/>
        <v>0.16569599665655227</v>
      </c>
      <c r="AE271" s="12">
        <f t="shared" si="27"/>
        <v>8.3677130739955446E-2</v>
      </c>
      <c r="AF271" s="17">
        <v>1</v>
      </c>
      <c r="AG271" s="17">
        <v>1</v>
      </c>
      <c r="AH271" s="16">
        <f>IFERROR(VLOOKUP(D271,Teams!$B$2:$I$21,7,FALSE),1)</f>
        <v>1</v>
      </c>
      <c r="AI271" s="12">
        <f t="shared" si="28"/>
        <v>0.16569599665655227</v>
      </c>
      <c r="AJ271" s="12">
        <f t="shared" si="29"/>
        <v>8.3677130739955446E-2</v>
      </c>
      <c r="AK271" s="6" t="s">
        <v>66</v>
      </c>
      <c r="AL271" s="18"/>
      <c r="AM271" s="23"/>
      <c r="AN271" s="24">
        <v>1E-3</v>
      </c>
      <c r="AO271" s="25" t="b">
        <v>1</v>
      </c>
      <c r="AP271" s="23" t="s">
        <v>817</v>
      </c>
      <c r="AQ271" s="25" t="b">
        <v>0</v>
      </c>
      <c r="AR271" s="23"/>
      <c r="AS271" s="23" t="s">
        <v>68</v>
      </c>
    </row>
    <row r="272" spans="1:45" ht="60">
      <c r="A272" s="6">
        <v>269</v>
      </c>
      <c r="B272" s="6" t="s">
        <v>818</v>
      </c>
      <c r="C272" s="6" t="s">
        <v>819</v>
      </c>
      <c r="D272" s="6" t="s">
        <v>777</v>
      </c>
      <c r="E272" s="6" t="s">
        <v>9</v>
      </c>
      <c r="F272" s="9">
        <v>4.5</v>
      </c>
      <c r="G272" s="9">
        <v>4.5</v>
      </c>
      <c r="H272" s="10">
        <v>1816</v>
      </c>
      <c r="I272" s="11">
        <v>1.6</v>
      </c>
      <c r="J272" s="11">
        <v>1.8</v>
      </c>
      <c r="K272" s="12">
        <f t="shared" si="24"/>
        <v>7.9295154185022032E-2</v>
      </c>
      <c r="L272" s="12">
        <f t="shared" si="25"/>
        <v>8.9207048458149779E-2</v>
      </c>
      <c r="M272" s="10">
        <v>3</v>
      </c>
      <c r="N272" s="10">
        <v>3</v>
      </c>
      <c r="O272" s="10">
        <v>95</v>
      </c>
      <c r="P272" s="10">
        <v>3.5</v>
      </c>
      <c r="Q272" s="10">
        <v>20</v>
      </c>
      <c r="R272" s="11">
        <v>10.8</v>
      </c>
      <c r="S272" s="6"/>
      <c r="T272" s="6"/>
      <c r="U272" s="6"/>
      <c r="V272" s="7" t="b">
        <v>0</v>
      </c>
      <c r="W272" s="8">
        <f>IFERROR(VLOOKUP(D272,Teams!$B$2:$I$21,6,FALSE),"")</f>
        <v>0</v>
      </c>
      <c r="X272" s="2" t="s">
        <v>65</v>
      </c>
      <c r="Y272" s="13"/>
      <c r="Z272" s="14"/>
      <c r="AA272" s="15">
        <f>IFERROR(H272/(H272+Priors!$G$3),0)</f>
        <v>0.64488636363636365</v>
      </c>
      <c r="AB272" s="16">
        <f>VLOOKUP(E272,Priors!$A$3:$C$6,2,FALSE)</f>
        <v>6.0081391379341341E-2</v>
      </c>
      <c r="AC272" s="16">
        <f>VLOOKUP(E272,Priors!$A$3:$C$6,3,FALSE)</f>
        <v>5.9588191961478354E-2</v>
      </c>
      <c r="AD272" s="12">
        <f t="shared" si="26"/>
        <v>7.2472085006868373E-2</v>
      </c>
      <c r="AE272" s="12">
        <f t="shared" si="27"/>
        <v>7.8688988622684072E-2</v>
      </c>
      <c r="AF272" s="17">
        <v>1</v>
      </c>
      <c r="AG272" s="17">
        <v>1</v>
      </c>
      <c r="AH272" s="16">
        <f>IFERROR(VLOOKUP(D272,Teams!$B$2:$I$21,7,FALSE),1)</f>
        <v>1</v>
      </c>
      <c r="AI272" s="12">
        <f t="shared" si="28"/>
        <v>7.2472085006868373E-2</v>
      </c>
      <c r="AJ272" s="12">
        <f t="shared" si="29"/>
        <v>7.8688988622684072E-2</v>
      </c>
      <c r="AK272" s="6" t="s">
        <v>66</v>
      </c>
      <c r="AL272" s="18"/>
      <c r="AM272" s="23"/>
      <c r="AN272" s="24">
        <v>4.0000000000000001E-3</v>
      </c>
      <c r="AO272" s="25" t="b">
        <v>1</v>
      </c>
      <c r="AP272" s="23" t="s">
        <v>820</v>
      </c>
      <c r="AQ272" s="25" t="b">
        <v>0</v>
      </c>
      <c r="AR272" s="23"/>
      <c r="AS272" s="23" t="s">
        <v>68</v>
      </c>
    </row>
    <row r="273" spans="1:45" ht="60">
      <c r="A273" s="6">
        <v>270</v>
      </c>
      <c r="B273" s="6" t="s">
        <v>821</v>
      </c>
      <c r="C273" s="6" t="s">
        <v>822</v>
      </c>
      <c r="D273" s="6" t="s">
        <v>777</v>
      </c>
      <c r="E273" s="6" t="s">
        <v>11</v>
      </c>
      <c r="F273" s="9">
        <v>4.5</v>
      </c>
      <c r="G273" s="9">
        <v>4.5</v>
      </c>
      <c r="H273" s="10">
        <v>89</v>
      </c>
      <c r="I273" s="11">
        <v>0.13</v>
      </c>
      <c r="J273" s="11">
        <v>0.45</v>
      </c>
      <c r="K273" s="12">
        <f t="shared" si="24"/>
        <v>0.13146067415730339</v>
      </c>
      <c r="L273" s="12">
        <f t="shared" si="25"/>
        <v>0.4550561797752809</v>
      </c>
      <c r="M273" s="10">
        <v>1</v>
      </c>
      <c r="N273" s="10">
        <v>0</v>
      </c>
      <c r="O273" s="10">
        <v>15</v>
      </c>
      <c r="P273" s="10">
        <v>2.1</v>
      </c>
      <c r="Q273" s="10">
        <v>1</v>
      </c>
      <c r="R273" s="11">
        <v>6.07</v>
      </c>
      <c r="S273" s="6"/>
      <c r="T273" s="6"/>
      <c r="U273" s="6"/>
      <c r="V273" s="7" t="b">
        <v>0</v>
      </c>
      <c r="W273" s="8">
        <f>IFERROR(VLOOKUP(D273,Teams!$B$2:$I$21,6,FALSE),"")</f>
        <v>0</v>
      </c>
      <c r="X273" s="2" t="s">
        <v>65</v>
      </c>
      <c r="Y273" s="13"/>
      <c r="Z273" s="14"/>
      <c r="AA273" s="15">
        <f>IFERROR(H273/(H273+Priors!$G$3),0)</f>
        <v>8.1726354453627179E-2</v>
      </c>
      <c r="AB273" s="16">
        <f>VLOOKUP(E273,Priors!$A$3:$C$6,2,FALSE)</f>
        <v>0.15714383234350468</v>
      </c>
      <c r="AC273" s="16">
        <f>VLOOKUP(E273,Priors!$A$3:$C$6,3,FALSE)</f>
        <v>0.13222062939449797</v>
      </c>
      <c r="AD273" s="12">
        <f t="shared" si="26"/>
        <v>0.15504484145409062</v>
      </c>
      <c r="AE273" s="12">
        <f t="shared" si="27"/>
        <v>0.15860480201514965</v>
      </c>
      <c r="AF273" s="17">
        <v>1</v>
      </c>
      <c r="AG273" s="17">
        <v>1</v>
      </c>
      <c r="AH273" s="16">
        <f>IFERROR(VLOOKUP(D273,Teams!$B$2:$I$21,7,FALSE),1)</f>
        <v>1</v>
      </c>
      <c r="AI273" s="12">
        <f t="shared" si="28"/>
        <v>0.15504484145409062</v>
      </c>
      <c r="AJ273" s="12">
        <f t="shared" si="29"/>
        <v>0.15860480201514965</v>
      </c>
      <c r="AK273" s="6" t="s">
        <v>66</v>
      </c>
      <c r="AL273" s="18"/>
      <c r="AM273" s="23"/>
      <c r="AN273" s="24">
        <v>1.1000000000000001E-2</v>
      </c>
      <c r="AO273" s="25" t="b">
        <v>1</v>
      </c>
      <c r="AP273" s="23" t="s">
        <v>823</v>
      </c>
      <c r="AQ273" s="25" t="b">
        <v>1</v>
      </c>
      <c r="AR273" s="23"/>
      <c r="AS273" s="23" t="s">
        <v>68</v>
      </c>
    </row>
    <row r="274" spans="1:45" ht="60">
      <c r="A274" s="6">
        <v>271</v>
      </c>
      <c r="B274" s="6" t="s">
        <v>824</v>
      </c>
      <c r="C274" s="6" t="s">
        <v>825</v>
      </c>
      <c r="D274" s="6" t="s">
        <v>777</v>
      </c>
      <c r="E274" s="6" t="s">
        <v>14</v>
      </c>
      <c r="F274" s="9">
        <v>5.5</v>
      </c>
      <c r="G274" s="9">
        <v>5.5</v>
      </c>
      <c r="H274" s="10">
        <v>987</v>
      </c>
      <c r="I274" s="11">
        <v>3.3</v>
      </c>
      <c r="J274" s="11">
        <v>0.15</v>
      </c>
      <c r="K274" s="12">
        <f t="shared" si="24"/>
        <v>0.30091185410334348</v>
      </c>
      <c r="L274" s="12">
        <f t="shared" si="25"/>
        <v>1.3677811550151976E-2</v>
      </c>
      <c r="M274" s="10">
        <v>1</v>
      </c>
      <c r="N274" s="10">
        <v>1</v>
      </c>
      <c r="O274" s="10">
        <v>36</v>
      </c>
      <c r="P274" s="10">
        <v>1.7</v>
      </c>
      <c r="Q274" s="10">
        <v>10</v>
      </c>
      <c r="R274" s="11">
        <v>4.74</v>
      </c>
      <c r="S274" s="6"/>
      <c r="T274" s="6"/>
      <c r="U274" s="6"/>
      <c r="V274" s="7" t="b">
        <v>0</v>
      </c>
      <c r="W274" s="8">
        <f>IFERROR(VLOOKUP(D274,Teams!$B$2:$I$21,6,FALSE),"")</f>
        <v>0</v>
      </c>
      <c r="X274" s="2" t="s">
        <v>65</v>
      </c>
      <c r="Y274" s="13"/>
      <c r="Z274" s="14"/>
      <c r="AA274" s="15">
        <f>IFERROR(H274/(H274+Priors!$G$3),0)</f>
        <v>0.49672873678912932</v>
      </c>
      <c r="AB274" s="16">
        <f>VLOOKUP(E274,Priors!$A$3:$C$6,2,FALSE)</f>
        <v>0.44625207326425426</v>
      </c>
      <c r="AC274" s="16">
        <f>VLOOKUP(E274,Priors!$A$3:$C$6,3,FALSE)</f>
        <v>5.8217260259314105E-2</v>
      </c>
      <c r="AD274" s="12">
        <f t="shared" si="26"/>
        <v>0.37405740979579982</v>
      </c>
      <c r="AE274" s="12">
        <f t="shared" si="27"/>
        <v>3.6093236164727788E-2</v>
      </c>
      <c r="AF274" s="17">
        <v>1</v>
      </c>
      <c r="AG274" s="17">
        <v>1</v>
      </c>
      <c r="AH274" s="16">
        <f>IFERROR(VLOOKUP(D274,Teams!$B$2:$I$21,7,FALSE),1)</f>
        <v>1</v>
      </c>
      <c r="AI274" s="12">
        <f t="shared" si="28"/>
        <v>0.37405740979579982</v>
      </c>
      <c r="AJ274" s="12">
        <f t="shared" si="29"/>
        <v>3.6093236164727788E-2</v>
      </c>
      <c r="AK274" s="6" t="s">
        <v>66</v>
      </c>
      <c r="AL274" s="18"/>
      <c r="AM274" s="23"/>
      <c r="AN274" s="24">
        <v>6.9999999999999993E-3</v>
      </c>
      <c r="AO274" s="25" t="b">
        <v>1</v>
      </c>
      <c r="AP274" s="23" t="s">
        <v>113</v>
      </c>
      <c r="AQ274" s="25" t="b">
        <v>0</v>
      </c>
      <c r="AR274" s="23"/>
      <c r="AS274" s="23" t="s">
        <v>68</v>
      </c>
    </row>
    <row r="275" spans="1:45" ht="60">
      <c r="A275" s="6">
        <v>272</v>
      </c>
      <c r="B275" s="6" t="s">
        <v>826</v>
      </c>
      <c r="C275" s="6" t="s">
        <v>827</v>
      </c>
      <c r="D275" s="6" t="s">
        <v>777</v>
      </c>
      <c r="E275" s="6" t="s">
        <v>14</v>
      </c>
      <c r="F275" s="9">
        <v>4.5</v>
      </c>
      <c r="G275" s="9">
        <v>4.5</v>
      </c>
      <c r="H275" s="10">
        <v>49</v>
      </c>
      <c r="I275" s="11">
        <v>0</v>
      </c>
      <c r="J275" s="11">
        <v>7.0000000000000007E-2</v>
      </c>
      <c r="K275" s="12">
        <f t="shared" si="24"/>
        <v>0</v>
      </c>
      <c r="L275" s="12">
        <f t="shared" si="25"/>
        <v>0.12857142857142859</v>
      </c>
      <c r="M275" s="10">
        <v>0</v>
      </c>
      <c r="N275" s="10">
        <v>0</v>
      </c>
      <c r="O275" s="10">
        <v>6</v>
      </c>
      <c r="P275" s="10">
        <v>0.9</v>
      </c>
      <c r="Q275" s="10">
        <v>0</v>
      </c>
      <c r="R275" s="11">
        <v>9.18</v>
      </c>
      <c r="S275" s="6"/>
      <c r="T275" s="6"/>
      <c r="U275" s="6"/>
      <c r="V275" s="7" t="b">
        <v>1</v>
      </c>
      <c r="W275" s="8">
        <f>IFERROR(VLOOKUP(D275,Teams!$B$2:$I$21,6,FALSE),"")</f>
        <v>0</v>
      </c>
      <c r="X275" s="2" t="s">
        <v>65</v>
      </c>
      <c r="Y275" s="13"/>
      <c r="Z275" s="14"/>
      <c r="AA275" s="15">
        <f>IFERROR(H275/(H275+Priors!$G$3),0)</f>
        <v>4.6711153479504289E-2</v>
      </c>
      <c r="AB275" s="16">
        <f>VLOOKUP(E275,Priors!$A$3:$C$6,2,FALSE)</f>
        <v>0.44625207326425426</v>
      </c>
      <c r="AC275" s="16">
        <f>VLOOKUP(E275,Priors!$A$3:$C$6,3,FALSE)</f>
        <v>5.8217260259314105E-2</v>
      </c>
      <c r="AD275" s="12">
        <f t="shared" si="26"/>
        <v>0.42540712417946069</v>
      </c>
      <c r="AE275" s="12">
        <f t="shared" si="27"/>
        <v>6.1503584613264162E-2</v>
      </c>
      <c r="AF275" s="17">
        <v>1</v>
      </c>
      <c r="AG275" s="17">
        <v>1</v>
      </c>
      <c r="AH275" s="16">
        <f>IFERROR(VLOOKUP(D275,Teams!$B$2:$I$21,7,FALSE),1)</f>
        <v>1</v>
      </c>
      <c r="AI275" s="12">
        <f t="shared" si="28"/>
        <v>0.42540712417946069</v>
      </c>
      <c r="AJ275" s="12">
        <f t="shared" si="29"/>
        <v>6.1503584613264162E-2</v>
      </c>
      <c r="AK275" s="6" t="s">
        <v>66</v>
      </c>
      <c r="AL275" s="18"/>
      <c r="AM275" s="23"/>
      <c r="AN275" s="24">
        <v>8.3000000000000004E-2</v>
      </c>
      <c r="AO275" s="25" t="b">
        <v>1</v>
      </c>
      <c r="AP275" s="23" t="s">
        <v>828</v>
      </c>
      <c r="AQ275" s="25" t="b">
        <v>0</v>
      </c>
      <c r="AR275" s="23"/>
      <c r="AS275" s="23" t="s">
        <v>68</v>
      </c>
    </row>
    <row r="276" spans="1:45" ht="60">
      <c r="A276" s="6">
        <v>273</v>
      </c>
      <c r="B276" s="6" t="s">
        <v>829</v>
      </c>
      <c r="C276" s="6" t="s">
        <v>830</v>
      </c>
      <c r="D276" s="6" t="s">
        <v>831</v>
      </c>
      <c r="E276" s="6" t="s">
        <v>7</v>
      </c>
      <c r="F276" s="9">
        <v>4</v>
      </c>
      <c r="G276" s="9">
        <v>4</v>
      </c>
      <c r="H276" s="10">
        <v>0</v>
      </c>
      <c r="I276" s="11">
        <v>0</v>
      </c>
      <c r="J276" s="11">
        <v>0</v>
      </c>
      <c r="K276" s="12">
        <f t="shared" si="24"/>
        <v>0</v>
      </c>
      <c r="L276" s="12">
        <f t="shared" si="25"/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1">
        <v>0</v>
      </c>
      <c r="S276" s="6"/>
      <c r="T276" s="6"/>
      <c r="U276" s="6"/>
      <c r="V276" s="7" t="b">
        <v>0</v>
      </c>
      <c r="W276" s="8">
        <f>IFERROR(VLOOKUP(D276,Teams!$B$2:$I$21,6,FALSE),"")</f>
        <v>0</v>
      </c>
      <c r="X276" s="2" t="s">
        <v>65</v>
      </c>
      <c r="Y276" s="13"/>
      <c r="Z276" s="14"/>
      <c r="AA276" s="15">
        <f>IFERROR(H276/(H276+Priors!$G$3),0)</f>
        <v>0</v>
      </c>
      <c r="AB276" s="16">
        <f>VLOOKUP(E276,Priors!$A$3:$C$6,2,FALSE)</f>
        <v>2.4013207263995197E-4</v>
      </c>
      <c r="AC276" s="16">
        <f>VLOOKUP(E276,Priors!$A$3:$C$6,3,FALSE)</f>
        <v>1.9810895992796044E-3</v>
      </c>
      <c r="AD276" s="12">
        <f t="shared" si="26"/>
        <v>2.4013207263995197E-4</v>
      </c>
      <c r="AE276" s="12">
        <f t="shared" si="27"/>
        <v>1.9810895992796044E-3</v>
      </c>
      <c r="AF276" s="17">
        <v>1</v>
      </c>
      <c r="AG276" s="17">
        <v>1</v>
      </c>
      <c r="AH276" s="16">
        <f>IFERROR(VLOOKUP(D276,Teams!$B$2:$I$21,7,FALSE),1)</f>
        <v>1</v>
      </c>
      <c r="AI276" s="12">
        <f t="shared" si="28"/>
        <v>2.4013207263995197E-4</v>
      </c>
      <c r="AJ276" s="12">
        <f t="shared" si="29"/>
        <v>1.9810895992796044E-3</v>
      </c>
      <c r="AK276" s="6" t="s">
        <v>66</v>
      </c>
      <c r="AL276" s="18"/>
      <c r="AM276" s="23"/>
      <c r="AN276" s="24">
        <v>2.1000000000000001E-2</v>
      </c>
      <c r="AO276" s="25" t="b">
        <v>1</v>
      </c>
      <c r="AP276" s="23" t="s">
        <v>71</v>
      </c>
      <c r="AQ276" s="25" t="b">
        <v>0</v>
      </c>
      <c r="AR276" s="23"/>
      <c r="AS276" s="23" t="s">
        <v>68</v>
      </c>
    </row>
    <row r="277" spans="1:45" ht="60">
      <c r="A277" s="6">
        <v>274</v>
      </c>
      <c r="B277" s="6" t="s">
        <v>832</v>
      </c>
      <c r="C277" s="6" t="s">
        <v>833</v>
      </c>
      <c r="D277" s="6" t="s">
        <v>831</v>
      </c>
      <c r="E277" s="6" t="s">
        <v>7</v>
      </c>
      <c r="F277" s="9">
        <v>4.5</v>
      </c>
      <c r="G277" s="9">
        <v>4.5</v>
      </c>
      <c r="H277" s="10">
        <v>0</v>
      </c>
      <c r="I277" s="11">
        <v>0</v>
      </c>
      <c r="J277" s="11">
        <v>0</v>
      </c>
      <c r="K277" s="12">
        <f t="shared" si="24"/>
        <v>0</v>
      </c>
      <c r="L277" s="12">
        <f t="shared" si="25"/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1">
        <v>0</v>
      </c>
      <c r="S277" s="6"/>
      <c r="T277" s="6"/>
      <c r="U277" s="6"/>
      <c r="V277" s="7" t="b">
        <v>1</v>
      </c>
      <c r="W277" s="8">
        <f>IFERROR(VLOOKUP(D277,Teams!$B$2:$I$21,6,FALSE),"")</f>
        <v>0</v>
      </c>
      <c r="X277" s="2" t="s">
        <v>65</v>
      </c>
      <c r="Y277" s="13"/>
      <c r="Z277" s="14"/>
      <c r="AA277" s="15">
        <f>IFERROR(H277/(H277+Priors!$G$3),0)</f>
        <v>0</v>
      </c>
      <c r="AB277" s="16">
        <f>VLOOKUP(E277,Priors!$A$3:$C$6,2,FALSE)</f>
        <v>2.4013207263995197E-4</v>
      </c>
      <c r="AC277" s="16">
        <f>VLOOKUP(E277,Priors!$A$3:$C$6,3,FALSE)</f>
        <v>1.9810895992796044E-3</v>
      </c>
      <c r="AD277" s="12">
        <f t="shared" si="26"/>
        <v>2.4013207263995197E-4</v>
      </c>
      <c r="AE277" s="12">
        <f t="shared" si="27"/>
        <v>1.9810895992796044E-3</v>
      </c>
      <c r="AF277" s="17">
        <v>1</v>
      </c>
      <c r="AG277" s="17">
        <v>1</v>
      </c>
      <c r="AH277" s="16">
        <f>IFERROR(VLOOKUP(D277,Teams!$B$2:$I$21,7,FALSE),1)</f>
        <v>1</v>
      </c>
      <c r="AI277" s="12">
        <f t="shared" si="28"/>
        <v>2.4013207263995197E-4</v>
      </c>
      <c r="AJ277" s="12">
        <f t="shared" si="29"/>
        <v>1.9810895992796044E-3</v>
      </c>
      <c r="AK277" s="6" t="s">
        <v>66</v>
      </c>
      <c r="AL277" s="18"/>
      <c r="AM277" s="23"/>
      <c r="AN277" s="24">
        <v>0.01</v>
      </c>
      <c r="AO277" s="25" t="b">
        <v>1</v>
      </c>
      <c r="AP277" s="23" t="s">
        <v>415</v>
      </c>
      <c r="AQ277" s="25" t="b">
        <v>0</v>
      </c>
      <c r="AR277" s="23"/>
      <c r="AS277" s="23" t="s">
        <v>68</v>
      </c>
    </row>
    <row r="278" spans="1:45" ht="60">
      <c r="A278" s="6">
        <v>275</v>
      </c>
      <c r="B278" s="6" t="s">
        <v>834</v>
      </c>
      <c r="C278" s="6" t="s">
        <v>835</v>
      </c>
      <c r="D278" s="6" t="s">
        <v>831</v>
      </c>
      <c r="E278" s="6" t="s">
        <v>7</v>
      </c>
      <c r="F278" s="9">
        <v>4</v>
      </c>
      <c r="G278" s="9">
        <v>4</v>
      </c>
      <c r="H278" s="10">
        <v>0</v>
      </c>
      <c r="I278" s="11">
        <v>0</v>
      </c>
      <c r="J278" s="11">
        <v>0</v>
      </c>
      <c r="K278" s="12">
        <f t="shared" si="24"/>
        <v>0</v>
      </c>
      <c r="L278" s="12">
        <f t="shared" si="25"/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1">
        <v>0</v>
      </c>
      <c r="S278" s="6"/>
      <c r="T278" s="6"/>
      <c r="U278" s="6"/>
      <c r="V278" s="7" t="b">
        <v>0</v>
      </c>
      <c r="W278" s="8">
        <f>IFERROR(VLOOKUP(D278,Teams!$B$2:$I$21,6,FALSE),"")</f>
        <v>0</v>
      </c>
      <c r="X278" s="2" t="s">
        <v>65</v>
      </c>
      <c r="Y278" s="13"/>
      <c r="Z278" s="14"/>
      <c r="AA278" s="15">
        <f>IFERROR(H278/(H278+Priors!$G$3),0)</f>
        <v>0</v>
      </c>
      <c r="AB278" s="16">
        <f>VLOOKUP(E278,Priors!$A$3:$C$6,2,FALSE)</f>
        <v>2.4013207263995197E-4</v>
      </c>
      <c r="AC278" s="16">
        <f>VLOOKUP(E278,Priors!$A$3:$C$6,3,FALSE)</f>
        <v>1.9810895992796044E-3</v>
      </c>
      <c r="AD278" s="12">
        <f t="shared" si="26"/>
        <v>2.4013207263995197E-4</v>
      </c>
      <c r="AE278" s="12">
        <f t="shared" si="27"/>
        <v>1.9810895992796044E-3</v>
      </c>
      <c r="AF278" s="17">
        <v>1</v>
      </c>
      <c r="AG278" s="17">
        <v>1</v>
      </c>
      <c r="AH278" s="16">
        <f>IFERROR(VLOOKUP(D278,Teams!$B$2:$I$21,7,FALSE),1)</f>
        <v>1</v>
      </c>
      <c r="AI278" s="12">
        <f t="shared" si="28"/>
        <v>2.4013207263995197E-4</v>
      </c>
      <c r="AJ278" s="12">
        <f t="shared" si="29"/>
        <v>1.9810895992796044E-3</v>
      </c>
      <c r="AK278" s="6" t="s">
        <v>368</v>
      </c>
      <c r="AL278" s="18">
        <v>0</v>
      </c>
      <c r="AM278" s="23" t="s">
        <v>836</v>
      </c>
      <c r="AN278" s="24">
        <v>1E-3</v>
      </c>
      <c r="AO278" s="25" t="b">
        <v>0</v>
      </c>
      <c r="AP278" s="23" t="s">
        <v>837</v>
      </c>
      <c r="AQ278" s="25" t="b">
        <v>0</v>
      </c>
      <c r="AR278" s="23"/>
      <c r="AS278" s="23" t="s">
        <v>68</v>
      </c>
    </row>
    <row r="279" spans="1:45" ht="60">
      <c r="A279" s="6">
        <v>276</v>
      </c>
      <c r="B279" s="6" t="s">
        <v>838</v>
      </c>
      <c r="C279" s="6" t="s">
        <v>839</v>
      </c>
      <c r="D279" s="6" t="s">
        <v>831</v>
      </c>
      <c r="E279" s="6" t="s">
        <v>7</v>
      </c>
      <c r="F279" s="9">
        <v>4</v>
      </c>
      <c r="G279" s="9">
        <v>4</v>
      </c>
      <c r="H279" s="10">
        <v>0</v>
      </c>
      <c r="I279" s="11">
        <v>0</v>
      </c>
      <c r="J279" s="11">
        <v>0</v>
      </c>
      <c r="K279" s="12">
        <f t="shared" si="24"/>
        <v>0</v>
      </c>
      <c r="L279" s="12">
        <f t="shared" si="25"/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1">
        <v>0</v>
      </c>
      <c r="S279" s="6"/>
      <c r="T279" s="6"/>
      <c r="U279" s="6"/>
      <c r="V279" s="7" t="b">
        <v>0</v>
      </c>
      <c r="W279" s="8">
        <f>IFERROR(VLOOKUP(D279,Teams!$B$2:$I$21,6,FALSE),"")</f>
        <v>0</v>
      </c>
      <c r="X279" s="2" t="s">
        <v>65</v>
      </c>
      <c r="Y279" s="13"/>
      <c r="Z279" s="14"/>
      <c r="AA279" s="15">
        <f>IFERROR(H279/(H279+Priors!$G$3),0)</f>
        <v>0</v>
      </c>
      <c r="AB279" s="16">
        <f>VLOOKUP(E279,Priors!$A$3:$C$6,2,FALSE)</f>
        <v>2.4013207263995197E-4</v>
      </c>
      <c r="AC279" s="16">
        <f>VLOOKUP(E279,Priors!$A$3:$C$6,3,FALSE)</f>
        <v>1.9810895992796044E-3</v>
      </c>
      <c r="AD279" s="12">
        <f t="shared" si="26"/>
        <v>2.4013207263995197E-4</v>
      </c>
      <c r="AE279" s="12">
        <f t="shared" si="27"/>
        <v>1.9810895992796044E-3</v>
      </c>
      <c r="AF279" s="17">
        <v>1</v>
      </c>
      <c r="AG279" s="17">
        <v>1</v>
      </c>
      <c r="AH279" s="16">
        <f>IFERROR(VLOOKUP(D279,Teams!$B$2:$I$21,7,FALSE),1)</f>
        <v>1</v>
      </c>
      <c r="AI279" s="12">
        <f t="shared" si="28"/>
        <v>2.4013207263995197E-4</v>
      </c>
      <c r="AJ279" s="12">
        <f t="shared" si="29"/>
        <v>1.9810895992796044E-3</v>
      </c>
      <c r="AK279" s="6" t="s">
        <v>66</v>
      </c>
      <c r="AL279" s="18"/>
      <c r="AM279" s="23"/>
      <c r="AN279" s="24">
        <v>2E-3</v>
      </c>
      <c r="AO279" s="25" t="b">
        <v>1</v>
      </c>
      <c r="AP279" s="23" t="s">
        <v>273</v>
      </c>
      <c r="AQ279" s="25" t="b">
        <v>0</v>
      </c>
      <c r="AR279" s="23"/>
      <c r="AS279" s="23" t="s">
        <v>68</v>
      </c>
    </row>
    <row r="280" spans="1:45" ht="60">
      <c r="A280" s="6">
        <v>277</v>
      </c>
      <c r="B280" s="6" t="s">
        <v>840</v>
      </c>
      <c r="C280" s="6" t="s">
        <v>841</v>
      </c>
      <c r="D280" s="6" t="s">
        <v>831</v>
      </c>
      <c r="E280" s="6" t="s">
        <v>9</v>
      </c>
      <c r="F280" s="9">
        <v>4</v>
      </c>
      <c r="G280" s="9">
        <v>4</v>
      </c>
      <c r="H280" s="10">
        <v>0</v>
      </c>
      <c r="I280" s="11">
        <v>0</v>
      </c>
      <c r="J280" s="11">
        <v>0</v>
      </c>
      <c r="K280" s="12">
        <f t="shared" si="24"/>
        <v>0</v>
      </c>
      <c r="L280" s="12">
        <f t="shared" si="25"/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1">
        <v>0</v>
      </c>
      <c r="S280" s="6"/>
      <c r="T280" s="6"/>
      <c r="U280" s="6"/>
      <c r="V280" s="7" t="b">
        <v>0</v>
      </c>
      <c r="W280" s="8">
        <f>IFERROR(VLOOKUP(D280,Teams!$B$2:$I$21,6,FALSE),"")</f>
        <v>0</v>
      </c>
      <c r="X280" s="2" t="s">
        <v>65</v>
      </c>
      <c r="Y280" s="13"/>
      <c r="Z280" s="14"/>
      <c r="AA280" s="15">
        <f>IFERROR(H280/(H280+Priors!$G$3),0)</f>
        <v>0</v>
      </c>
      <c r="AB280" s="16">
        <f>VLOOKUP(E280,Priors!$A$3:$C$6,2,FALSE)</f>
        <v>6.0081391379341341E-2</v>
      </c>
      <c r="AC280" s="16">
        <f>VLOOKUP(E280,Priors!$A$3:$C$6,3,FALSE)</f>
        <v>5.9588191961478354E-2</v>
      </c>
      <c r="AD280" s="12">
        <f t="shared" si="26"/>
        <v>6.0081391379341341E-2</v>
      </c>
      <c r="AE280" s="12">
        <f t="shared" si="27"/>
        <v>5.9588191961478354E-2</v>
      </c>
      <c r="AF280" s="17">
        <v>1</v>
      </c>
      <c r="AG280" s="17">
        <v>1</v>
      </c>
      <c r="AH280" s="16">
        <f>IFERROR(VLOOKUP(D280,Teams!$B$2:$I$21,7,FALSE),1)</f>
        <v>1</v>
      </c>
      <c r="AI280" s="12">
        <f t="shared" si="28"/>
        <v>6.0081391379341341E-2</v>
      </c>
      <c r="AJ280" s="12">
        <f t="shared" si="29"/>
        <v>5.9588191961478354E-2</v>
      </c>
      <c r="AK280" s="6" t="s">
        <v>66</v>
      </c>
      <c r="AL280" s="18"/>
      <c r="AM280" s="23"/>
      <c r="AN280" s="24">
        <v>8.0000000000000002E-3</v>
      </c>
      <c r="AO280" s="25" t="b">
        <v>1</v>
      </c>
      <c r="AP280" s="23" t="s">
        <v>460</v>
      </c>
      <c r="AQ280" s="25" t="b">
        <v>0</v>
      </c>
      <c r="AR280" s="23"/>
      <c r="AS280" s="23" t="s">
        <v>68</v>
      </c>
    </row>
    <row r="281" spans="1:45" ht="60">
      <c r="A281" s="6">
        <v>278</v>
      </c>
      <c r="B281" s="6" t="s">
        <v>671</v>
      </c>
      <c r="C281" s="6" t="s">
        <v>842</v>
      </c>
      <c r="D281" s="6" t="s">
        <v>831</v>
      </c>
      <c r="E281" s="6" t="s">
        <v>9</v>
      </c>
      <c r="F281" s="9">
        <v>4</v>
      </c>
      <c r="G281" s="9">
        <v>4</v>
      </c>
      <c r="H281" s="10">
        <v>0</v>
      </c>
      <c r="I281" s="11">
        <v>0</v>
      </c>
      <c r="J281" s="11">
        <v>0</v>
      </c>
      <c r="K281" s="12">
        <f t="shared" si="24"/>
        <v>0</v>
      </c>
      <c r="L281" s="12">
        <f t="shared" si="25"/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1">
        <v>0</v>
      </c>
      <c r="S281" s="6"/>
      <c r="T281" s="6"/>
      <c r="U281" s="6"/>
      <c r="V281" s="7" t="b">
        <v>0</v>
      </c>
      <c r="W281" s="8">
        <f>IFERROR(VLOOKUP(D281,Teams!$B$2:$I$21,6,FALSE),"")</f>
        <v>0</v>
      </c>
      <c r="X281" s="2" t="s">
        <v>65</v>
      </c>
      <c r="Y281" s="13"/>
      <c r="Z281" s="14"/>
      <c r="AA281" s="15">
        <f>IFERROR(H281/(H281+Priors!$G$3),0)</f>
        <v>0</v>
      </c>
      <c r="AB281" s="16">
        <f>VLOOKUP(E281,Priors!$A$3:$C$6,2,FALSE)</f>
        <v>6.0081391379341341E-2</v>
      </c>
      <c r="AC281" s="16">
        <f>VLOOKUP(E281,Priors!$A$3:$C$6,3,FALSE)</f>
        <v>5.9588191961478354E-2</v>
      </c>
      <c r="AD281" s="12">
        <f t="shared" si="26"/>
        <v>6.0081391379341341E-2</v>
      </c>
      <c r="AE281" s="12">
        <f t="shared" si="27"/>
        <v>5.9588191961478354E-2</v>
      </c>
      <c r="AF281" s="17">
        <v>1</v>
      </c>
      <c r="AG281" s="17">
        <v>1</v>
      </c>
      <c r="AH281" s="16">
        <f>IFERROR(VLOOKUP(D281,Teams!$B$2:$I$21,7,FALSE),1)</f>
        <v>1</v>
      </c>
      <c r="AI281" s="12">
        <f t="shared" si="28"/>
        <v>6.0081391379341341E-2</v>
      </c>
      <c r="AJ281" s="12">
        <f t="shared" si="29"/>
        <v>5.9588191961478354E-2</v>
      </c>
      <c r="AK281" s="6" t="s">
        <v>80</v>
      </c>
      <c r="AL281" s="18">
        <v>0</v>
      </c>
      <c r="AM281" s="23" t="s">
        <v>843</v>
      </c>
      <c r="AN281" s="24">
        <v>1.4999999999999999E-2</v>
      </c>
      <c r="AO281" s="25" t="b">
        <v>1</v>
      </c>
      <c r="AP281" s="23" t="s">
        <v>302</v>
      </c>
      <c r="AQ281" s="25" t="b">
        <v>0</v>
      </c>
      <c r="AR281" s="23"/>
      <c r="AS281" s="23" t="s">
        <v>68</v>
      </c>
    </row>
    <row r="282" spans="1:45" ht="60">
      <c r="A282" s="6">
        <v>279</v>
      </c>
      <c r="B282" s="6" t="s">
        <v>844</v>
      </c>
      <c r="C282" s="6" t="s">
        <v>845</v>
      </c>
      <c r="D282" s="6" t="s">
        <v>831</v>
      </c>
      <c r="E282" s="6" t="s">
        <v>9</v>
      </c>
      <c r="F282" s="9">
        <v>4</v>
      </c>
      <c r="G282" s="9">
        <v>4</v>
      </c>
      <c r="H282" s="10">
        <v>0</v>
      </c>
      <c r="I282" s="11">
        <v>0</v>
      </c>
      <c r="J282" s="11">
        <v>0</v>
      </c>
      <c r="K282" s="12">
        <f t="shared" si="24"/>
        <v>0</v>
      </c>
      <c r="L282" s="12">
        <f t="shared" si="25"/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1">
        <v>0</v>
      </c>
      <c r="S282" s="6"/>
      <c r="T282" s="6"/>
      <c r="U282" s="6"/>
      <c r="V282" s="7" t="b">
        <v>0</v>
      </c>
      <c r="W282" s="8">
        <f>IFERROR(VLOOKUP(D282,Teams!$B$2:$I$21,6,FALSE),"")</f>
        <v>0</v>
      </c>
      <c r="X282" s="2" t="s">
        <v>65</v>
      </c>
      <c r="Y282" s="13"/>
      <c r="Z282" s="14"/>
      <c r="AA282" s="15">
        <f>IFERROR(H282/(H282+Priors!$G$3),0)</f>
        <v>0</v>
      </c>
      <c r="AB282" s="16">
        <f>VLOOKUP(E282,Priors!$A$3:$C$6,2,FALSE)</f>
        <v>6.0081391379341341E-2</v>
      </c>
      <c r="AC282" s="16">
        <f>VLOOKUP(E282,Priors!$A$3:$C$6,3,FALSE)</f>
        <v>5.9588191961478354E-2</v>
      </c>
      <c r="AD282" s="12">
        <f t="shared" si="26"/>
        <v>6.0081391379341341E-2</v>
      </c>
      <c r="AE282" s="12">
        <f t="shared" si="27"/>
        <v>5.9588191961478354E-2</v>
      </c>
      <c r="AF282" s="17">
        <v>1</v>
      </c>
      <c r="AG282" s="17">
        <v>1</v>
      </c>
      <c r="AH282" s="16">
        <f>IFERROR(VLOOKUP(D282,Teams!$B$2:$I$21,7,FALSE),1)</f>
        <v>1</v>
      </c>
      <c r="AI282" s="12">
        <f t="shared" si="28"/>
        <v>6.0081391379341341E-2</v>
      </c>
      <c r="AJ282" s="12">
        <f t="shared" si="29"/>
        <v>5.9588191961478354E-2</v>
      </c>
      <c r="AK282" s="6" t="s">
        <v>66</v>
      </c>
      <c r="AL282" s="18"/>
      <c r="AM282" s="23"/>
      <c r="AN282" s="24">
        <v>6.0000000000000001E-3</v>
      </c>
      <c r="AO282" s="25" t="b">
        <v>1</v>
      </c>
      <c r="AP282" s="23" t="s">
        <v>71</v>
      </c>
      <c r="AQ282" s="25" t="b">
        <v>0</v>
      </c>
      <c r="AR282" s="23"/>
      <c r="AS282" s="23" t="s">
        <v>68</v>
      </c>
    </row>
    <row r="283" spans="1:45" ht="60">
      <c r="A283" s="6">
        <v>280</v>
      </c>
      <c r="B283" s="6" t="s">
        <v>846</v>
      </c>
      <c r="C283" s="6" t="s">
        <v>847</v>
      </c>
      <c r="D283" s="6" t="s">
        <v>831</v>
      </c>
      <c r="E283" s="6" t="s">
        <v>9</v>
      </c>
      <c r="F283" s="9">
        <v>4</v>
      </c>
      <c r="G283" s="9">
        <v>4</v>
      </c>
      <c r="H283" s="10">
        <v>0</v>
      </c>
      <c r="I283" s="11">
        <v>0</v>
      </c>
      <c r="J283" s="11">
        <v>0</v>
      </c>
      <c r="K283" s="12">
        <f t="shared" si="24"/>
        <v>0</v>
      </c>
      <c r="L283" s="12">
        <f t="shared" si="25"/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1">
        <v>0</v>
      </c>
      <c r="S283" s="6"/>
      <c r="T283" s="6"/>
      <c r="U283" s="6"/>
      <c r="V283" s="7" t="b">
        <v>0</v>
      </c>
      <c r="W283" s="8">
        <f>IFERROR(VLOOKUP(D283,Teams!$B$2:$I$21,6,FALSE),"")</f>
        <v>0</v>
      </c>
      <c r="X283" s="2" t="s">
        <v>65</v>
      </c>
      <c r="Y283" s="13"/>
      <c r="Z283" s="14"/>
      <c r="AA283" s="15">
        <f>IFERROR(H283/(H283+Priors!$G$3),0)</f>
        <v>0</v>
      </c>
      <c r="AB283" s="16">
        <f>VLOOKUP(E283,Priors!$A$3:$C$6,2,FALSE)</f>
        <v>6.0081391379341341E-2</v>
      </c>
      <c r="AC283" s="16">
        <f>VLOOKUP(E283,Priors!$A$3:$C$6,3,FALSE)</f>
        <v>5.9588191961478354E-2</v>
      </c>
      <c r="AD283" s="12">
        <f t="shared" si="26"/>
        <v>6.0081391379341341E-2</v>
      </c>
      <c r="AE283" s="12">
        <f t="shared" si="27"/>
        <v>5.9588191961478354E-2</v>
      </c>
      <c r="AF283" s="17">
        <v>1</v>
      </c>
      <c r="AG283" s="17">
        <v>1</v>
      </c>
      <c r="AH283" s="16">
        <f>IFERROR(VLOOKUP(D283,Teams!$B$2:$I$21,7,FALSE),1)</f>
        <v>1</v>
      </c>
      <c r="AI283" s="12">
        <f t="shared" si="28"/>
        <v>6.0081391379341341E-2</v>
      </c>
      <c r="AJ283" s="12">
        <f t="shared" si="29"/>
        <v>5.9588191961478354E-2</v>
      </c>
      <c r="AK283" s="6" t="s">
        <v>66</v>
      </c>
      <c r="AL283" s="18"/>
      <c r="AM283" s="23"/>
      <c r="AN283" s="24">
        <v>3.0000000000000001E-3</v>
      </c>
      <c r="AO283" s="25" t="b">
        <v>1</v>
      </c>
      <c r="AP283" s="23" t="s">
        <v>848</v>
      </c>
      <c r="AQ283" s="25" t="b">
        <v>0</v>
      </c>
      <c r="AR283" s="23"/>
      <c r="AS283" s="23" t="s">
        <v>68</v>
      </c>
    </row>
    <row r="284" spans="1:45" ht="60">
      <c r="A284" s="6">
        <v>281</v>
      </c>
      <c r="B284" s="6" t="s">
        <v>849</v>
      </c>
      <c r="C284" s="6" t="s">
        <v>850</v>
      </c>
      <c r="D284" s="6" t="s">
        <v>831</v>
      </c>
      <c r="E284" s="6" t="s">
        <v>9</v>
      </c>
      <c r="F284" s="9">
        <v>4</v>
      </c>
      <c r="G284" s="9">
        <v>4</v>
      </c>
      <c r="H284" s="10">
        <v>0</v>
      </c>
      <c r="I284" s="11">
        <v>0</v>
      </c>
      <c r="J284" s="11">
        <v>0</v>
      </c>
      <c r="K284" s="12">
        <f t="shared" si="24"/>
        <v>0</v>
      </c>
      <c r="L284" s="12">
        <f t="shared" si="25"/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1">
        <v>0</v>
      </c>
      <c r="S284" s="6"/>
      <c r="T284" s="6"/>
      <c r="U284" s="6"/>
      <c r="V284" s="7" t="b">
        <v>0</v>
      </c>
      <c r="W284" s="8">
        <f>IFERROR(VLOOKUP(D284,Teams!$B$2:$I$21,6,FALSE),"")</f>
        <v>0</v>
      </c>
      <c r="X284" s="2" t="s">
        <v>65</v>
      </c>
      <c r="Y284" s="13"/>
      <c r="Z284" s="14"/>
      <c r="AA284" s="15">
        <f>IFERROR(H284/(H284+Priors!$G$3),0)</f>
        <v>0</v>
      </c>
      <c r="AB284" s="16">
        <f>VLOOKUP(E284,Priors!$A$3:$C$6,2,FALSE)</f>
        <v>6.0081391379341341E-2</v>
      </c>
      <c r="AC284" s="16">
        <f>VLOOKUP(E284,Priors!$A$3:$C$6,3,FALSE)</f>
        <v>5.9588191961478354E-2</v>
      </c>
      <c r="AD284" s="12">
        <f t="shared" si="26"/>
        <v>6.0081391379341341E-2</v>
      </c>
      <c r="AE284" s="12">
        <f t="shared" si="27"/>
        <v>5.9588191961478354E-2</v>
      </c>
      <c r="AF284" s="17">
        <v>1</v>
      </c>
      <c r="AG284" s="17">
        <v>1</v>
      </c>
      <c r="AH284" s="16">
        <f>IFERROR(VLOOKUP(D284,Teams!$B$2:$I$21,7,FALSE),1)</f>
        <v>1</v>
      </c>
      <c r="AI284" s="12">
        <f t="shared" si="28"/>
        <v>6.0081391379341341E-2</v>
      </c>
      <c r="AJ284" s="12">
        <f t="shared" si="29"/>
        <v>5.9588191961478354E-2</v>
      </c>
      <c r="AK284" s="6" t="s">
        <v>66</v>
      </c>
      <c r="AL284" s="18"/>
      <c r="AM284" s="23"/>
      <c r="AN284" s="24">
        <v>1E-3</v>
      </c>
      <c r="AO284" s="25" t="b">
        <v>1</v>
      </c>
      <c r="AP284" s="23" t="s">
        <v>851</v>
      </c>
      <c r="AQ284" s="25" t="b">
        <v>0</v>
      </c>
      <c r="AR284" s="23"/>
      <c r="AS284" s="23" t="s">
        <v>68</v>
      </c>
    </row>
    <row r="285" spans="1:45" ht="60">
      <c r="A285" s="6">
        <v>282</v>
      </c>
      <c r="B285" s="6" t="s">
        <v>852</v>
      </c>
      <c r="C285" s="6" t="s">
        <v>853</v>
      </c>
      <c r="D285" s="6" t="s">
        <v>831</v>
      </c>
      <c r="E285" s="6" t="s">
        <v>9</v>
      </c>
      <c r="F285" s="9">
        <v>4</v>
      </c>
      <c r="G285" s="9">
        <v>4</v>
      </c>
      <c r="H285" s="10">
        <v>0</v>
      </c>
      <c r="I285" s="11">
        <v>0</v>
      </c>
      <c r="J285" s="11">
        <v>0</v>
      </c>
      <c r="K285" s="12">
        <f t="shared" si="24"/>
        <v>0</v>
      </c>
      <c r="L285" s="12">
        <f t="shared" si="25"/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1">
        <v>0</v>
      </c>
      <c r="S285" s="6"/>
      <c r="T285" s="6">
        <v>1</v>
      </c>
      <c r="U285" s="6">
        <v>4</v>
      </c>
      <c r="V285" s="7" t="b">
        <v>0</v>
      </c>
      <c r="W285" s="8">
        <f>IFERROR(VLOOKUP(D285,Teams!$B$2:$I$21,6,FALSE),"")</f>
        <v>0</v>
      </c>
      <c r="X285" s="2" t="s">
        <v>65</v>
      </c>
      <c r="Y285" s="13"/>
      <c r="Z285" s="14"/>
      <c r="AA285" s="15">
        <f>IFERROR(H285/(H285+Priors!$G$3),0)</f>
        <v>0</v>
      </c>
      <c r="AB285" s="16">
        <f>VLOOKUP(E285,Priors!$A$3:$C$6,2,FALSE)</f>
        <v>6.0081391379341341E-2</v>
      </c>
      <c r="AC285" s="16">
        <f>VLOOKUP(E285,Priors!$A$3:$C$6,3,FALSE)</f>
        <v>5.9588191961478354E-2</v>
      </c>
      <c r="AD285" s="12">
        <f t="shared" si="26"/>
        <v>6.0081391379341341E-2</v>
      </c>
      <c r="AE285" s="12">
        <f t="shared" si="27"/>
        <v>5.9588191961478354E-2</v>
      </c>
      <c r="AF285" s="17">
        <v>1</v>
      </c>
      <c r="AG285" s="17">
        <v>1</v>
      </c>
      <c r="AH285" s="16">
        <f>IFERROR(VLOOKUP(D285,Teams!$B$2:$I$21,7,FALSE),1)</f>
        <v>1</v>
      </c>
      <c r="AI285" s="12">
        <f t="shared" si="28"/>
        <v>6.0081391379341341E-2</v>
      </c>
      <c r="AJ285" s="12">
        <f t="shared" si="29"/>
        <v>5.9588191961478354E-2</v>
      </c>
      <c r="AK285" s="6" t="s">
        <v>66</v>
      </c>
      <c r="AL285" s="18"/>
      <c r="AM285" s="23"/>
      <c r="AN285" s="24">
        <v>6.0000000000000001E-3</v>
      </c>
      <c r="AO285" s="25" t="b">
        <v>1</v>
      </c>
      <c r="AP285" s="23" t="s">
        <v>854</v>
      </c>
      <c r="AQ285" s="25" t="b">
        <v>0</v>
      </c>
      <c r="AR285" s="23"/>
      <c r="AS285" s="23" t="s">
        <v>68</v>
      </c>
    </row>
    <row r="286" spans="1:45" ht="60">
      <c r="A286" s="6">
        <v>283</v>
      </c>
      <c r="B286" s="6" t="s">
        <v>855</v>
      </c>
      <c r="C286" s="6" t="s">
        <v>856</v>
      </c>
      <c r="D286" s="6" t="s">
        <v>831</v>
      </c>
      <c r="E286" s="6" t="s">
        <v>9</v>
      </c>
      <c r="F286" s="9">
        <v>4</v>
      </c>
      <c r="G286" s="9">
        <v>4</v>
      </c>
      <c r="H286" s="10">
        <v>0</v>
      </c>
      <c r="I286" s="11">
        <v>0</v>
      </c>
      <c r="J286" s="11">
        <v>0</v>
      </c>
      <c r="K286" s="12">
        <f t="shared" si="24"/>
        <v>0</v>
      </c>
      <c r="L286" s="12">
        <f t="shared" si="25"/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1">
        <v>0</v>
      </c>
      <c r="S286" s="6"/>
      <c r="T286" s="6"/>
      <c r="U286" s="6"/>
      <c r="V286" s="7" t="b">
        <v>0</v>
      </c>
      <c r="W286" s="8">
        <f>IFERROR(VLOOKUP(D286,Teams!$B$2:$I$21,6,FALSE),"")</f>
        <v>0</v>
      </c>
      <c r="X286" s="2" t="s">
        <v>65</v>
      </c>
      <c r="Y286" s="13"/>
      <c r="Z286" s="14"/>
      <c r="AA286" s="15">
        <f>IFERROR(H286/(H286+Priors!$G$3),0)</f>
        <v>0</v>
      </c>
      <c r="AB286" s="16">
        <f>VLOOKUP(E286,Priors!$A$3:$C$6,2,FALSE)</f>
        <v>6.0081391379341341E-2</v>
      </c>
      <c r="AC286" s="16">
        <f>VLOOKUP(E286,Priors!$A$3:$C$6,3,FALSE)</f>
        <v>5.9588191961478354E-2</v>
      </c>
      <c r="AD286" s="12">
        <f t="shared" si="26"/>
        <v>6.0081391379341341E-2</v>
      </c>
      <c r="AE286" s="12">
        <f t="shared" si="27"/>
        <v>5.9588191961478354E-2</v>
      </c>
      <c r="AF286" s="17">
        <v>1</v>
      </c>
      <c r="AG286" s="17">
        <v>1</v>
      </c>
      <c r="AH286" s="16">
        <f>IFERROR(VLOOKUP(D286,Teams!$B$2:$I$21,7,FALSE),1)</f>
        <v>1</v>
      </c>
      <c r="AI286" s="12">
        <f t="shared" si="28"/>
        <v>6.0081391379341341E-2</v>
      </c>
      <c r="AJ286" s="12">
        <f t="shared" si="29"/>
        <v>5.9588191961478354E-2</v>
      </c>
      <c r="AK286" s="6" t="s">
        <v>204</v>
      </c>
      <c r="AL286" s="18">
        <v>75</v>
      </c>
      <c r="AM286" s="23" t="s">
        <v>857</v>
      </c>
      <c r="AN286" s="24">
        <v>1E-3</v>
      </c>
      <c r="AO286" s="25" t="b">
        <v>1</v>
      </c>
      <c r="AP286" s="23" t="s">
        <v>572</v>
      </c>
      <c r="AQ286" s="25" t="b">
        <v>0</v>
      </c>
      <c r="AR286" s="23"/>
      <c r="AS286" s="23" t="s">
        <v>68</v>
      </c>
    </row>
    <row r="287" spans="1:45" ht="60">
      <c r="A287" s="6">
        <v>284</v>
      </c>
      <c r="B287" s="6" t="s">
        <v>858</v>
      </c>
      <c r="C287" s="6" t="s">
        <v>859</v>
      </c>
      <c r="D287" s="6" t="s">
        <v>831</v>
      </c>
      <c r="E287" s="6" t="s">
        <v>9</v>
      </c>
      <c r="F287" s="9">
        <v>4</v>
      </c>
      <c r="G287" s="9">
        <v>4</v>
      </c>
      <c r="H287" s="10">
        <v>0</v>
      </c>
      <c r="I287" s="11">
        <v>0</v>
      </c>
      <c r="J287" s="11">
        <v>0</v>
      </c>
      <c r="K287" s="12">
        <f t="shared" si="24"/>
        <v>0</v>
      </c>
      <c r="L287" s="12">
        <f t="shared" si="25"/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1">
        <v>0</v>
      </c>
      <c r="S287" s="6"/>
      <c r="T287" s="6"/>
      <c r="U287" s="6"/>
      <c r="V287" s="7" t="b">
        <v>1</v>
      </c>
      <c r="W287" s="8">
        <f>IFERROR(VLOOKUP(D287,Teams!$B$2:$I$21,6,FALSE),"")</f>
        <v>0</v>
      </c>
      <c r="X287" s="2" t="s">
        <v>65</v>
      </c>
      <c r="Y287" s="13"/>
      <c r="Z287" s="14"/>
      <c r="AA287" s="15">
        <f>IFERROR(H287/(H287+Priors!$G$3),0)</f>
        <v>0</v>
      </c>
      <c r="AB287" s="16">
        <f>VLOOKUP(E287,Priors!$A$3:$C$6,2,FALSE)</f>
        <v>6.0081391379341341E-2</v>
      </c>
      <c r="AC287" s="16">
        <f>VLOOKUP(E287,Priors!$A$3:$C$6,3,FALSE)</f>
        <v>5.9588191961478354E-2</v>
      </c>
      <c r="AD287" s="12">
        <f t="shared" si="26"/>
        <v>6.0081391379341341E-2</v>
      </c>
      <c r="AE287" s="12">
        <f t="shared" si="27"/>
        <v>5.9588191961478354E-2</v>
      </c>
      <c r="AF287" s="17">
        <v>1</v>
      </c>
      <c r="AG287" s="17">
        <v>1</v>
      </c>
      <c r="AH287" s="16">
        <f>IFERROR(VLOOKUP(D287,Teams!$B$2:$I$21,7,FALSE),1)</f>
        <v>1</v>
      </c>
      <c r="AI287" s="12">
        <f t="shared" si="28"/>
        <v>6.0081391379341341E-2</v>
      </c>
      <c r="AJ287" s="12">
        <f t="shared" si="29"/>
        <v>5.9588191961478354E-2</v>
      </c>
      <c r="AK287" s="6" t="s">
        <v>66</v>
      </c>
      <c r="AL287" s="18"/>
      <c r="AM287" s="23"/>
      <c r="AN287" s="24">
        <v>1E-3</v>
      </c>
      <c r="AO287" s="25" t="b">
        <v>1</v>
      </c>
      <c r="AP287" s="23" t="s">
        <v>65</v>
      </c>
      <c r="AQ287" s="25" t="b">
        <v>0</v>
      </c>
      <c r="AR287" s="23"/>
      <c r="AS287" s="23" t="s">
        <v>68</v>
      </c>
    </row>
    <row r="288" spans="1:45" ht="60">
      <c r="A288" s="6">
        <v>285</v>
      </c>
      <c r="B288" s="6" t="s">
        <v>860</v>
      </c>
      <c r="C288" s="6" t="s">
        <v>861</v>
      </c>
      <c r="D288" s="6" t="s">
        <v>831</v>
      </c>
      <c r="E288" s="6" t="s">
        <v>9</v>
      </c>
      <c r="F288" s="9">
        <v>4</v>
      </c>
      <c r="G288" s="9">
        <v>4</v>
      </c>
      <c r="H288" s="10">
        <v>0</v>
      </c>
      <c r="I288" s="11">
        <v>0</v>
      </c>
      <c r="J288" s="11">
        <v>0</v>
      </c>
      <c r="K288" s="12">
        <f t="shared" si="24"/>
        <v>0</v>
      </c>
      <c r="L288" s="12">
        <f t="shared" si="25"/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1">
        <v>0</v>
      </c>
      <c r="S288" s="6"/>
      <c r="T288" s="6"/>
      <c r="U288" s="6"/>
      <c r="V288" s="7" t="b">
        <v>0</v>
      </c>
      <c r="W288" s="8">
        <f>IFERROR(VLOOKUP(D288,Teams!$B$2:$I$21,6,FALSE),"")</f>
        <v>0</v>
      </c>
      <c r="X288" s="2" t="s">
        <v>65</v>
      </c>
      <c r="Y288" s="13"/>
      <c r="Z288" s="14"/>
      <c r="AA288" s="15">
        <f>IFERROR(H288/(H288+Priors!$G$3),0)</f>
        <v>0</v>
      </c>
      <c r="AB288" s="16">
        <f>VLOOKUP(E288,Priors!$A$3:$C$6,2,FALSE)</f>
        <v>6.0081391379341341E-2</v>
      </c>
      <c r="AC288" s="16">
        <f>VLOOKUP(E288,Priors!$A$3:$C$6,3,FALSE)</f>
        <v>5.9588191961478354E-2</v>
      </c>
      <c r="AD288" s="12">
        <f t="shared" si="26"/>
        <v>6.0081391379341341E-2</v>
      </c>
      <c r="AE288" s="12">
        <f t="shared" si="27"/>
        <v>5.9588191961478354E-2</v>
      </c>
      <c r="AF288" s="17">
        <v>1</v>
      </c>
      <c r="AG288" s="17">
        <v>1</v>
      </c>
      <c r="AH288" s="16">
        <f>IFERROR(VLOOKUP(D288,Teams!$B$2:$I$21,7,FALSE),1)</f>
        <v>1</v>
      </c>
      <c r="AI288" s="12">
        <f t="shared" si="28"/>
        <v>6.0081391379341341E-2</v>
      </c>
      <c r="AJ288" s="12">
        <f t="shared" si="29"/>
        <v>5.9588191961478354E-2</v>
      </c>
      <c r="AK288" s="6" t="s">
        <v>66</v>
      </c>
      <c r="AL288" s="18"/>
      <c r="AM288" s="23"/>
      <c r="AN288" s="24">
        <v>1E-3</v>
      </c>
      <c r="AO288" s="25" t="b">
        <v>1</v>
      </c>
      <c r="AP288" s="23" t="s">
        <v>862</v>
      </c>
      <c r="AQ288" s="25" t="b">
        <v>0</v>
      </c>
      <c r="AR288" s="23"/>
      <c r="AS288" s="23" t="s">
        <v>68</v>
      </c>
    </row>
    <row r="289" spans="1:45" ht="60">
      <c r="A289" s="6">
        <v>286</v>
      </c>
      <c r="B289" s="6" t="s">
        <v>863</v>
      </c>
      <c r="C289" s="6" t="s">
        <v>864</v>
      </c>
      <c r="D289" s="6" t="s">
        <v>831</v>
      </c>
      <c r="E289" s="6" t="s">
        <v>11</v>
      </c>
      <c r="F289" s="9">
        <v>5</v>
      </c>
      <c r="G289" s="9">
        <v>5</v>
      </c>
      <c r="H289" s="10">
        <v>0</v>
      </c>
      <c r="I289" s="11">
        <v>0</v>
      </c>
      <c r="J289" s="11">
        <v>0</v>
      </c>
      <c r="K289" s="12">
        <f t="shared" si="24"/>
        <v>0</v>
      </c>
      <c r="L289" s="12">
        <f t="shared" si="25"/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1">
        <v>0</v>
      </c>
      <c r="S289" s="6"/>
      <c r="T289" s="6">
        <v>2</v>
      </c>
      <c r="U289" s="6">
        <v>5</v>
      </c>
      <c r="V289" s="7" t="b">
        <v>0</v>
      </c>
      <c r="W289" s="8">
        <f>IFERROR(VLOOKUP(D289,Teams!$B$2:$I$21,6,FALSE),"")</f>
        <v>0</v>
      </c>
      <c r="X289" s="2" t="s">
        <v>65</v>
      </c>
      <c r="Y289" s="13"/>
      <c r="Z289" s="14"/>
      <c r="AA289" s="15">
        <f>IFERROR(H289/(H289+Priors!$G$3),0)</f>
        <v>0</v>
      </c>
      <c r="AB289" s="16">
        <f>VLOOKUP(E289,Priors!$A$3:$C$6,2,FALSE)</f>
        <v>0.15714383234350468</v>
      </c>
      <c r="AC289" s="16">
        <f>VLOOKUP(E289,Priors!$A$3:$C$6,3,FALSE)</f>
        <v>0.13222062939449797</v>
      </c>
      <c r="AD289" s="12">
        <f t="shared" si="26"/>
        <v>0.15714383234350468</v>
      </c>
      <c r="AE289" s="12">
        <f t="shared" si="27"/>
        <v>0.13222062939449797</v>
      </c>
      <c r="AF289" s="17">
        <v>1</v>
      </c>
      <c r="AG289" s="17">
        <v>1</v>
      </c>
      <c r="AH289" s="16">
        <f>IFERROR(VLOOKUP(D289,Teams!$B$2:$I$21,7,FALSE),1)</f>
        <v>1</v>
      </c>
      <c r="AI289" s="12">
        <f t="shared" si="28"/>
        <v>0.15714383234350468</v>
      </c>
      <c r="AJ289" s="12">
        <f t="shared" si="29"/>
        <v>0.13222062939449797</v>
      </c>
      <c r="AK289" s="6" t="s">
        <v>66</v>
      </c>
      <c r="AL289" s="18"/>
      <c r="AM289" s="23"/>
      <c r="AN289" s="24">
        <v>6.0000000000000001E-3</v>
      </c>
      <c r="AO289" s="25" t="b">
        <v>1</v>
      </c>
      <c r="AP289" s="23" t="s">
        <v>705</v>
      </c>
      <c r="AQ289" s="25" t="b">
        <v>0</v>
      </c>
      <c r="AR289" s="23"/>
      <c r="AS289" s="23" t="s">
        <v>68</v>
      </c>
    </row>
    <row r="290" spans="1:45" ht="60">
      <c r="A290" s="6">
        <v>287</v>
      </c>
      <c r="B290" s="6" t="s">
        <v>865</v>
      </c>
      <c r="C290" s="6" t="s">
        <v>866</v>
      </c>
      <c r="D290" s="6" t="s">
        <v>831</v>
      </c>
      <c r="E290" s="6" t="s">
        <v>11</v>
      </c>
      <c r="F290" s="9">
        <v>5</v>
      </c>
      <c r="G290" s="9">
        <v>5</v>
      </c>
      <c r="H290" s="10">
        <v>0</v>
      </c>
      <c r="I290" s="11">
        <v>0</v>
      </c>
      <c r="J290" s="11">
        <v>0</v>
      </c>
      <c r="K290" s="12">
        <f t="shared" si="24"/>
        <v>0</v>
      </c>
      <c r="L290" s="12">
        <f t="shared" si="25"/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1">
        <v>0</v>
      </c>
      <c r="S290" s="6"/>
      <c r="T290" s="6"/>
      <c r="U290" s="6"/>
      <c r="V290" s="7" t="b">
        <v>0</v>
      </c>
      <c r="W290" s="8">
        <f>IFERROR(VLOOKUP(D290,Teams!$B$2:$I$21,6,FALSE),"")</f>
        <v>0</v>
      </c>
      <c r="X290" s="2" t="s">
        <v>65</v>
      </c>
      <c r="Y290" s="13"/>
      <c r="Z290" s="14"/>
      <c r="AA290" s="15">
        <f>IFERROR(H290/(H290+Priors!$G$3),0)</f>
        <v>0</v>
      </c>
      <c r="AB290" s="16">
        <f>VLOOKUP(E290,Priors!$A$3:$C$6,2,FALSE)</f>
        <v>0.15714383234350468</v>
      </c>
      <c r="AC290" s="16">
        <f>VLOOKUP(E290,Priors!$A$3:$C$6,3,FALSE)</f>
        <v>0.13222062939449797</v>
      </c>
      <c r="AD290" s="12">
        <f t="shared" si="26"/>
        <v>0.15714383234350468</v>
      </c>
      <c r="AE290" s="12">
        <f t="shared" si="27"/>
        <v>0.13222062939449797</v>
      </c>
      <c r="AF290" s="17">
        <v>1</v>
      </c>
      <c r="AG290" s="17">
        <v>1</v>
      </c>
      <c r="AH290" s="16">
        <f>IFERROR(VLOOKUP(D290,Teams!$B$2:$I$21,7,FALSE),1)</f>
        <v>1</v>
      </c>
      <c r="AI290" s="12">
        <f t="shared" si="28"/>
        <v>0.15714383234350468</v>
      </c>
      <c r="AJ290" s="12">
        <f t="shared" si="29"/>
        <v>0.13222062939449797</v>
      </c>
      <c r="AK290" s="6" t="s">
        <v>66</v>
      </c>
      <c r="AL290" s="18"/>
      <c r="AM290" s="23"/>
      <c r="AN290" s="24">
        <v>1E-3</v>
      </c>
      <c r="AO290" s="25" t="b">
        <v>1</v>
      </c>
      <c r="AP290" s="23" t="s">
        <v>763</v>
      </c>
      <c r="AQ290" s="25" t="b">
        <v>0</v>
      </c>
      <c r="AR290" s="23"/>
      <c r="AS290" s="23" t="s">
        <v>68</v>
      </c>
    </row>
    <row r="291" spans="1:45" ht="60">
      <c r="A291" s="6">
        <v>288</v>
      </c>
      <c r="B291" s="6" t="s">
        <v>867</v>
      </c>
      <c r="C291" s="6" t="s">
        <v>868</v>
      </c>
      <c r="D291" s="6" t="s">
        <v>831</v>
      </c>
      <c r="E291" s="6" t="s">
        <v>11</v>
      </c>
      <c r="F291" s="9">
        <v>4.5</v>
      </c>
      <c r="G291" s="9">
        <v>4.5</v>
      </c>
      <c r="H291" s="10">
        <v>0</v>
      </c>
      <c r="I291" s="11">
        <v>0</v>
      </c>
      <c r="J291" s="11">
        <v>0</v>
      </c>
      <c r="K291" s="12">
        <f t="shared" si="24"/>
        <v>0</v>
      </c>
      <c r="L291" s="12">
        <f t="shared" si="25"/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1">
        <v>0</v>
      </c>
      <c r="S291" s="6"/>
      <c r="T291" s="6"/>
      <c r="U291" s="6"/>
      <c r="V291" s="7" t="b">
        <v>0</v>
      </c>
      <c r="W291" s="8">
        <f>IFERROR(VLOOKUP(D291,Teams!$B$2:$I$21,6,FALSE),"")</f>
        <v>0</v>
      </c>
      <c r="X291" s="2" t="s">
        <v>65</v>
      </c>
      <c r="Y291" s="13"/>
      <c r="Z291" s="14"/>
      <c r="AA291" s="15">
        <f>IFERROR(H291/(H291+Priors!$G$3),0)</f>
        <v>0</v>
      </c>
      <c r="AB291" s="16">
        <f>VLOOKUP(E291,Priors!$A$3:$C$6,2,FALSE)</f>
        <v>0.15714383234350468</v>
      </c>
      <c r="AC291" s="16">
        <f>VLOOKUP(E291,Priors!$A$3:$C$6,3,FALSE)</f>
        <v>0.13222062939449797</v>
      </c>
      <c r="AD291" s="12">
        <f t="shared" si="26"/>
        <v>0.15714383234350468</v>
      </c>
      <c r="AE291" s="12">
        <f t="shared" si="27"/>
        <v>0.13222062939449797</v>
      </c>
      <c r="AF291" s="17">
        <v>1</v>
      </c>
      <c r="AG291" s="17">
        <v>1</v>
      </c>
      <c r="AH291" s="16">
        <f>IFERROR(VLOOKUP(D291,Teams!$B$2:$I$21,7,FALSE),1)</f>
        <v>1</v>
      </c>
      <c r="AI291" s="12">
        <f t="shared" si="28"/>
        <v>0.15714383234350468</v>
      </c>
      <c r="AJ291" s="12">
        <f t="shared" si="29"/>
        <v>0.13222062939449797</v>
      </c>
      <c r="AK291" s="6" t="s">
        <v>66</v>
      </c>
      <c r="AL291" s="18"/>
      <c r="AM291" s="23"/>
      <c r="AN291" s="24">
        <v>5.0000000000000001E-3</v>
      </c>
      <c r="AO291" s="25" t="b">
        <v>1</v>
      </c>
      <c r="AP291" s="23" t="s">
        <v>869</v>
      </c>
      <c r="AQ291" s="25" t="b">
        <v>0</v>
      </c>
      <c r="AR291" s="23"/>
      <c r="AS291" s="23" t="s">
        <v>68</v>
      </c>
    </row>
    <row r="292" spans="1:45" ht="60">
      <c r="A292" s="6">
        <v>289</v>
      </c>
      <c r="B292" s="6" t="s">
        <v>870</v>
      </c>
      <c r="C292" s="6" t="s">
        <v>871</v>
      </c>
      <c r="D292" s="6" t="s">
        <v>831</v>
      </c>
      <c r="E292" s="6" t="s">
        <v>11</v>
      </c>
      <c r="F292" s="9">
        <v>4.5</v>
      </c>
      <c r="G292" s="9">
        <v>4.5</v>
      </c>
      <c r="H292" s="10">
        <v>0</v>
      </c>
      <c r="I292" s="11">
        <v>0</v>
      </c>
      <c r="J292" s="11">
        <v>0</v>
      </c>
      <c r="K292" s="12">
        <f t="shared" si="24"/>
        <v>0</v>
      </c>
      <c r="L292" s="12">
        <f t="shared" si="25"/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1">
        <v>0</v>
      </c>
      <c r="S292" s="6">
        <v>1</v>
      </c>
      <c r="T292" s="6"/>
      <c r="U292" s="6"/>
      <c r="V292" s="7" t="b">
        <v>0</v>
      </c>
      <c r="W292" s="8">
        <f>IFERROR(VLOOKUP(D292,Teams!$B$2:$I$21,6,FALSE),"")</f>
        <v>0</v>
      </c>
      <c r="X292" s="2" t="s">
        <v>65</v>
      </c>
      <c r="Y292" s="13"/>
      <c r="Z292" s="14"/>
      <c r="AA292" s="15">
        <f>IFERROR(H292/(H292+Priors!$G$3),0)</f>
        <v>0</v>
      </c>
      <c r="AB292" s="16">
        <f>VLOOKUP(E292,Priors!$A$3:$C$6,2,FALSE)</f>
        <v>0.15714383234350468</v>
      </c>
      <c r="AC292" s="16">
        <f>VLOOKUP(E292,Priors!$A$3:$C$6,3,FALSE)</f>
        <v>0.13222062939449797</v>
      </c>
      <c r="AD292" s="12">
        <f t="shared" si="26"/>
        <v>0.15714383234350468</v>
      </c>
      <c r="AE292" s="12">
        <f t="shared" si="27"/>
        <v>0.13222062939449797</v>
      </c>
      <c r="AF292" s="17">
        <v>1</v>
      </c>
      <c r="AG292" s="17">
        <v>1</v>
      </c>
      <c r="AH292" s="16">
        <f>IFERROR(VLOOKUP(D292,Teams!$B$2:$I$21,7,FALSE),1)</f>
        <v>1</v>
      </c>
      <c r="AI292" s="12">
        <f t="shared" si="28"/>
        <v>0.15714383234350468</v>
      </c>
      <c r="AJ292" s="12">
        <f t="shared" si="29"/>
        <v>0.13222062939449797</v>
      </c>
      <c r="AK292" s="6" t="s">
        <v>66</v>
      </c>
      <c r="AL292" s="18"/>
      <c r="AM292" s="23"/>
      <c r="AN292" s="24">
        <v>6.0000000000000001E-3</v>
      </c>
      <c r="AO292" s="25" t="b">
        <v>1</v>
      </c>
      <c r="AP292" s="23" t="s">
        <v>872</v>
      </c>
      <c r="AQ292" s="25" t="b">
        <v>0</v>
      </c>
      <c r="AR292" s="23"/>
      <c r="AS292" s="23" t="s">
        <v>68</v>
      </c>
    </row>
    <row r="293" spans="1:45" ht="60">
      <c r="A293" s="6">
        <v>290</v>
      </c>
      <c r="B293" s="6" t="s">
        <v>873</v>
      </c>
      <c r="C293" s="6" t="s">
        <v>874</v>
      </c>
      <c r="D293" s="6" t="s">
        <v>831</v>
      </c>
      <c r="E293" s="6" t="s">
        <v>11</v>
      </c>
      <c r="F293" s="9">
        <v>4.5</v>
      </c>
      <c r="G293" s="9">
        <v>4.5</v>
      </c>
      <c r="H293" s="10">
        <v>0</v>
      </c>
      <c r="I293" s="11">
        <v>0</v>
      </c>
      <c r="J293" s="11">
        <v>0</v>
      </c>
      <c r="K293" s="12">
        <f t="shared" si="24"/>
        <v>0</v>
      </c>
      <c r="L293" s="12">
        <f t="shared" si="25"/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1">
        <v>0</v>
      </c>
      <c r="S293" s="6"/>
      <c r="T293" s="6"/>
      <c r="U293" s="6">
        <v>6</v>
      </c>
      <c r="V293" s="7" t="b">
        <v>0</v>
      </c>
      <c r="W293" s="8">
        <f>IFERROR(VLOOKUP(D293,Teams!$B$2:$I$21,6,FALSE),"")</f>
        <v>0</v>
      </c>
      <c r="X293" s="2" t="s">
        <v>65</v>
      </c>
      <c r="Y293" s="13"/>
      <c r="Z293" s="14"/>
      <c r="AA293" s="15">
        <f>IFERROR(H293/(H293+Priors!$G$3),0)</f>
        <v>0</v>
      </c>
      <c r="AB293" s="16">
        <f>VLOOKUP(E293,Priors!$A$3:$C$6,2,FALSE)</f>
        <v>0.15714383234350468</v>
      </c>
      <c r="AC293" s="16">
        <f>VLOOKUP(E293,Priors!$A$3:$C$6,3,FALSE)</f>
        <v>0.13222062939449797</v>
      </c>
      <c r="AD293" s="12">
        <f t="shared" si="26"/>
        <v>0.15714383234350468</v>
      </c>
      <c r="AE293" s="12">
        <f t="shared" si="27"/>
        <v>0.13222062939449797</v>
      </c>
      <c r="AF293" s="17">
        <v>1</v>
      </c>
      <c r="AG293" s="17">
        <v>1</v>
      </c>
      <c r="AH293" s="16">
        <f>IFERROR(VLOOKUP(D293,Teams!$B$2:$I$21,7,FALSE),1)</f>
        <v>1</v>
      </c>
      <c r="AI293" s="12">
        <f t="shared" si="28"/>
        <v>0.15714383234350468</v>
      </c>
      <c r="AJ293" s="12">
        <f t="shared" si="29"/>
        <v>0.13222062939449797</v>
      </c>
      <c r="AK293" s="6" t="s">
        <v>66</v>
      </c>
      <c r="AL293" s="18"/>
      <c r="AM293" s="23"/>
      <c r="AN293" s="24">
        <v>1.8000000000000002E-2</v>
      </c>
      <c r="AO293" s="25" t="b">
        <v>1</v>
      </c>
      <c r="AP293" s="23" t="s">
        <v>875</v>
      </c>
      <c r="AQ293" s="25" t="b">
        <v>0</v>
      </c>
      <c r="AR293" s="23"/>
      <c r="AS293" s="23" t="s">
        <v>68</v>
      </c>
    </row>
    <row r="294" spans="1:45" ht="60">
      <c r="A294" s="6">
        <v>291</v>
      </c>
      <c r="B294" s="6" t="s">
        <v>876</v>
      </c>
      <c r="C294" s="6" t="s">
        <v>877</v>
      </c>
      <c r="D294" s="6" t="s">
        <v>831</v>
      </c>
      <c r="E294" s="6" t="s">
        <v>11</v>
      </c>
      <c r="F294" s="9">
        <v>4.5</v>
      </c>
      <c r="G294" s="9">
        <v>4.5</v>
      </c>
      <c r="H294" s="10">
        <v>0</v>
      </c>
      <c r="I294" s="11">
        <v>0</v>
      </c>
      <c r="J294" s="11">
        <v>0</v>
      </c>
      <c r="K294" s="12">
        <f t="shared" si="24"/>
        <v>0</v>
      </c>
      <c r="L294" s="12">
        <f t="shared" si="25"/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1">
        <v>0</v>
      </c>
      <c r="S294" s="6"/>
      <c r="T294" s="6"/>
      <c r="U294" s="6"/>
      <c r="V294" s="7" t="b">
        <v>0</v>
      </c>
      <c r="W294" s="8">
        <f>IFERROR(VLOOKUP(D294,Teams!$B$2:$I$21,6,FALSE),"")</f>
        <v>0</v>
      </c>
      <c r="X294" s="2" t="s">
        <v>65</v>
      </c>
      <c r="Y294" s="13"/>
      <c r="Z294" s="14"/>
      <c r="AA294" s="15">
        <f>IFERROR(H294/(H294+Priors!$G$3),0)</f>
        <v>0</v>
      </c>
      <c r="AB294" s="16">
        <f>VLOOKUP(E294,Priors!$A$3:$C$6,2,FALSE)</f>
        <v>0.15714383234350468</v>
      </c>
      <c r="AC294" s="16">
        <f>VLOOKUP(E294,Priors!$A$3:$C$6,3,FALSE)</f>
        <v>0.13222062939449797</v>
      </c>
      <c r="AD294" s="12">
        <f t="shared" si="26"/>
        <v>0.15714383234350468</v>
      </c>
      <c r="AE294" s="12">
        <f t="shared" si="27"/>
        <v>0.13222062939449797</v>
      </c>
      <c r="AF294" s="17">
        <v>1</v>
      </c>
      <c r="AG294" s="17">
        <v>1</v>
      </c>
      <c r="AH294" s="16">
        <f>IFERROR(VLOOKUP(D294,Teams!$B$2:$I$21,7,FALSE),1)</f>
        <v>1</v>
      </c>
      <c r="AI294" s="12">
        <f t="shared" si="28"/>
        <v>0.15714383234350468</v>
      </c>
      <c r="AJ294" s="12">
        <f t="shared" si="29"/>
        <v>0.13222062939449797</v>
      </c>
      <c r="AK294" s="6" t="s">
        <v>80</v>
      </c>
      <c r="AL294" s="18">
        <v>0</v>
      </c>
      <c r="AM294" s="23" t="s">
        <v>209</v>
      </c>
      <c r="AN294" s="24">
        <v>0</v>
      </c>
      <c r="AO294" s="25" t="b">
        <v>1</v>
      </c>
      <c r="AP294" s="23" t="s">
        <v>878</v>
      </c>
      <c r="AQ294" s="25" t="b">
        <v>0</v>
      </c>
      <c r="AR294" s="23"/>
      <c r="AS294" s="23" t="s">
        <v>68</v>
      </c>
    </row>
    <row r="295" spans="1:45" ht="60">
      <c r="A295" s="6">
        <v>292</v>
      </c>
      <c r="B295" s="6" t="s">
        <v>879</v>
      </c>
      <c r="C295" s="6" t="s">
        <v>880</v>
      </c>
      <c r="D295" s="6" t="s">
        <v>831</v>
      </c>
      <c r="E295" s="6" t="s">
        <v>11</v>
      </c>
      <c r="F295" s="9">
        <v>5</v>
      </c>
      <c r="G295" s="9">
        <v>5</v>
      </c>
      <c r="H295" s="10">
        <v>0</v>
      </c>
      <c r="I295" s="11">
        <v>0</v>
      </c>
      <c r="J295" s="11">
        <v>0</v>
      </c>
      <c r="K295" s="12">
        <f t="shared" si="24"/>
        <v>0</v>
      </c>
      <c r="L295" s="12">
        <f t="shared" si="25"/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1">
        <v>0</v>
      </c>
      <c r="S295" s="6"/>
      <c r="T295" s="6"/>
      <c r="U295" s="6"/>
      <c r="V295" s="7" t="b">
        <v>0</v>
      </c>
      <c r="W295" s="8">
        <f>IFERROR(VLOOKUP(D295,Teams!$B$2:$I$21,6,FALSE),"")</f>
        <v>0</v>
      </c>
      <c r="X295" s="2" t="s">
        <v>65</v>
      </c>
      <c r="Y295" s="13"/>
      <c r="Z295" s="14"/>
      <c r="AA295" s="15">
        <f>IFERROR(H295/(H295+Priors!$G$3),0)</f>
        <v>0</v>
      </c>
      <c r="AB295" s="16">
        <f>VLOOKUP(E295,Priors!$A$3:$C$6,2,FALSE)</f>
        <v>0.15714383234350468</v>
      </c>
      <c r="AC295" s="16">
        <f>VLOOKUP(E295,Priors!$A$3:$C$6,3,FALSE)</f>
        <v>0.13222062939449797</v>
      </c>
      <c r="AD295" s="12">
        <f t="shared" si="26"/>
        <v>0.15714383234350468</v>
      </c>
      <c r="AE295" s="12">
        <f t="shared" si="27"/>
        <v>0.13222062939449797</v>
      </c>
      <c r="AF295" s="17">
        <v>1</v>
      </c>
      <c r="AG295" s="17">
        <v>1</v>
      </c>
      <c r="AH295" s="16">
        <f>IFERROR(VLOOKUP(D295,Teams!$B$2:$I$21,7,FALSE),1)</f>
        <v>1</v>
      </c>
      <c r="AI295" s="12">
        <f t="shared" si="28"/>
        <v>0.15714383234350468</v>
      </c>
      <c r="AJ295" s="12">
        <f t="shared" si="29"/>
        <v>0.13222062939449797</v>
      </c>
      <c r="AK295" s="6" t="s">
        <v>66</v>
      </c>
      <c r="AL295" s="18"/>
      <c r="AM295" s="23"/>
      <c r="AN295" s="24">
        <v>0</v>
      </c>
      <c r="AO295" s="25" t="b">
        <v>1</v>
      </c>
      <c r="AP295" s="23" t="s">
        <v>609</v>
      </c>
      <c r="AQ295" s="25" t="b">
        <v>0</v>
      </c>
      <c r="AR295" s="23"/>
      <c r="AS295" s="23" t="s">
        <v>68</v>
      </c>
    </row>
    <row r="296" spans="1:45" ht="60">
      <c r="A296" s="6">
        <v>293</v>
      </c>
      <c r="B296" s="6" t="s">
        <v>202</v>
      </c>
      <c r="C296" s="6" t="s">
        <v>881</v>
      </c>
      <c r="D296" s="6" t="s">
        <v>831</v>
      </c>
      <c r="E296" s="6" t="s">
        <v>11</v>
      </c>
      <c r="F296" s="9">
        <v>5</v>
      </c>
      <c r="G296" s="9">
        <v>5</v>
      </c>
      <c r="H296" s="10">
        <v>0</v>
      </c>
      <c r="I296" s="11">
        <v>0</v>
      </c>
      <c r="J296" s="11">
        <v>0</v>
      </c>
      <c r="K296" s="12">
        <f t="shared" si="24"/>
        <v>0</v>
      </c>
      <c r="L296" s="12">
        <f t="shared" si="25"/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1">
        <v>0</v>
      </c>
      <c r="S296" s="6"/>
      <c r="T296" s="6"/>
      <c r="U296" s="6"/>
      <c r="V296" s="7" t="b">
        <v>0</v>
      </c>
      <c r="W296" s="8">
        <f>IFERROR(VLOOKUP(D296,Teams!$B$2:$I$21,6,FALSE),"")</f>
        <v>0</v>
      </c>
      <c r="X296" s="2" t="s">
        <v>65</v>
      </c>
      <c r="Y296" s="13"/>
      <c r="Z296" s="14"/>
      <c r="AA296" s="15">
        <f>IFERROR(H296/(H296+Priors!$G$3),0)</f>
        <v>0</v>
      </c>
      <c r="AB296" s="16">
        <f>VLOOKUP(E296,Priors!$A$3:$C$6,2,FALSE)</f>
        <v>0.15714383234350468</v>
      </c>
      <c r="AC296" s="16">
        <f>VLOOKUP(E296,Priors!$A$3:$C$6,3,FALSE)</f>
        <v>0.13222062939449797</v>
      </c>
      <c r="AD296" s="12">
        <f t="shared" si="26"/>
        <v>0.15714383234350468</v>
      </c>
      <c r="AE296" s="12">
        <f t="shared" si="27"/>
        <v>0.13222062939449797</v>
      </c>
      <c r="AF296" s="17">
        <v>1</v>
      </c>
      <c r="AG296" s="17">
        <v>1</v>
      </c>
      <c r="AH296" s="16">
        <f>IFERROR(VLOOKUP(D296,Teams!$B$2:$I$21,7,FALSE),1)</f>
        <v>1</v>
      </c>
      <c r="AI296" s="12">
        <f t="shared" si="28"/>
        <v>0.15714383234350468</v>
      </c>
      <c r="AJ296" s="12">
        <f t="shared" si="29"/>
        <v>0.13222062939449797</v>
      </c>
      <c r="AK296" s="6" t="s">
        <v>66</v>
      </c>
      <c r="AL296" s="18"/>
      <c r="AM296" s="23"/>
      <c r="AN296" s="24">
        <v>1E-3</v>
      </c>
      <c r="AO296" s="25" t="b">
        <v>1</v>
      </c>
      <c r="AP296" s="23" t="s">
        <v>705</v>
      </c>
      <c r="AQ296" s="25" t="b">
        <v>0</v>
      </c>
      <c r="AR296" s="23"/>
      <c r="AS296" s="23" t="s">
        <v>68</v>
      </c>
    </row>
    <row r="297" spans="1:45" ht="60">
      <c r="A297" s="6">
        <v>294</v>
      </c>
      <c r="B297" s="6" t="s">
        <v>882</v>
      </c>
      <c r="C297" s="6" t="s">
        <v>883</v>
      </c>
      <c r="D297" s="6" t="s">
        <v>831</v>
      </c>
      <c r="E297" s="6" t="s">
        <v>11</v>
      </c>
      <c r="F297" s="9">
        <v>4.5</v>
      </c>
      <c r="G297" s="9">
        <v>4.5</v>
      </c>
      <c r="H297" s="10">
        <v>0</v>
      </c>
      <c r="I297" s="11">
        <v>0</v>
      </c>
      <c r="J297" s="11">
        <v>0</v>
      </c>
      <c r="K297" s="12">
        <f t="shared" si="24"/>
        <v>0</v>
      </c>
      <c r="L297" s="12">
        <f t="shared" si="25"/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1">
        <v>0</v>
      </c>
      <c r="S297" s="6"/>
      <c r="T297" s="6"/>
      <c r="U297" s="6"/>
      <c r="V297" s="7" t="b">
        <v>1</v>
      </c>
      <c r="W297" s="8">
        <f>IFERROR(VLOOKUP(D297,Teams!$B$2:$I$21,6,FALSE),"")</f>
        <v>0</v>
      </c>
      <c r="X297" s="2" t="s">
        <v>65</v>
      </c>
      <c r="Y297" s="13"/>
      <c r="Z297" s="14"/>
      <c r="AA297" s="15">
        <f>IFERROR(H297/(H297+Priors!$G$3),0)</f>
        <v>0</v>
      </c>
      <c r="AB297" s="16">
        <f>VLOOKUP(E297,Priors!$A$3:$C$6,2,FALSE)</f>
        <v>0.15714383234350468</v>
      </c>
      <c r="AC297" s="16">
        <f>VLOOKUP(E297,Priors!$A$3:$C$6,3,FALSE)</f>
        <v>0.13222062939449797</v>
      </c>
      <c r="AD297" s="12">
        <f t="shared" si="26"/>
        <v>0.15714383234350468</v>
      </c>
      <c r="AE297" s="12">
        <f t="shared" si="27"/>
        <v>0.13222062939449797</v>
      </c>
      <c r="AF297" s="17">
        <v>1</v>
      </c>
      <c r="AG297" s="17">
        <v>1</v>
      </c>
      <c r="AH297" s="16">
        <f>IFERROR(VLOOKUP(D297,Teams!$B$2:$I$21,7,FALSE),1)</f>
        <v>1</v>
      </c>
      <c r="AI297" s="12">
        <f t="shared" si="28"/>
        <v>0.15714383234350468</v>
      </c>
      <c r="AJ297" s="12">
        <f t="shared" si="29"/>
        <v>0.13222062939449797</v>
      </c>
      <c r="AK297" s="6" t="s">
        <v>66</v>
      </c>
      <c r="AL297" s="18"/>
      <c r="AM297" s="23"/>
      <c r="AN297" s="24">
        <v>6.0000000000000001E-3</v>
      </c>
      <c r="AO297" s="25" t="b">
        <v>1</v>
      </c>
      <c r="AP297" s="23" t="s">
        <v>475</v>
      </c>
      <c r="AQ297" s="25" t="b">
        <v>0</v>
      </c>
      <c r="AR297" s="23"/>
      <c r="AS297" s="23" t="s">
        <v>68</v>
      </c>
    </row>
    <row r="298" spans="1:45" ht="60">
      <c r="A298" s="6">
        <v>295</v>
      </c>
      <c r="B298" s="6" t="s">
        <v>884</v>
      </c>
      <c r="C298" s="6" t="s">
        <v>885</v>
      </c>
      <c r="D298" s="6" t="s">
        <v>831</v>
      </c>
      <c r="E298" s="6" t="s">
        <v>14</v>
      </c>
      <c r="F298" s="9">
        <v>5.5</v>
      </c>
      <c r="G298" s="9">
        <v>5.5</v>
      </c>
      <c r="H298" s="10">
        <v>0</v>
      </c>
      <c r="I298" s="11">
        <v>0</v>
      </c>
      <c r="J298" s="11">
        <v>0</v>
      </c>
      <c r="K298" s="12">
        <f t="shared" si="24"/>
        <v>0</v>
      </c>
      <c r="L298" s="12">
        <f t="shared" si="25"/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1">
        <v>0</v>
      </c>
      <c r="S298" s="6">
        <v>2</v>
      </c>
      <c r="T298" s="6"/>
      <c r="U298" s="6"/>
      <c r="V298" s="7" t="b">
        <v>0</v>
      </c>
      <c r="W298" s="8">
        <f>IFERROR(VLOOKUP(D298,Teams!$B$2:$I$21,6,FALSE),"")</f>
        <v>0</v>
      </c>
      <c r="X298" s="2" t="s">
        <v>65</v>
      </c>
      <c r="Y298" s="13"/>
      <c r="Z298" s="14"/>
      <c r="AA298" s="15">
        <f>IFERROR(H298/(H298+Priors!$G$3),0)</f>
        <v>0</v>
      </c>
      <c r="AB298" s="16">
        <f>VLOOKUP(E298,Priors!$A$3:$C$6,2,FALSE)</f>
        <v>0.44625207326425426</v>
      </c>
      <c r="AC298" s="16">
        <f>VLOOKUP(E298,Priors!$A$3:$C$6,3,FALSE)</f>
        <v>5.8217260259314105E-2</v>
      </c>
      <c r="AD298" s="12">
        <f t="shared" si="26"/>
        <v>0.44625207326425426</v>
      </c>
      <c r="AE298" s="12">
        <f t="shared" si="27"/>
        <v>5.8217260259314105E-2</v>
      </c>
      <c r="AF298" s="17">
        <v>1</v>
      </c>
      <c r="AG298" s="17">
        <v>1</v>
      </c>
      <c r="AH298" s="16">
        <f>IFERROR(VLOOKUP(D298,Teams!$B$2:$I$21,7,FALSE),1)</f>
        <v>1</v>
      </c>
      <c r="AI298" s="12">
        <f t="shared" si="28"/>
        <v>0.44625207326425426</v>
      </c>
      <c r="AJ298" s="12">
        <f t="shared" si="29"/>
        <v>5.8217260259314105E-2</v>
      </c>
      <c r="AK298" s="6" t="s">
        <v>66</v>
      </c>
      <c r="AL298" s="18"/>
      <c r="AM298" s="23"/>
      <c r="AN298" s="24">
        <v>1.9E-2</v>
      </c>
      <c r="AO298" s="25" t="b">
        <v>1</v>
      </c>
      <c r="AP298" s="23" t="s">
        <v>742</v>
      </c>
      <c r="AQ298" s="25" t="b">
        <v>0</v>
      </c>
      <c r="AR298" s="23"/>
      <c r="AS298" s="23" t="s">
        <v>68</v>
      </c>
    </row>
    <row r="299" spans="1:45" ht="60">
      <c r="A299" s="6">
        <v>296</v>
      </c>
      <c r="B299" s="6" t="s">
        <v>886</v>
      </c>
      <c r="C299" s="6" t="s">
        <v>887</v>
      </c>
      <c r="D299" s="6" t="s">
        <v>831</v>
      </c>
      <c r="E299" s="6" t="s">
        <v>11</v>
      </c>
      <c r="F299" s="9">
        <v>5</v>
      </c>
      <c r="G299" s="9">
        <v>5</v>
      </c>
      <c r="H299" s="10">
        <v>0</v>
      </c>
      <c r="I299" s="11">
        <v>0</v>
      </c>
      <c r="J299" s="11">
        <v>0</v>
      </c>
      <c r="K299" s="12">
        <f t="shared" si="24"/>
        <v>0</v>
      </c>
      <c r="L299" s="12">
        <f t="shared" si="25"/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1">
        <v>0</v>
      </c>
      <c r="S299" s="6"/>
      <c r="T299" s="6"/>
      <c r="U299" s="6"/>
      <c r="V299" s="7" t="b">
        <v>0</v>
      </c>
      <c r="W299" s="8">
        <f>IFERROR(VLOOKUP(D299,Teams!$B$2:$I$21,6,FALSE),"")</f>
        <v>0</v>
      </c>
      <c r="X299" s="2" t="s">
        <v>65</v>
      </c>
      <c r="Y299" s="13"/>
      <c r="Z299" s="14"/>
      <c r="AA299" s="15">
        <f>IFERROR(H299/(H299+Priors!$G$3),0)</f>
        <v>0</v>
      </c>
      <c r="AB299" s="16">
        <f>VLOOKUP(E299,Priors!$A$3:$C$6,2,FALSE)</f>
        <v>0.15714383234350468</v>
      </c>
      <c r="AC299" s="16">
        <f>VLOOKUP(E299,Priors!$A$3:$C$6,3,FALSE)</f>
        <v>0.13222062939449797</v>
      </c>
      <c r="AD299" s="12">
        <f t="shared" si="26"/>
        <v>0.15714383234350468</v>
      </c>
      <c r="AE299" s="12">
        <f t="shared" si="27"/>
        <v>0.13222062939449797</v>
      </c>
      <c r="AF299" s="17">
        <v>1</v>
      </c>
      <c r="AG299" s="17">
        <v>1</v>
      </c>
      <c r="AH299" s="16">
        <f>IFERROR(VLOOKUP(D299,Teams!$B$2:$I$21,7,FALSE),1)</f>
        <v>1</v>
      </c>
      <c r="AI299" s="12">
        <f t="shared" si="28"/>
        <v>0.15714383234350468</v>
      </c>
      <c r="AJ299" s="12">
        <f t="shared" si="29"/>
        <v>0.13222062939449797</v>
      </c>
      <c r="AK299" s="6" t="s">
        <v>66</v>
      </c>
      <c r="AL299" s="18"/>
      <c r="AM299" s="23"/>
      <c r="AN299" s="24">
        <v>0</v>
      </c>
      <c r="AO299" s="25" t="b">
        <v>1</v>
      </c>
      <c r="AP299" s="23" t="s">
        <v>720</v>
      </c>
      <c r="AQ299" s="25" t="b">
        <v>0</v>
      </c>
      <c r="AR299" s="23"/>
      <c r="AS299" s="23" t="s">
        <v>68</v>
      </c>
    </row>
    <row r="300" spans="1:45" ht="60">
      <c r="A300" s="6">
        <v>297</v>
      </c>
      <c r="B300" s="6" t="s">
        <v>888</v>
      </c>
      <c r="C300" s="6" t="s">
        <v>889</v>
      </c>
      <c r="D300" s="6" t="s">
        <v>831</v>
      </c>
      <c r="E300" s="6" t="s">
        <v>11</v>
      </c>
      <c r="F300" s="9">
        <v>4.5</v>
      </c>
      <c r="G300" s="9">
        <v>4.5</v>
      </c>
      <c r="H300" s="10">
        <v>0</v>
      </c>
      <c r="I300" s="11">
        <v>0</v>
      </c>
      <c r="J300" s="11">
        <v>0</v>
      </c>
      <c r="K300" s="12">
        <f t="shared" si="24"/>
        <v>0</v>
      </c>
      <c r="L300" s="12">
        <f t="shared" si="25"/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1">
        <v>0</v>
      </c>
      <c r="S300" s="6"/>
      <c r="T300" s="6"/>
      <c r="U300" s="6"/>
      <c r="V300" s="7" t="b">
        <v>0</v>
      </c>
      <c r="W300" s="8">
        <f>IFERROR(VLOOKUP(D300,Teams!$B$2:$I$21,6,FALSE),"")</f>
        <v>0</v>
      </c>
      <c r="X300" s="2" t="s">
        <v>65</v>
      </c>
      <c r="Y300" s="13"/>
      <c r="Z300" s="14"/>
      <c r="AA300" s="15">
        <f>IFERROR(H300/(H300+Priors!$G$3),0)</f>
        <v>0</v>
      </c>
      <c r="AB300" s="16">
        <f>VLOOKUP(E300,Priors!$A$3:$C$6,2,FALSE)</f>
        <v>0.15714383234350468</v>
      </c>
      <c r="AC300" s="16">
        <f>VLOOKUP(E300,Priors!$A$3:$C$6,3,FALSE)</f>
        <v>0.13222062939449797</v>
      </c>
      <c r="AD300" s="12">
        <f t="shared" si="26"/>
        <v>0.15714383234350468</v>
      </c>
      <c r="AE300" s="12">
        <f t="shared" si="27"/>
        <v>0.13222062939449797</v>
      </c>
      <c r="AF300" s="17">
        <v>1</v>
      </c>
      <c r="AG300" s="17">
        <v>1</v>
      </c>
      <c r="AH300" s="16">
        <f>IFERROR(VLOOKUP(D300,Teams!$B$2:$I$21,7,FALSE),1)</f>
        <v>1</v>
      </c>
      <c r="AI300" s="12">
        <f t="shared" si="28"/>
        <v>0.15714383234350468</v>
      </c>
      <c r="AJ300" s="12">
        <f t="shared" si="29"/>
        <v>0.13222062939449797</v>
      </c>
      <c r="AK300" s="6" t="s">
        <v>66</v>
      </c>
      <c r="AL300" s="18"/>
      <c r="AM300" s="23"/>
      <c r="AN300" s="24">
        <v>2E-3</v>
      </c>
      <c r="AO300" s="25" t="b">
        <v>1</v>
      </c>
      <c r="AP300" s="23" t="s">
        <v>181</v>
      </c>
      <c r="AQ300" s="25" t="b">
        <v>0</v>
      </c>
      <c r="AR300" s="23"/>
      <c r="AS300" s="23" t="s">
        <v>68</v>
      </c>
    </row>
    <row r="301" spans="1:45" ht="60">
      <c r="A301" s="6">
        <v>298</v>
      </c>
      <c r="B301" s="6" t="s">
        <v>890</v>
      </c>
      <c r="C301" s="6" t="s">
        <v>891</v>
      </c>
      <c r="D301" s="6" t="s">
        <v>831</v>
      </c>
      <c r="E301" s="6" t="s">
        <v>14</v>
      </c>
      <c r="F301" s="9">
        <v>4.5</v>
      </c>
      <c r="G301" s="9">
        <v>4.5</v>
      </c>
      <c r="H301" s="10">
        <v>0</v>
      </c>
      <c r="I301" s="11">
        <v>0</v>
      </c>
      <c r="J301" s="11">
        <v>0</v>
      </c>
      <c r="K301" s="12">
        <f t="shared" si="24"/>
        <v>0</v>
      </c>
      <c r="L301" s="12">
        <f t="shared" si="25"/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1">
        <v>0</v>
      </c>
      <c r="S301" s="6"/>
      <c r="T301" s="6"/>
      <c r="U301" s="6"/>
      <c r="V301" s="7" t="b">
        <v>0</v>
      </c>
      <c r="W301" s="8">
        <f>IFERROR(VLOOKUP(D301,Teams!$B$2:$I$21,6,FALSE),"")</f>
        <v>0</v>
      </c>
      <c r="X301" s="2" t="s">
        <v>65</v>
      </c>
      <c r="Y301" s="13"/>
      <c r="Z301" s="14"/>
      <c r="AA301" s="15">
        <f>IFERROR(H301/(H301+Priors!$G$3),0)</f>
        <v>0</v>
      </c>
      <c r="AB301" s="16">
        <f>VLOOKUP(E301,Priors!$A$3:$C$6,2,FALSE)</f>
        <v>0.44625207326425426</v>
      </c>
      <c r="AC301" s="16">
        <f>VLOOKUP(E301,Priors!$A$3:$C$6,3,FALSE)</f>
        <v>5.8217260259314105E-2</v>
      </c>
      <c r="AD301" s="12">
        <f t="shared" si="26"/>
        <v>0.44625207326425426</v>
      </c>
      <c r="AE301" s="12">
        <f t="shared" si="27"/>
        <v>5.8217260259314105E-2</v>
      </c>
      <c r="AF301" s="17">
        <v>1</v>
      </c>
      <c r="AG301" s="17">
        <v>1</v>
      </c>
      <c r="AH301" s="16">
        <f>IFERROR(VLOOKUP(D301,Teams!$B$2:$I$21,7,FALSE),1)</f>
        <v>1</v>
      </c>
      <c r="AI301" s="12">
        <f t="shared" si="28"/>
        <v>0.44625207326425426</v>
      </c>
      <c r="AJ301" s="12">
        <f t="shared" si="29"/>
        <v>5.8217260259314105E-2</v>
      </c>
      <c r="AK301" s="6" t="s">
        <v>66</v>
      </c>
      <c r="AL301" s="18"/>
      <c r="AM301" s="23"/>
      <c r="AN301" s="24">
        <v>2.6000000000000002E-2</v>
      </c>
      <c r="AO301" s="25" t="b">
        <v>1</v>
      </c>
      <c r="AP301" s="23" t="s">
        <v>892</v>
      </c>
      <c r="AQ301" s="25" t="b">
        <v>0</v>
      </c>
      <c r="AR301" s="23"/>
      <c r="AS301" s="23" t="s">
        <v>68</v>
      </c>
    </row>
    <row r="302" spans="1:45" ht="60">
      <c r="A302" s="6">
        <v>299</v>
      </c>
      <c r="B302" s="6" t="s">
        <v>893</v>
      </c>
      <c r="C302" s="6" t="s">
        <v>894</v>
      </c>
      <c r="D302" s="6" t="s">
        <v>831</v>
      </c>
      <c r="E302" s="6" t="s">
        <v>14</v>
      </c>
      <c r="F302" s="9">
        <v>4.5</v>
      </c>
      <c r="G302" s="9">
        <v>4.5</v>
      </c>
      <c r="H302" s="10">
        <v>0</v>
      </c>
      <c r="I302" s="11">
        <v>0</v>
      </c>
      <c r="J302" s="11">
        <v>0</v>
      </c>
      <c r="K302" s="12">
        <f t="shared" si="24"/>
        <v>0</v>
      </c>
      <c r="L302" s="12">
        <f t="shared" si="25"/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1">
        <v>0</v>
      </c>
      <c r="S302" s="6"/>
      <c r="T302" s="6"/>
      <c r="U302" s="6"/>
      <c r="V302" s="7" t="b">
        <v>0</v>
      </c>
      <c r="W302" s="8">
        <f>IFERROR(VLOOKUP(D302,Teams!$B$2:$I$21,6,FALSE),"")</f>
        <v>0</v>
      </c>
      <c r="X302" s="2" t="s">
        <v>65</v>
      </c>
      <c r="Y302" s="13"/>
      <c r="Z302" s="14"/>
      <c r="AA302" s="15">
        <f>IFERROR(H302/(H302+Priors!$G$3),0)</f>
        <v>0</v>
      </c>
      <c r="AB302" s="16">
        <f>VLOOKUP(E302,Priors!$A$3:$C$6,2,FALSE)</f>
        <v>0.44625207326425426</v>
      </c>
      <c r="AC302" s="16">
        <f>VLOOKUP(E302,Priors!$A$3:$C$6,3,FALSE)</f>
        <v>5.8217260259314105E-2</v>
      </c>
      <c r="AD302" s="12">
        <f t="shared" si="26"/>
        <v>0.44625207326425426</v>
      </c>
      <c r="AE302" s="12">
        <f t="shared" si="27"/>
        <v>5.8217260259314105E-2</v>
      </c>
      <c r="AF302" s="17">
        <v>1</v>
      </c>
      <c r="AG302" s="17">
        <v>1</v>
      </c>
      <c r="AH302" s="16">
        <f>IFERROR(VLOOKUP(D302,Teams!$B$2:$I$21,7,FALSE),1)</f>
        <v>1</v>
      </c>
      <c r="AI302" s="12">
        <f t="shared" si="28"/>
        <v>0.44625207326425426</v>
      </c>
      <c r="AJ302" s="12">
        <f t="shared" si="29"/>
        <v>5.8217260259314105E-2</v>
      </c>
      <c r="AK302" s="6" t="s">
        <v>368</v>
      </c>
      <c r="AL302" s="18">
        <v>0</v>
      </c>
      <c r="AM302" s="23" t="s">
        <v>895</v>
      </c>
      <c r="AN302" s="24">
        <v>0.01</v>
      </c>
      <c r="AO302" s="25" t="b">
        <v>0</v>
      </c>
      <c r="AP302" s="23" t="s">
        <v>302</v>
      </c>
      <c r="AQ302" s="25" t="b">
        <v>0</v>
      </c>
      <c r="AR302" s="23"/>
      <c r="AS302" s="23" t="s">
        <v>68</v>
      </c>
    </row>
    <row r="303" spans="1:45" ht="60">
      <c r="A303" s="6">
        <v>556</v>
      </c>
      <c r="B303" s="6" t="s">
        <v>896</v>
      </c>
      <c r="C303" s="6" t="s">
        <v>897</v>
      </c>
      <c r="D303" s="6" t="s">
        <v>831</v>
      </c>
      <c r="E303" s="6" t="s">
        <v>9</v>
      </c>
      <c r="F303" s="9">
        <v>4</v>
      </c>
      <c r="G303" s="9">
        <v>4</v>
      </c>
      <c r="H303" s="10">
        <v>0</v>
      </c>
      <c r="I303" s="11">
        <v>0</v>
      </c>
      <c r="J303" s="11">
        <v>0</v>
      </c>
      <c r="K303" s="12">
        <f t="shared" si="24"/>
        <v>0</v>
      </c>
      <c r="L303" s="12">
        <f t="shared" si="25"/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1">
        <v>0</v>
      </c>
      <c r="S303" s="6"/>
      <c r="T303" s="6"/>
      <c r="U303" s="6"/>
      <c r="V303" s="7" t="b">
        <v>1</v>
      </c>
      <c r="W303" s="8">
        <f>IFERROR(VLOOKUP(D303,Teams!$B$2:$I$21,6,FALSE),"")</f>
        <v>0</v>
      </c>
      <c r="X303" s="2" t="s">
        <v>65</v>
      </c>
      <c r="Y303" s="13"/>
      <c r="Z303" s="14"/>
      <c r="AA303" s="15">
        <f>IFERROR(H303/(H303+Priors!$G$3),0)</f>
        <v>0</v>
      </c>
      <c r="AB303" s="16">
        <f>VLOOKUP(E303,Priors!$A$3:$C$6,2,FALSE)</f>
        <v>6.0081391379341341E-2</v>
      </c>
      <c r="AC303" s="16">
        <f>VLOOKUP(E303,Priors!$A$3:$C$6,3,FALSE)</f>
        <v>5.9588191961478354E-2</v>
      </c>
      <c r="AD303" s="12">
        <f t="shared" si="26"/>
        <v>6.0081391379341341E-2</v>
      </c>
      <c r="AE303" s="12">
        <f t="shared" si="27"/>
        <v>5.9588191961478354E-2</v>
      </c>
      <c r="AF303" s="17">
        <v>1</v>
      </c>
      <c r="AG303" s="17">
        <v>1</v>
      </c>
      <c r="AH303" s="16">
        <f>IFERROR(VLOOKUP(D303,Teams!$B$2:$I$21,7,FALSE),1)</f>
        <v>1</v>
      </c>
      <c r="AI303" s="12">
        <f t="shared" si="28"/>
        <v>6.0081391379341341E-2</v>
      </c>
      <c r="AJ303" s="12">
        <f t="shared" si="29"/>
        <v>5.9588191961478354E-2</v>
      </c>
      <c r="AK303" s="6" t="s">
        <v>66</v>
      </c>
      <c r="AL303" s="18"/>
      <c r="AM303" s="23"/>
      <c r="AN303" s="24">
        <v>2.4E-2</v>
      </c>
      <c r="AO303" s="25" t="b">
        <v>1</v>
      </c>
      <c r="AP303" s="23" t="s">
        <v>150</v>
      </c>
      <c r="AQ303" s="25" t="b">
        <v>0</v>
      </c>
      <c r="AR303" s="23"/>
      <c r="AS303" s="23" t="s">
        <v>68</v>
      </c>
    </row>
    <row r="304" spans="1:45" ht="60">
      <c r="A304" s="6">
        <v>563</v>
      </c>
      <c r="B304" s="6" t="s">
        <v>898</v>
      </c>
      <c r="C304" s="6" t="s">
        <v>899</v>
      </c>
      <c r="D304" s="6" t="s">
        <v>831</v>
      </c>
      <c r="E304" s="6" t="s">
        <v>11</v>
      </c>
      <c r="F304" s="9">
        <v>5</v>
      </c>
      <c r="G304" s="9">
        <v>5</v>
      </c>
      <c r="H304" s="10">
        <v>0</v>
      </c>
      <c r="I304" s="11">
        <v>0</v>
      </c>
      <c r="J304" s="11">
        <v>0</v>
      </c>
      <c r="K304" s="12">
        <f t="shared" si="24"/>
        <v>0</v>
      </c>
      <c r="L304" s="12">
        <f t="shared" si="25"/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1">
        <v>0</v>
      </c>
      <c r="S304" s="6"/>
      <c r="T304" s="6"/>
      <c r="U304" s="6"/>
      <c r="V304" s="7" t="b">
        <v>1</v>
      </c>
      <c r="W304" s="8">
        <f>IFERROR(VLOOKUP(D304,Teams!$B$2:$I$21,6,FALSE),"")</f>
        <v>0</v>
      </c>
      <c r="X304" s="2" t="s">
        <v>65</v>
      </c>
      <c r="Y304" s="13"/>
      <c r="Z304" s="14"/>
      <c r="AA304" s="15">
        <f>IFERROR(H304/(H304+Priors!$G$3),0)</f>
        <v>0</v>
      </c>
      <c r="AB304" s="16">
        <f>VLOOKUP(E304,Priors!$A$3:$C$6,2,FALSE)</f>
        <v>0.15714383234350468</v>
      </c>
      <c r="AC304" s="16">
        <f>VLOOKUP(E304,Priors!$A$3:$C$6,3,FALSE)</f>
        <v>0.13222062939449797</v>
      </c>
      <c r="AD304" s="12">
        <f t="shared" si="26"/>
        <v>0.15714383234350468</v>
      </c>
      <c r="AE304" s="12">
        <f t="shared" si="27"/>
        <v>0.13222062939449797</v>
      </c>
      <c r="AF304" s="17">
        <v>1</v>
      </c>
      <c r="AG304" s="17">
        <v>1</v>
      </c>
      <c r="AH304" s="16">
        <f>IFERROR(VLOOKUP(D304,Teams!$B$2:$I$21,7,FALSE),1)</f>
        <v>1</v>
      </c>
      <c r="AI304" s="12">
        <f t="shared" si="28"/>
        <v>0.15714383234350468</v>
      </c>
      <c r="AJ304" s="12">
        <f t="shared" si="29"/>
        <v>0.13222062939449797</v>
      </c>
      <c r="AK304" s="6" t="s">
        <v>66</v>
      </c>
      <c r="AL304" s="18"/>
      <c r="AM304" s="23"/>
      <c r="AN304" s="24">
        <v>1E-3</v>
      </c>
      <c r="AO304" s="25" t="b">
        <v>1</v>
      </c>
      <c r="AP304" s="23" t="s">
        <v>900</v>
      </c>
      <c r="AQ304" s="25" t="b">
        <v>0</v>
      </c>
      <c r="AR304" s="23"/>
      <c r="AS304" s="23" t="s">
        <v>68</v>
      </c>
    </row>
    <row r="305" spans="1:45" ht="60">
      <c r="A305" s="6">
        <v>259</v>
      </c>
      <c r="B305" s="6" t="s">
        <v>901</v>
      </c>
      <c r="C305" s="6" t="s">
        <v>902</v>
      </c>
      <c r="D305" s="6" t="s">
        <v>903</v>
      </c>
      <c r="E305" s="6" t="s">
        <v>9</v>
      </c>
      <c r="F305" s="9">
        <v>4</v>
      </c>
      <c r="G305" s="9">
        <v>4</v>
      </c>
      <c r="H305" s="10">
        <v>812</v>
      </c>
      <c r="I305" s="11">
        <v>0.8</v>
      </c>
      <c r="J305" s="11">
        <v>0.05</v>
      </c>
      <c r="K305" s="12">
        <f t="shared" si="24"/>
        <v>8.8669950738916259E-2</v>
      </c>
      <c r="L305" s="12">
        <f t="shared" si="25"/>
        <v>5.5418719211822662E-3</v>
      </c>
      <c r="M305" s="10">
        <v>1</v>
      </c>
      <c r="N305" s="10">
        <v>0</v>
      </c>
      <c r="O305" s="10">
        <v>31</v>
      </c>
      <c r="P305" s="10">
        <v>2.4</v>
      </c>
      <c r="Q305" s="10">
        <v>8</v>
      </c>
      <c r="R305" s="11">
        <v>6.76</v>
      </c>
      <c r="S305" s="6"/>
      <c r="T305" s="6"/>
      <c r="U305" s="6"/>
      <c r="V305" s="7" t="b">
        <v>1</v>
      </c>
      <c r="W305" s="8">
        <f>IFERROR(VLOOKUP(D305,Teams!$B$2:$I$21,6,FALSE),"")</f>
        <v>0</v>
      </c>
      <c r="X305" s="2" t="s">
        <v>65</v>
      </c>
      <c r="Y305" s="13"/>
      <c r="Z305" s="14"/>
      <c r="AA305" s="15">
        <f>IFERROR(H305/(H305+Priors!$G$3),0)</f>
        <v>0.44812362030905079</v>
      </c>
      <c r="AB305" s="16">
        <f>VLOOKUP(E305,Priors!$A$3:$C$6,2,FALSE)</f>
        <v>6.0081391379341341E-2</v>
      </c>
      <c r="AC305" s="16">
        <f>VLOOKUP(E305,Priors!$A$3:$C$6,3,FALSE)</f>
        <v>5.9588191961478354E-2</v>
      </c>
      <c r="AD305" s="12">
        <f t="shared" si="26"/>
        <v>7.2892600098974247E-2</v>
      </c>
      <c r="AE305" s="12">
        <f t="shared" si="27"/>
        <v>3.5368759360639261E-2</v>
      </c>
      <c r="AF305" s="17">
        <v>1</v>
      </c>
      <c r="AG305" s="17">
        <v>1</v>
      </c>
      <c r="AH305" s="16">
        <f>IFERROR(VLOOKUP(D305,Teams!$B$2:$I$21,7,FALSE),1)</f>
        <v>1</v>
      </c>
      <c r="AI305" s="12">
        <f t="shared" si="28"/>
        <v>7.2892600098974247E-2</v>
      </c>
      <c r="AJ305" s="12">
        <f t="shared" si="29"/>
        <v>3.5368759360639261E-2</v>
      </c>
      <c r="AK305" s="6" t="s">
        <v>66</v>
      </c>
      <c r="AL305" s="18"/>
      <c r="AM305" s="23"/>
      <c r="AN305" s="24">
        <v>0.2</v>
      </c>
      <c r="AO305" s="25" t="b">
        <v>1</v>
      </c>
      <c r="AP305" s="23" t="s">
        <v>904</v>
      </c>
      <c r="AQ305" s="25" t="b">
        <v>0</v>
      </c>
      <c r="AR305" s="23"/>
      <c r="AS305" s="23" t="s">
        <v>68</v>
      </c>
    </row>
    <row r="306" spans="1:45" ht="60">
      <c r="A306" s="6">
        <v>300</v>
      </c>
      <c r="B306" s="6" t="s">
        <v>905</v>
      </c>
      <c r="C306" s="6" t="s">
        <v>906</v>
      </c>
      <c r="D306" s="6" t="s">
        <v>903</v>
      </c>
      <c r="E306" s="6" t="s">
        <v>7</v>
      </c>
      <c r="F306" s="9">
        <v>4.5</v>
      </c>
      <c r="G306" s="9">
        <v>4.5</v>
      </c>
      <c r="H306" s="10">
        <v>0</v>
      </c>
      <c r="I306" s="11">
        <v>0</v>
      </c>
      <c r="J306" s="11">
        <v>0</v>
      </c>
      <c r="K306" s="12">
        <f t="shared" si="24"/>
        <v>0</v>
      </c>
      <c r="L306" s="12">
        <f t="shared" si="25"/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1">
        <v>0</v>
      </c>
      <c r="S306" s="6"/>
      <c r="T306" s="6"/>
      <c r="U306" s="6"/>
      <c r="V306" s="7" t="b">
        <v>0</v>
      </c>
      <c r="W306" s="8">
        <f>IFERROR(VLOOKUP(D306,Teams!$B$2:$I$21,6,FALSE),"")</f>
        <v>0</v>
      </c>
      <c r="X306" s="2" t="s">
        <v>65</v>
      </c>
      <c r="Y306" s="13"/>
      <c r="Z306" s="14"/>
      <c r="AA306" s="15">
        <f>IFERROR(H306/(H306+Priors!$G$3),0)</f>
        <v>0</v>
      </c>
      <c r="AB306" s="16">
        <f>VLOOKUP(E306,Priors!$A$3:$C$6,2,FALSE)</f>
        <v>2.4013207263995197E-4</v>
      </c>
      <c r="AC306" s="16">
        <f>VLOOKUP(E306,Priors!$A$3:$C$6,3,FALSE)</f>
        <v>1.9810895992796044E-3</v>
      </c>
      <c r="AD306" s="12">
        <f t="shared" si="26"/>
        <v>2.4013207263995197E-4</v>
      </c>
      <c r="AE306" s="12">
        <f t="shared" si="27"/>
        <v>1.9810895992796044E-3</v>
      </c>
      <c r="AF306" s="17">
        <v>1</v>
      </c>
      <c r="AG306" s="17">
        <v>1</v>
      </c>
      <c r="AH306" s="16">
        <f>IFERROR(VLOOKUP(D306,Teams!$B$2:$I$21,7,FALSE),1)</f>
        <v>1</v>
      </c>
      <c r="AI306" s="12">
        <f t="shared" si="28"/>
        <v>2.4013207263995197E-4</v>
      </c>
      <c r="AJ306" s="12">
        <f t="shared" si="29"/>
        <v>1.9810895992796044E-3</v>
      </c>
      <c r="AK306" s="6" t="s">
        <v>66</v>
      </c>
      <c r="AL306" s="18"/>
      <c r="AM306" s="23"/>
      <c r="AN306" s="24">
        <v>6.0000000000000001E-3</v>
      </c>
      <c r="AO306" s="25" t="b">
        <v>1</v>
      </c>
      <c r="AP306" s="23" t="s">
        <v>907</v>
      </c>
      <c r="AQ306" s="25" t="b">
        <v>0</v>
      </c>
      <c r="AR306" s="23"/>
      <c r="AS306" s="23" t="s">
        <v>68</v>
      </c>
    </row>
    <row r="307" spans="1:45" ht="60">
      <c r="A307" s="6">
        <v>301</v>
      </c>
      <c r="B307" s="6" t="s">
        <v>519</v>
      </c>
      <c r="C307" s="6" t="s">
        <v>908</v>
      </c>
      <c r="D307" s="6" t="s">
        <v>903</v>
      </c>
      <c r="E307" s="6" t="s">
        <v>7</v>
      </c>
      <c r="F307" s="9">
        <v>4</v>
      </c>
      <c r="G307" s="9">
        <v>4</v>
      </c>
      <c r="H307" s="10">
        <v>0</v>
      </c>
      <c r="I307" s="11">
        <v>0</v>
      </c>
      <c r="J307" s="11">
        <v>0</v>
      </c>
      <c r="K307" s="12">
        <f t="shared" si="24"/>
        <v>0</v>
      </c>
      <c r="L307" s="12">
        <f t="shared" si="25"/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1">
        <v>0</v>
      </c>
      <c r="S307" s="6"/>
      <c r="T307" s="6"/>
      <c r="U307" s="6"/>
      <c r="V307" s="7" t="b">
        <v>0</v>
      </c>
      <c r="W307" s="8">
        <f>IFERROR(VLOOKUP(D307,Teams!$B$2:$I$21,6,FALSE),"")</f>
        <v>0</v>
      </c>
      <c r="X307" s="2" t="s">
        <v>65</v>
      </c>
      <c r="Y307" s="13"/>
      <c r="Z307" s="14"/>
      <c r="AA307" s="15">
        <f>IFERROR(H307/(H307+Priors!$G$3),0)</f>
        <v>0</v>
      </c>
      <c r="AB307" s="16">
        <f>VLOOKUP(E307,Priors!$A$3:$C$6,2,FALSE)</f>
        <v>2.4013207263995197E-4</v>
      </c>
      <c r="AC307" s="16">
        <f>VLOOKUP(E307,Priors!$A$3:$C$6,3,FALSE)</f>
        <v>1.9810895992796044E-3</v>
      </c>
      <c r="AD307" s="12">
        <f t="shared" si="26"/>
        <v>2.4013207263995197E-4</v>
      </c>
      <c r="AE307" s="12">
        <f t="shared" si="27"/>
        <v>1.9810895992796044E-3</v>
      </c>
      <c r="AF307" s="17">
        <v>1</v>
      </c>
      <c r="AG307" s="17">
        <v>1</v>
      </c>
      <c r="AH307" s="16">
        <f>IFERROR(VLOOKUP(D307,Teams!$B$2:$I$21,7,FALSE),1)</f>
        <v>1</v>
      </c>
      <c r="AI307" s="12">
        <f t="shared" si="28"/>
        <v>2.4013207263995197E-4</v>
      </c>
      <c r="AJ307" s="12">
        <f t="shared" si="29"/>
        <v>1.9810895992796044E-3</v>
      </c>
      <c r="AK307" s="6" t="s">
        <v>66</v>
      </c>
      <c r="AL307" s="18"/>
      <c r="AM307" s="23"/>
      <c r="AN307" s="24">
        <v>5.7999999999999996E-2</v>
      </c>
      <c r="AO307" s="25" t="b">
        <v>1</v>
      </c>
      <c r="AP307" s="23" t="s">
        <v>460</v>
      </c>
      <c r="AQ307" s="25" t="b">
        <v>0</v>
      </c>
      <c r="AR307" s="23"/>
      <c r="AS307" s="23" t="s">
        <v>68</v>
      </c>
    </row>
    <row r="308" spans="1:45" ht="60">
      <c r="A308" s="6">
        <v>302</v>
      </c>
      <c r="B308" s="6" t="s">
        <v>909</v>
      </c>
      <c r="C308" s="6" t="s">
        <v>910</v>
      </c>
      <c r="D308" s="6" t="s">
        <v>903</v>
      </c>
      <c r="E308" s="6" t="s">
        <v>7</v>
      </c>
      <c r="F308" s="9">
        <v>4</v>
      </c>
      <c r="G308" s="9">
        <v>4</v>
      </c>
      <c r="H308" s="10">
        <v>0</v>
      </c>
      <c r="I308" s="11">
        <v>0</v>
      </c>
      <c r="J308" s="11">
        <v>0</v>
      </c>
      <c r="K308" s="12">
        <f t="shared" si="24"/>
        <v>0</v>
      </c>
      <c r="L308" s="12">
        <f t="shared" si="25"/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1">
        <v>0</v>
      </c>
      <c r="S308" s="6"/>
      <c r="T308" s="6"/>
      <c r="U308" s="6"/>
      <c r="V308" s="7" t="b">
        <v>0</v>
      </c>
      <c r="W308" s="8">
        <f>IFERROR(VLOOKUP(D308,Teams!$B$2:$I$21,6,FALSE),"")</f>
        <v>0</v>
      </c>
      <c r="X308" s="2" t="s">
        <v>65</v>
      </c>
      <c r="Y308" s="13"/>
      <c r="Z308" s="14"/>
      <c r="AA308" s="15">
        <f>IFERROR(H308/(H308+Priors!$G$3),0)</f>
        <v>0</v>
      </c>
      <c r="AB308" s="16">
        <f>VLOOKUP(E308,Priors!$A$3:$C$6,2,FALSE)</f>
        <v>2.4013207263995197E-4</v>
      </c>
      <c r="AC308" s="16">
        <f>VLOOKUP(E308,Priors!$A$3:$C$6,3,FALSE)</f>
        <v>1.9810895992796044E-3</v>
      </c>
      <c r="AD308" s="12">
        <f t="shared" si="26"/>
        <v>2.4013207263995197E-4</v>
      </c>
      <c r="AE308" s="12">
        <f t="shared" si="27"/>
        <v>1.9810895992796044E-3</v>
      </c>
      <c r="AF308" s="17">
        <v>1</v>
      </c>
      <c r="AG308" s="17">
        <v>1</v>
      </c>
      <c r="AH308" s="16">
        <f>IFERROR(VLOOKUP(D308,Teams!$B$2:$I$21,7,FALSE),1)</f>
        <v>1</v>
      </c>
      <c r="AI308" s="12">
        <f t="shared" si="28"/>
        <v>2.4013207263995197E-4</v>
      </c>
      <c r="AJ308" s="12">
        <f t="shared" si="29"/>
        <v>1.9810895992796044E-3</v>
      </c>
      <c r="AK308" s="6" t="s">
        <v>66</v>
      </c>
      <c r="AL308" s="18"/>
      <c r="AM308" s="23"/>
      <c r="AN308" s="24">
        <v>6.0000000000000001E-3</v>
      </c>
      <c r="AO308" s="25" t="b">
        <v>1</v>
      </c>
      <c r="AP308" s="23" t="s">
        <v>911</v>
      </c>
      <c r="AQ308" s="25" t="b">
        <v>0</v>
      </c>
      <c r="AR308" s="23"/>
      <c r="AS308" s="23" t="s">
        <v>68</v>
      </c>
    </row>
    <row r="309" spans="1:45" ht="60">
      <c r="A309" s="6">
        <v>303</v>
      </c>
      <c r="B309" s="6" t="s">
        <v>912</v>
      </c>
      <c r="C309" s="6" t="s">
        <v>913</v>
      </c>
      <c r="D309" s="6" t="s">
        <v>903</v>
      </c>
      <c r="E309" s="6" t="s">
        <v>9</v>
      </c>
      <c r="F309" s="9">
        <v>4</v>
      </c>
      <c r="G309" s="9">
        <v>4</v>
      </c>
      <c r="H309" s="10">
        <v>0</v>
      </c>
      <c r="I309" s="11">
        <v>0</v>
      </c>
      <c r="J309" s="11">
        <v>0</v>
      </c>
      <c r="K309" s="12">
        <f t="shared" si="24"/>
        <v>0</v>
      </c>
      <c r="L309" s="12">
        <f t="shared" si="25"/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1">
        <v>0</v>
      </c>
      <c r="S309" s="6"/>
      <c r="T309" s="6"/>
      <c r="U309" s="6"/>
      <c r="V309" s="7" t="b">
        <v>1</v>
      </c>
      <c r="W309" s="8">
        <f>IFERROR(VLOOKUP(D309,Teams!$B$2:$I$21,6,FALSE),"")</f>
        <v>0</v>
      </c>
      <c r="X309" s="2" t="s">
        <v>65</v>
      </c>
      <c r="Y309" s="13"/>
      <c r="Z309" s="14"/>
      <c r="AA309" s="15">
        <f>IFERROR(H309/(H309+Priors!$G$3),0)</f>
        <v>0</v>
      </c>
      <c r="AB309" s="16">
        <f>VLOOKUP(E309,Priors!$A$3:$C$6,2,FALSE)</f>
        <v>6.0081391379341341E-2</v>
      </c>
      <c r="AC309" s="16">
        <f>VLOOKUP(E309,Priors!$A$3:$C$6,3,FALSE)</f>
        <v>5.9588191961478354E-2</v>
      </c>
      <c r="AD309" s="12">
        <f t="shared" si="26"/>
        <v>6.0081391379341341E-2</v>
      </c>
      <c r="AE309" s="12">
        <f t="shared" si="27"/>
        <v>5.9588191961478354E-2</v>
      </c>
      <c r="AF309" s="17">
        <v>1</v>
      </c>
      <c r="AG309" s="17">
        <v>1</v>
      </c>
      <c r="AH309" s="16">
        <f>IFERROR(VLOOKUP(D309,Teams!$B$2:$I$21,7,FALSE),1)</f>
        <v>1</v>
      </c>
      <c r="AI309" s="12">
        <f t="shared" si="28"/>
        <v>6.0081391379341341E-2</v>
      </c>
      <c r="AJ309" s="12">
        <f t="shared" si="29"/>
        <v>5.9588191961478354E-2</v>
      </c>
      <c r="AK309" s="6" t="s">
        <v>66</v>
      </c>
      <c r="AL309" s="18"/>
      <c r="AM309" s="23"/>
      <c r="AN309" s="24">
        <v>3.0000000000000001E-3</v>
      </c>
      <c r="AO309" s="25" t="b">
        <v>1</v>
      </c>
      <c r="AP309" s="23" t="s">
        <v>95</v>
      </c>
      <c r="AQ309" s="25" t="b">
        <v>0</v>
      </c>
      <c r="AR309" s="23"/>
      <c r="AS309" s="23" t="s">
        <v>68</v>
      </c>
    </row>
    <row r="310" spans="1:45" ht="60">
      <c r="A310" s="6">
        <v>304</v>
      </c>
      <c r="B310" s="6" t="s">
        <v>914</v>
      </c>
      <c r="C310" s="6" t="s">
        <v>915</v>
      </c>
      <c r="D310" s="6" t="s">
        <v>903</v>
      </c>
      <c r="E310" s="6" t="s">
        <v>9</v>
      </c>
      <c r="F310" s="9">
        <v>4</v>
      </c>
      <c r="G310" s="9">
        <v>4</v>
      </c>
      <c r="H310" s="10">
        <v>0</v>
      </c>
      <c r="I310" s="11">
        <v>0</v>
      </c>
      <c r="J310" s="11">
        <v>0</v>
      </c>
      <c r="K310" s="12">
        <f t="shared" si="24"/>
        <v>0</v>
      </c>
      <c r="L310" s="12">
        <f t="shared" si="25"/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1">
        <v>0</v>
      </c>
      <c r="S310" s="6"/>
      <c r="T310" s="6"/>
      <c r="U310" s="6"/>
      <c r="V310" s="7" t="b">
        <v>0</v>
      </c>
      <c r="W310" s="8">
        <f>IFERROR(VLOOKUP(D310,Teams!$B$2:$I$21,6,FALSE),"")</f>
        <v>0</v>
      </c>
      <c r="X310" s="2" t="s">
        <v>65</v>
      </c>
      <c r="Y310" s="13"/>
      <c r="Z310" s="14"/>
      <c r="AA310" s="15">
        <f>IFERROR(H310/(H310+Priors!$G$3),0)</f>
        <v>0</v>
      </c>
      <c r="AB310" s="16">
        <f>VLOOKUP(E310,Priors!$A$3:$C$6,2,FALSE)</f>
        <v>6.0081391379341341E-2</v>
      </c>
      <c r="AC310" s="16">
        <f>VLOOKUP(E310,Priors!$A$3:$C$6,3,FALSE)</f>
        <v>5.9588191961478354E-2</v>
      </c>
      <c r="AD310" s="12">
        <f t="shared" si="26"/>
        <v>6.0081391379341341E-2</v>
      </c>
      <c r="AE310" s="12">
        <f t="shared" si="27"/>
        <v>5.9588191961478354E-2</v>
      </c>
      <c r="AF310" s="17">
        <v>1</v>
      </c>
      <c r="AG310" s="17">
        <v>1</v>
      </c>
      <c r="AH310" s="16">
        <f>IFERROR(VLOOKUP(D310,Teams!$B$2:$I$21,7,FALSE),1)</f>
        <v>1</v>
      </c>
      <c r="AI310" s="12">
        <f t="shared" si="28"/>
        <v>6.0081391379341341E-2</v>
      </c>
      <c r="AJ310" s="12">
        <f t="shared" si="29"/>
        <v>5.9588191961478354E-2</v>
      </c>
      <c r="AK310" s="6" t="s">
        <v>66</v>
      </c>
      <c r="AL310" s="18"/>
      <c r="AM310" s="23"/>
      <c r="AN310" s="24">
        <v>1.3000000000000001E-2</v>
      </c>
      <c r="AO310" s="25" t="b">
        <v>1</v>
      </c>
      <c r="AP310" s="23" t="s">
        <v>916</v>
      </c>
      <c r="AQ310" s="25" t="b">
        <v>0</v>
      </c>
      <c r="AR310" s="23"/>
      <c r="AS310" s="23" t="s">
        <v>68</v>
      </c>
    </row>
    <row r="311" spans="1:45" ht="60">
      <c r="A311" s="6">
        <v>305</v>
      </c>
      <c r="B311" s="6" t="s">
        <v>917</v>
      </c>
      <c r="C311" s="6" t="s">
        <v>918</v>
      </c>
      <c r="D311" s="6" t="s">
        <v>903</v>
      </c>
      <c r="E311" s="6" t="s">
        <v>9</v>
      </c>
      <c r="F311" s="9">
        <v>4</v>
      </c>
      <c r="G311" s="9">
        <v>4</v>
      </c>
      <c r="H311" s="10">
        <v>0</v>
      </c>
      <c r="I311" s="11">
        <v>0</v>
      </c>
      <c r="J311" s="11">
        <v>0</v>
      </c>
      <c r="K311" s="12">
        <f t="shared" si="24"/>
        <v>0</v>
      </c>
      <c r="L311" s="12">
        <f t="shared" si="25"/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1">
        <v>0</v>
      </c>
      <c r="S311" s="6"/>
      <c r="T311" s="6">
        <v>2</v>
      </c>
      <c r="U311" s="6">
        <v>6</v>
      </c>
      <c r="V311" s="7" t="b">
        <v>0</v>
      </c>
      <c r="W311" s="8">
        <f>IFERROR(VLOOKUP(D311,Teams!$B$2:$I$21,6,FALSE),"")</f>
        <v>0</v>
      </c>
      <c r="X311" s="2" t="s">
        <v>65</v>
      </c>
      <c r="Y311" s="13"/>
      <c r="Z311" s="14"/>
      <c r="AA311" s="15">
        <f>IFERROR(H311/(H311+Priors!$G$3),0)</f>
        <v>0</v>
      </c>
      <c r="AB311" s="16">
        <f>VLOOKUP(E311,Priors!$A$3:$C$6,2,FALSE)</f>
        <v>6.0081391379341341E-2</v>
      </c>
      <c r="AC311" s="16">
        <f>VLOOKUP(E311,Priors!$A$3:$C$6,3,FALSE)</f>
        <v>5.9588191961478354E-2</v>
      </c>
      <c r="AD311" s="12">
        <f t="shared" si="26"/>
        <v>6.0081391379341341E-2</v>
      </c>
      <c r="AE311" s="12">
        <f t="shared" si="27"/>
        <v>5.9588191961478354E-2</v>
      </c>
      <c r="AF311" s="17">
        <v>1</v>
      </c>
      <c r="AG311" s="17">
        <v>1</v>
      </c>
      <c r="AH311" s="16">
        <f>IFERROR(VLOOKUP(D311,Teams!$B$2:$I$21,7,FALSE),1)</f>
        <v>1</v>
      </c>
      <c r="AI311" s="12">
        <f t="shared" si="28"/>
        <v>6.0081391379341341E-2</v>
      </c>
      <c r="AJ311" s="12">
        <f t="shared" si="29"/>
        <v>5.9588191961478354E-2</v>
      </c>
      <c r="AK311" s="6" t="s">
        <v>66</v>
      </c>
      <c r="AL311" s="18"/>
      <c r="AM311" s="23"/>
      <c r="AN311" s="24">
        <v>3.5000000000000003E-2</v>
      </c>
      <c r="AO311" s="25" t="b">
        <v>1</v>
      </c>
      <c r="AP311" s="23" t="s">
        <v>919</v>
      </c>
      <c r="AQ311" s="25" t="b">
        <v>0</v>
      </c>
      <c r="AR311" s="23"/>
      <c r="AS311" s="23" t="s">
        <v>68</v>
      </c>
    </row>
    <row r="312" spans="1:45" ht="60">
      <c r="A312" s="6">
        <v>306</v>
      </c>
      <c r="B312" s="6" t="s">
        <v>920</v>
      </c>
      <c r="C312" s="6" t="s">
        <v>921</v>
      </c>
      <c r="D312" s="6" t="s">
        <v>903</v>
      </c>
      <c r="E312" s="6" t="s">
        <v>9</v>
      </c>
      <c r="F312" s="9">
        <v>4</v>
      </c>
      <c r="G312" s="9">
        <v>4</v>
      </c>
      <c r="H312" s="10">
        <v>0</v>
      </c>
      <c r="I312" s="11">
        <v>0</v>
      </c>
      <c r="J312" s="11">
        <v>0</v>
      </c>
      <c r="K312" s="12">
        <f t="shared" si="24"/>
        <v>0</v>
      </c>
      <c r="L312" s="12">
        <f t="shared" si="25"/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1">
        <v>0</v>
      </c>
      <c r="S312" s="6"/>
      <c r="T312" s="6"/>
      <c r="U312" s="6"/>
      <c r="V312" s="7" t="b">
        <v>0</v>
      </c>
      <c r="W312" s="8">
        <f>IFERROR(VLOOKUP(D312,Teams!$B$2:$I$21,6,FALSE),"")</f>
        <v>0</v>
      </c>
      <c r="X312" s="2" t="s">
        <v>65</v>
      </c>
      <c r="Y312" s="13"/>
      <c r="Z312" s="14"/>
      <c r="AA312" s="15">
        <f>IFERROR(H312/(H312+Priors!$G$3),0)</f>
        <v>0</v>
      </c>
      <c r="AB312" s="16">
        <f>VLOOKUP(E312,Priors!$A$3:$C$6,2,FALSE)</f>
        <v>6.0081391379341341E-2</v>
      </c>
      <c r="AC312" s="16">
        <f>VLOOKUP(E312,Priors!$A$3:$C$6,3,FALSE)</f>
        <v>5.9588191961478354E-2</v>
      </c>
      <c r="AD312" s="12">
        <f t="shared" si="26"/>
        <v>6.0081391379341341E-2</v>
      </c>
      <c r="AE312" s="12">
        <f t="shared" si="27"/>
        <v>5.9588191961478354E-2</v>
      </c>
      <c r="AF312" s="17">
        <v>1</v>
      </c>
      <c r="AG312" s="17">
        <v>1</v>
      </c>
      <c r="AH312" s="16">
        <f>IFERROR(VLOOKUP(D312,Teams!$B$2:$I$21,7,FALSE),1)</f>
        <v>1</v>
      </c>
      <c r="AI312" s="12">
        <f t="shared" si="28"/>
        <v>6.0081391379341341E-2</v>
      </c>
      <c r="AJ312" s="12">
        <f t="shared" si="29"/>
        <v>5.9588191961478354E-2</v>
      </c>
      <c r="AK312" s="6" t="s">
        <v>66</v>
      </c>
      <c r="AL312" s="18"/>
      <c r="AM312" s="23"/>
      <c r="AN312" s="24">
        <v>5.0000000000000001E-3</v>
      </c>
      <c r="AO312" s="25" t="b">
        <v>1</v>
      </c>
      <c r="AP312" s="23" t="s">
        <v>922</v>
      </c>
      <c r="AQ312" s="25" t="b">
        <v>0</v>
      </c>
      <c r="AR312" s="23"/>
      <c r="AS312" s="23" t="s">
        <v>68</v>
      </c>
    </row>
    <row r="313" spans="1:45" ht="60">
      <c r="A313" s="6">
        <v>307</v>
      </c>
      <c r="B313" s="6" t="s">
        <v>663</v>
      </c>
      <c r="C313" s="6" t="s">
        <v>923</v>
      </c>
      <c r="D313" s="6" t="s">
        <v>903</v>
      </c>
      <c r="E313" s="6" t="s">
        <v>9</v>
      </c>
      <c r="F313" s="9">
        <v>4</v>
      </c>
      <c r="G313" s="9">
        <v>4</v>
      </c>
      <c r="H313" s="10">
        <v>0</v>
      </c>
      <c r="I313" s="11">
        <v>0</v>
      </c>
      <c r="J313" s="11">
        <v>0</v>
      </c>
      <c r="K313" s="12">
        <f t="shared" si="24"/>
        <v>0</v>
      </c>
      <c r="L313" s="12">
        <f t="shared" si="25"/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1">
        <v>0</v>
      </c>
      <c r="S313" s="6"/>
      <c r="T313" s="6"/>
      <c r="U313" s="6"/>
      <c r="V313" s="7" t="b">
        <v>0</v>
      </c>
      <c r="W313" s="8">
        <f>IFERROR(VLOOKUP(D313,Teams!$B$2:$I$21,6,FALSE),"")</f>
        <v>0</v>
      </c>
      <c r="X313" s="2" t="s">
        <v>65</v>
      </c>
      <c r="Y313" s="13"/>
      <c r="Z313" s="14"/>
      <c r="AA313" s="15">
        <f>IFERROR(H313/(H313+Priors!$G$3),0)</f>
        <v>0</v>
      </c>
      <c r="AB313" s="16">
        <f>VLOOKUP(E313,Priors!$A$3:$C$6,2,FALSE)</f>
        <v>6.0081391379341341E-2</v>
      </c>
      <c r="AC313" s="16">
        <f>VLOOKUP(E313,Priors!$A$3:$C$6,3,FALSE)</f>
        <v>5.9588191961478354E-2</v>
      </c>
      <c r="AD313" s="12">
        <f t="shared" si="26"/>
        <v>6.0081391379341341E-2</v>
      </c>
      <c r="AE313" s="12">
        <f t="shared" si="27"/>
        <v>5.9588191961478354E-2</v>
      </c>
      <c r="AF313" s="17">
        <v>1</v>
      </c>
      <c r="AG313" s="17">
        <v>1</v>
      </c>
      <c r="AH313" s="16">
        <f>IFERROR(VLOOKUP(D313,Teams!$B$2:$I$21,7,FALSE),1)</f>
        <v>1</v>
      </c>
      <c r="AI313" s="12">
        <f t="shared" si="28"/>
        <v>6.0081391379341341E-2</v>
      </c>
      <c r="AJ313" s="12">
        <f t="shared" si="29"/>
        <v>5.9588191961478354E-2</v>
      </c>
      <c r="AK313" s="6" t="s">
        <v>66</v>
      </c>
      <c r="AL313" s="18"/>
      <c r="AM313" s="23"/>
      <c r="AN313" s="24">
        <v>1E-3</v>
      </c>
      <c r="AO313" s="25" t="b">
        <v>1</v>
      </c>
      <c r="AP313" s="23" t="s">
        <v>201</v>
      </c>
      <c r="AQ313" s="25" t="b">
        <v>0</v>
      </c>
      <c r="AR313" s="23"/>
      <c r="AS313" s="23" t="s">
        <v>68</v>
      </c>
    </row>
    <row r="314" spans="1:45" ht="60">
      <c r="A314" s="6">
        <v>308</v>
      </c>
      <c r="B314" s="6" t="s">
        <v>924</v>
      </c>
      <c r="C314" s="6" t="s">
        <v>925</v>
      </c>
      <c r="D314" s="6" t="s">
        <v>903</v>
      </c>
      <c r="E314" s="6" t="s">
        <v>9</v>
      </c>
      <c r="F314" s="9">
        <v>4</v>
      </c>
      <c r="G314" s="9">
        <v>4</v>
      </c>
      <c r="H314" s="10">
        <v>0</v>
      </c>
      <c r="I314" s="11">
        <v>0</v>
      </c>
      <c r="J314" s="11">
        <v>0</v>
      </c>
      <c r="K314" s="12">
        <f t="shared" si="24"/>
        <v>0</v>
      </c>
      <c r="L314" s="12">
        <f t="shared" si="25"/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1">
        <v>0</v>
      </c>
      <c r="S314" s="6"/>
      <c r="T314" s="6"/>
      <c r="U314" s="6"/>
      <c r="V314" s="7" t="b">
        <v>0</v>
      </c>
      <c r="W314" s="8">
        <f>IFERROR(VLOOKUP(D314,Teams!$B$2:$I$21,6,FALSE),"")</f>
        <v>0</v>
      </c>
      <c r="X314" s="2" t="s">
        <v>65</v>
      </c>
      <c r="Y314" s="13"/>
      <c r="Z314" s="14"/>
      <c r="AA314" s="15">
        <f>IFERROR(H314/(H314+Priors!$G$3),0)</f>
        <v>0</v>
      </c>
      <c r="AB314" s="16">
        <f>VLOOKUP(E314,Priors!$A$3:$C$6,2,FALSE)</f>
        <v>6.0081391379341341E-2</v>
      </c>
      <c r="AC314" s="16">
        <f>VLOOKUP(E314,Priors!$A$3:$C$6,3,FALSE)</f>
        <v>5.9588191961478354E-2</v>
      </c>
      <c r="AD314" s="12">
        <f t="shared" si="26"/>
        <v>6.0081391379341341E-2</v>
      </c>
      <c r="AE314" s="12">
        <f t="shared" si="27"/>
        <v>5.9588191961478354E-2</v>
      </c>
      <c r="AF314" s="17">
        <v>1</v>
      </c>
      <c r="AG314" s="17">
        <v>1</v>
      </c>
      <c r="AH314" s="16">
        <f>IFERROR(VLOOKUP(D314,Teams!$B$2:$I$21,7,FALSE),1)</f>
        <v>1</v>
      </c>
      <c r="AI314" s="12">
        <f t="shared" si="28"/>
        <v>6.0081391379341341E-2</v>
      </c>
      <c r="AJ314" s="12">
        <f t="shared" si="29"/>
        <v>5.9588191961478354E-2</v>
      </c>
      <c r="AK314" s="6" t="s">
        <v>66</v>
      </c>
      <c r="AL314" s="18"/>
      <c r="AM314" s="23"/>
      <c r="AN314" s="24">
        <v>3.0000000000000001E-3</v>
      </c>
      <c r="AO314" s="25" t="b">
        <v>1</v>
      </c>
      <c r="AP314" s="23" t="s">
        <v>926</v>
      </c>
      <c r="AQ314" s="25" t="b">
        <v>0</v>
      </c>
      <c r="AR314" s="23"/>
      <c r="AS314" s="23" t="s">
        <v>68</v>
      </c>
    </row>
    <row r="315" spans="1:45" ht="60">
      <c r="A315" s="6">
        <v>309</v>
      </c>
      <c r="B315" s="6" t="s">
        <v>927</v>
      </c>
      <c r="C315" s="6" t="s">
        <v>928</v>
      </c>
      <c r="D315" s="6" t="s">
        <v>903</v>
      </c>
      <c r="E315" s="6" t="s">
        <v>11</v>
      </c>
      <c r="F315" s="9">
        <v>5</v>
      </c>
      <c r="G315" s="9">
        <v>5</v>
      </c>
      <c r="H315" s="10">
        <v>0</v>
      </c>
      <c r="I315" s="11">
        <v>0</v>
      </c>
      <c r="J315" s="11">
        <v>0</v>
      </c>
      <c r="K315" s="12">
        <f t="shared" si="24"/>
        <v>0</v>
      </c>
      <c r="L315" s="12">
        <f t="shared" si="25"/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1">
        <v>0</v>
      </c>
      <c r="S315" s="6"/>
      <c r="T315" s="6">
        <v>1</v>
      </c>
      <c r="U315" s="6">
        <v>7</v>
      </c>
      <c r="V315" s="7" t="b">
        <v>0</v>
      </c>
      <c r="W315" s="8">
        <f>IFERROR(VLOOKUP(D315,Teams!$B$2:$I$21,6,FALSE),"")</f>
        <v>0</v>
      </c>
      <c r="X315" s="2" t="s">
        <v>65</v>
      </c>
      <c r="Y315" s="13"/>
      <c r="Z315" s="14"/>
      <c r="AA315" s="15">
        <f>IFERROR(H315/(H315+Priors!$G$3),0)</f>
        <v>0</v>
      </c>
      <c r="AB315" s="16">
        <f>VLOOKUP(E315,Priors!$A$3:$C$6,2,FALSE)</f>
        <v>0.15714383234350468</v>
      </c>
      <c r="AC315" s="16">
        <f>VLOOKUP(E315,Priors!$A$3:$C$6,3,FALSE)</f>
        <v>0.13222062939449797</v>
      </c>
      <c r="AD315" s="12">
        <f t="shared" si="26"/>
        <v>0.15714383234350468</v>
      </c>
      <c r="AE315" s="12">
        <f t="shared" si="27"/>
        <v>0.13222062939449797</v>
      </c>
      <c r="AF315" s="17">
        <v>1</v>
      </c>
      <c r="AG315" s="17">
        <v>1</v>
      </c>
      <c r="AH315" s="16">
        <f>IFERROR(VLOOKUP(D315,Teams!$B$2:$I$21,7,FALSE),1)</f>
        <v>1</v>
      </c>
      <c r="AI315" s="12">
        <f t="shared" si="28"/>
        <v>0.15714383234350468</v>
      </c>
      <c r="AJ315" s="12">
        <f t="shared" si="29"/>
        <v>0.13222062939449797</v>
      </c>
      <c r="AK315" s="6" t="s">
        <v>66</v>
      </c>
      <c r="AL315" s="18"/>
      <c r="AM315" s="23"/>
      <c r="AN315" s="24">
        <v>2E-3</v>
      </c>
      <c r="AO315" s="25" t="b">
        <v>1</v>
      </c>
      <c r="AP315" s="23" t="s">
        <v>670</v>
      </c>
      <c r="AQ315" s="25" t="b">
        <v>0</v>
      </c>
      <c r="AR315" s="23"/>
      <c r="AS315" s="23" t="s">
        <v>68</v>
      </c>
    </row>
    <row r="316" spans="1:45" ht="60">
      <c r="A316" s="6">
        <v>310</v>
      </c>
      <c r="B316" s="6" t="s">
        <v>929</v>
      </c>
      <c r="C316" s="6" t="s">
        <v>930</v>
      </c>
      <c r="D316" s="6" t="s">
        <v>903</v>
      </c>
      <c r="E316" s="6" t="s">
        <v>11</v>
      </c>
      <c r="F316" s="9">
        <v>5</v>
      </c>
      <c r="G316" s="9">
        <v>5</v>
      </c>
      <c r="H316" s="10">
        <v>0</v>
      </c>
      <c r="I316" s="11">
        <v>0</v>
      </c>
      <c r="J316" s="11">
        <v>0</v>
      </c>
      <c r="K316" s="12">
        <f t="shared" si="24"/>
        <v>0</v>
      </c>
      <c r="L316" s="12">
        <f t="shared" si="25"/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1">
        <v>0</v>
      </c>
      <c r="S316" s="6"/>
      <c r="T316" s="6"/>
      <c r="U316" s="6"/>
      <c r="V316" s="7" t="b">
        <v>0</v>
      </c>
      <c r="W316" s="8">
        <f>IFERROR(VLOOKUP(D316,Teams!$B$2:$I$21,6,FALSE),"")</f>
        <v>0</v>
      </c>
      <c r="X316" s="2" t="s">
        <v>65</v>
      </c>
      <c r="Y316" s="13"/>
      <c r="Z316" s="14"/>
      <c r="AA316" s="15">
        <f>IFERROR(H316/(H316+Priors!$G$3),0)</f>
        <v>0</v>
      </c>
      <c r="AB316" s="16">
        <f>VLOOKUP(E316,Priors!$A$3:$C$6,2,FALSE)</f>
        <v>0.15714383234350468</v>
      </c>
      <c r="AC316" s="16">
        <f>VLOOKUP(E316,Priors!$A$3:$C$6,3,FALSE)</f>
        <v>0.13222062939449797</v>
      </c>
      <c r="AD316" s="12">
        <f t="shared" si="26"/>
        <v>0.15714383234350468</v>
      </c>
      <c r="AE316" s="12">
        <f t="shared" si="27"/>
        <v>0.13222062939449797</v>
      </c>
      <c r="AF316" s="17">
        <v>1</v>
      </c>
      <c r="AG316" s="17">
        <v>1</v>
      </c>
      <c r="AH316" s="16">
        <f>IFERROR(VLOOKUP(D316,Teams!$B$2:$I$21,7,FALSE),1)</f>
        <v>1</v>
      </c>
      <c r="AI316" s="12">
        <f t="shared" si="28"/>
        <v>0.15714383234350468</v>
      </c>
      <c r="AJ316" s="12">
        <f t="shared" si="29"/>
        <v>0.13222062939449797</v>
      </c>
      <c r="AK316" s="6" t="s">
        <v>80</v>
      </c>
      <c r="AL316" s="18">
        <v>0</v>
      </c>
      <c r="AM316" s="23" t="s">
        <v>931</v>
      </c>
      <c r="AN316" s="24">
        <v>1E-3</v>
      </c>
      <c r="AO316" s="25" t="b">
        <v>1</v>
      </c>
      <c r="AP316" s="23" t="s">
        <v>932</v>
      </c>
      <c r="AQ316" s="25" t="b">
        <v>0</v>
      </c>
      <c r="AR316" s="23"/>
      <c r="AS316" s="23" t="s">
        <v>68</v>
      </c>
    </row>
    <row r="317" spans="1:45" ht="60">
      <c r="A317" s="6">
        <v>311</v>
      </c>
      <c r="B317" s="6" t="s">
        <v>933</v>
      </c>
      <c r="C317" s="6" t="s">
        <v>934</v>
      </c>
      <c r="D317" s="6" t="s">
        <v>903</v>
      </c>
      <c r="E317" s="6" t="s">
        <v>11</v>
      </c>
      <c r="F317" s="9">
        <v>5</v>
      </c>
      <c r="G317" s="9">
        <v>5</v>
      </c>
      <c r="H317" s="10">
        <v>0</v>
      </c>
      <c r="I317" s="11">
        <v>0</v>
      </c>
      <c r="J317" s="11">
        <v>0</v>
      </c>
      <c r="K317" s="12">
        <f t="shared" si="24"/>
        <v>0</v>
      </c>
      <c r="L317" s="12">
        <f t="shared" si="25"/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1">
        <v>0</v>
      </c>
      <c r="S317" s="6"/>
      <c r="T317" s="6"/>
      <c r="U317" s="6"/>
      <c r="V317" s="7" t="b">
        <v>0</v>
      </c>
      <c r="W317" s="8">
        <f>IFERROR(VLOOKUP(D317,Teams!$B$2:$I$21,6,FALSE),"")</f>
        <v>0</v>
      </c>
      <c r="X317" s="2" t="s">
        <v>65</v>
      </c>
      <c r="Y317" s="13"/>
      <c r="Z317" s="14"/>
      <c r="AA317" s="15">
        <f>IFERROR(H317/(H317+Priors!$G$3),0)</f>
        <v>0</v>
      </c>
      <c r="AB317" s="16">
        <f>VLOOKUP(E317,Priors!$A$3:$C$6,2,FALSE)</f>
        <v>0.15714383234350468</v>
      </c>
      <c r="AC317" s="16">
        <f>VLOOKUP(E317,Priors!$A$3:$C$6,3,FALSE)</f>
        <v>0.13222062939449797</v>
      </c>
      <c r="AD317" s="12">
        <f t="shared" si="26"/>
        <v>0.15714383234350468</v>
      </c>
      <c r="AE317" s="12">
        <f t="shared" si="27"/>
        <v>0.13222062939449797</v>
      </c>
      <c r="AF317" s="17">
        <v>1</v>
      </c>
      <c r="AG317" s="17">
        <v>1</v>
      </c>
      <c r="AH317" s="16">
        <f>IFERROR(VLOOKUP(D317,Teams!$B$2:$I$21,7,FALSE),1)</f>
        <v>1</v>
      </c>
      <c r="AI317" s="12">
        <f t="shared" si="28"/>
        <v>0.15714383234350468</v>
      </c>
      <c r="AJ317" s="12">
        <f t="shared" si="29"/>
        <v>0.13222062939449797</v>
      </c>
      <c r="AK317" s="6" t="s">
        <v>66</v>
      </c>
      <c r="AL317" s="18"/>
      <c r="AM317" s="23"/>
      <c r="AN317" s="24">
        <v>1E-3</v>
      </c>
      <c r="AO317" s="25" t="b">
        <v>1</v>
      </c>
      <c r="AP317" s="23" t="s">
        <v>935</v>
      </c>
      <c r="AQ317" s="25" t="b">
        <v>0</v>
      </c>
      <c r="AR317" s="23"/>
      <c r="AS317" s="23" t="s">
        <v>68</v>
      </c>
    </row>
    <row r="318" spans="1:45" ht="60">
      <c r="A318" s="6">
        <v>312</v>
      </c>
      <c r="B318" s="6" t="s">
        <v>936</v>
      </c>
      <c r="C318" s="6" t="s">
        <v>937</v>
      </c>
      <c r="D318" s="6" t="s">
        <v>903</v>
      </c>
      <c r="E318" s="6" t="s">
        <v>11</v>
      </c>
      <c r="F318" s="9">
        <v>4.5</v>
      </c>
      <c r="G318" s="9">
        <v>4.5</v>
      </c>
      <c r="H318" s="10">
        <v>0</v>
      </c>
      <c r="I318" s="11">
        <v>0</v>
      </c>
      <c r="J318" s="11">
        <v>0</v>
      </c>
      <c r="K318" s="12">
        <f t="shared" si="24"/>
        <v>0</v>
      </c>
      <c r="L318" s="12">
        <f t="shared" si="25"/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1">
        <v>0</v>
      </c>
      <c r="S318" s="6"/>
      <c r="T318" s="6"/>
      <c r="U318" s="6"/>
      <c r="V318" s="7" t="b">
        <v>0</v>
      </c>
      <c r="W318" s="8">
        <f>IFERROR(VLOOKUP(D318,Teams!$B$2:$I$21,6,FALSE),"")</f>
        <v>0</v>
      </c>
      <c r="X318" s="2" t="s">
        <v>65</v>
      </c>
      <c r="Y318" s="13"/>
      <c r="Z318" s="14"/>
      <c r="AA318" s="15">
        <f>IFERROR(H318/(H318+Priors!$G$3),0)</f>
        <v>0</v>
      </c>
      <c r="AB318" s="16">
        <f>VLOOKUP(E318,Priors!$A$3:$C$6,2,FALSE)</f>
        <v>0.15714383234350468</v>
      </c>
      <c r="AC318" s="16">
        <f>VLOOKUP(E318,Priors!$A$3:$C$6,3,FALSE)</f>
        <v>0.13222062939449797</v>
      </c>
      <c r="AD318" s="12">
        <f t="shared" si="26"/>
        <v>0.15714383234350468</v>
      </c>
      <c r="AE318" s="12">
        <f t="shared" si="27"/>
        <v>0.13222062939449797</v>
      </c>
      <c r="AF318" s="17">
        <v>1</v>
      </c>
      <c r="AG318" s="17">
        <v>1</v>
      </c>
      <c r="AH318" s="16">
        <f>IFERROR(VLOOKUP(D318,Teams!$B$2:$I$21,7,FALSE),1)</f>
        <v>1</v>
      </c>
      <c r="AI318" s="12">
        <f t="shared" si="28"/>
        <v>0.15714383234350468</v>
      </c>
      <c r="AJ318" s="12">
        <f t="shared" si="29"/>
        <v>0.13222062939449797</v>
      </c>
      <c r="AK318" s="6" t="s">
        <v>80</v>
      </c>
      <c r="AL318" s="18">
        <v>0</v>
      </c>
      <c r="AM318" s="23" t="s">
        <v>209</v>
      </c>
      <c r="AN318" s="24">
        <v>3.0000000000000001E-3</v>
      </c>
      <c r="AO318" s="25" t="b">
        <v>1</v>
      </c>
      <c r="AP318" s="23" t="s">
        <v>938</v>
      </c>
      <c r="AQ318" s="25" t="b">
        <v>0</v>
      </c>
      <c r="AR318" s="23"/>
      <c r="AS318" s="23" t="s">
        <v>68</v>
      </c>
    </row>
    <row r="319" spans="1:45" ht="60">
      <c r="A319" s="6">
        <v>313</v>
      </c>
      <c r="B319" s="6" t="s">
        <v>939</v>
      </c>
      <c r="C319" s="6" t="s">
        <v>940</v>
      </c>
      <c r="D319" s="6" t="s">
        <v>903</v>
      </c>
      <c r="E319" s="6" t="s">
        <v>11</v>
      </c>
      <c r="F319" s="9">
        <v>5.5</v>
      </c>
      <c r="G319" s="9">
        <v>5.5</v>
      </c>
      <c r="H319" s="10">
        <v>0</v>
      </c>
      <c r="I319" s="11">
        <v>0</v>
      </c>
      <c r="J319" s="11">
        <v>0</v>
      </c>
      <c r="K319" s="12">
        <f t="shared" si="24"/>
        <v>0</v>
      </c>
      <c r="L319" s="12">
        <f t="shared" si="25"/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1">
        <v>0</v>
      </c>
      <c r="S319" s="6">
        <v>2</v>
      </c>
      <c r="T319" s="6">
        <v>3</v>
      </c>
      <c r="U319" s="6">
        <v>8</v>
      </c>
      <c r="V319" s="7" t="b">
        <v>0</v>
      </c>
      <c r="W319" s="8">
        <f>IFERROR(VLOOKUP(D319,Teams!$B$2:$I$21,6,FALSE),"")</f>
        <v>0</v>
      </c>
      <c r="X319" s="2" t="s">
        <v>65</v>
      </c>
      <c r="Y319" s="13"/>
      <c r="Z319" s="14"/>
      <c r="AA319" s="15">
        <f>IFERROR(H319/(H319+Priors!$G$3),0)</f>
        <v>0</v>
      </c>
      <c r="AB319" s="16">
        <f>VLOOKUP(E319,Priors!$A$3:$C$6,2,FALSE)</f>
        <v>0.15714383234350468</v>
      </c>
      <c r="AC319" s="16">
        <f>VLOOKUP(E319,Priors!$A$3:$C$6,3,FALSE)</f>
        <v>0.13222062939449797</v>
      </c>
      <c r="AD319" s="12">
        <f t="shared" si="26"/>
        <v>0.15714383234350468</v>
      </c>
      <c r="AE319" s="12">
        <f t="shared" si="27"/>
        <v>0.13222062939449797</v>
      </c>
      <c r="AF319" s="17">
        <v>1</v>
      </c>
      <c r="AG319" s="17">
        <v>1</v>
      </c>
      <c r="AH319" s="16">
        <f>IFERROR(VLOOKUP(D319,Teams!$B$2:$I$21,7,FALSE),1)</f>
        <v>1</v>
      </c>
      <c r="AI319" s="12">
        <f t="shared" si="28"/>
        <v>0.15714383234350468</v>
      </c>
      <c r="AJ319" s="12">
        <f t="shared" si="29"/>
        <v>0.13222062939449797</v>
      </c>
      <c r="AK319" s="6" t="s">
        <v>66</v>
      </c>
      <c r="AL319" s="18"/>
      <c r="AM319" s="23"/>
      <c r="AN319" s="24">
        <v>3.0000000000000001E-3</v>
      </c>
      <c r="AO319" s="25" t="b">
        <v>1</v>
      </c>
      <c r="AP319" s="23" t="s">
        <v>941</v>
      </c>
      <c r="AQ319" s="25" t="b">
        <v>0</v>
      </c>
      <c r="AR319" s="23"/>
      <c r="AS319" s="23" t="s">
        <v>68</v>
      </c>
    </row>
    <row r="320" spans="1:45" ht="60">
      <c r="A320" s="6">
        <v>314</v>
      </c>
      <c r="B320" s="6" t="s">
        <v>942</v>
      </c>
      <c r="C320" s="6" t="s">
        <v>943</v>
      </c>
      <c r="D320" s="6" t="s">
        <v>903</v>
      </c>
      <c r="E320" s="6" t="s">
        <v>11</v>
      </c>
      <c r="F320" s="9">
        <v>5</v>
      </c>
      <c r="G320" s="9">
        <v>5</v>
      </c>
      <c r="H320" s="10">
        <v>0</v>
      </c>
      <c r="I320" s="11">
        <v>0</v>
      </c>
      <c r="J320" s="11">
        <v>0</v>
      </c>
      <c r="K320" s="12">
        <f t="shared" si="24"/>
        <v>0</v>
      </c>
      <c r="L320" s="12">
        <f t="shared" si="25"/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1">
        <v>0</v>
      </c>
      <c r="S320" s="6"/>
      <c r="T320" s="6"/>
      <c r="U320" s="6"/>
      <c r="V320" s="7" t="b">
        <v>0</v>
      </c>
      <c r="W320" s="8">
        <f>IFERROR(VLOOKUP(D320,Teams!$B$2:$I$21,6,FALSE),"")</f>
        <v>0</v>
      </c>
      <c r="X320" s="2" t="s">
        <v>65</v>
      </c>
      <c r="Y320" s="13"/>
      <c r="Z320" s="14"/>
      <c r="AA320" s="15">
        <f>IFERROR(H320/(H320+Priors!$G$3),0)</f>
        <v>0</v>
      </c>
      <c r="AB320" s="16">
        <f>VLOOKUP(E320,Priors!$A$3:$C$6,2,FALSE)</f>
        <v>0.15714383234350468</v>
      </c>
      <c r="AC320" s="16">
        <f>VLOOKUP(E320,Priors!$A$3:$C$6,3,FALSE)</f>
        <v>0.13222062939449797</v>
      </c>
      <c r="AD320" s="12">
        <f t="shared" si="26"/>
        <v>0.15714383234350468</v>
      </c>
      <c r="AE320" s="12">
        <f t="shared" si="27"/>
        <v>0.13222062939449797</v>
      </c>
      <c r="AF320" s="17">
        <v>1</v>
      </c>
      <c r="AG320" s="17">
        <v>1</v>
      </c>
      <c r="AH320" s="16">
        <f>IFERROR(VLOOKUP(D320,Teams!$B$2:$I$21,7,FALSE),1)</f>
        <v>1</v>
      </c>
      <c r="AI320" s="12">
        <f t="shared" si="28"/>
        <v>0.15714383234350468</v>
      </c>
      <c r="AJ320" s="12">
        <f t="shared" si="29"/>
        <v>0.13222062939449797</v>
      </c>
      <c r="AK320" s="6" t="s">
        <v>66</v>
      </c>
      <c r="AL320" s="18"/>
      <c r="AM320" s="23"/>
      <c r="AN320" s="24">
        <v>0</v>
      </c>
      <c r="AO320" s="25" t="b">
        <v>1</v>
      </c>
      <c r="AP320" s="23" t="s">
        <v>944</v>
      </c>
      <c r="AQ320" s="25" t="b">
        <v>0</v>
      </c>
      <c r="AR320" s="23"/>
      <c r="AS320" s="23" t="s">
        <v>68</v>
      </c>
    </row>
    <row r="321" spans="1:45" ht="60">
      <c r="A321" s="6">
        <v>315</v>
      </c>
      <c r="B321" s="6" t="s">
        <v>945</v>
      </c>
      <c r="C321" s="6" t="s">
        <v>946</v>
      </c>
      <c r="D321" s="6" t="s">
        <v>903</v>
      </c>
      <c r="E321" s="6" t="s">
        <v>11</v>
      </c>
      <c r="F321" s="9">
        <v>5.5</v>
      </c>
      <c r="G321" s="9">
        <v>5.5</v>
      </c>
      <c r="H321" s="10">
        <v>0</v>
      </c>
      <c r="I321" s="11">
        <v>0</v>
      </c>
      <c r="J321" s="11">
        <v>0</v>
      </c>
      <c r="K321" s="12">
        <f t="shared" si="24"/>
        <v>0</v>
      </c>
      <c r="L321" s="12">
        <f t="shared" si="25"/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1">
        <v>0</v>
      </c>
      <c r="S321" s="6"/>
      <c r="T321" s="6"/>
      <c r="U321" s="6"/>
      <c r="V321" s="7" t="b">
        <v>1</v>
      </c>
      <c r="W321" s="8">
        <f>IFERROR(VLOOKUP(D321,Teams!$B$2:$I$21,6,FALSE),"")</f>
        <v>0</v>
      </c>
      <c r="X321" s="2" t="s">
        <v>65</v>
      </c>
      <c r="Y321" s="13"/>
      <c r="Z321" s="14"/>
      <c r="AA321" s="15">
        <f>IFERROR(H321/(H321+Priors!$G$3),0)</f>
        <v>0</v>
      </c>
      <c r="AB321" s="16">
        <f>VLOOKUP(E321,Priors!$A$3:$C$6,2,FALSE)</f>
        <v>0.15714383234350468</v>
      </c>
      <c r="AC321" s="16">
        <f>VLOOKUP(E321,Priors!$A$3:$C$6,3,FALSE)</f>
        <v>0.13222062939449797</v>
      </c>
      <c r="AD321" s="12">
        <f t="shared" si="26"/>
        <v>0.15714383234350468</v>
      </c>
      <c r="AE321" s="12">
        <f t="shared" si="27"/>
        <v>0.13222062939449797</v>
      </c>
      <c r="AF321" s="17">
        <v>1</v>
      </c>
      <c r="AG321" s="17">
        <v>1</v>
      </c>
      <c r="AH321" s="16">
        <f>IFERROR(VLOOKUP(D321,Teams!$B$2:$I$21,7,FALSE),1)</f>
        <v>1</v>
      </c>
      <c r="AI321" s="12">
        <f t="shared" si="28"/>
        <v>0.15714383234350468</v>
      </c>
      <c r="AJ321" s="12">
        <f t="shared" si="29"/>
        <v>0.13222062939449797</v>
      </c>
      <c r="AK321" s="6" t="s">
        <v>66</v>
      </c>
      <c r="AL321" s="18"/>
      <c r="AM321" s="23"/>
      <c r="AN321" s="24">
        <v>3.0000000000000001E-3</v>
      </c>
      <c r="AO321" s="25" t="b">
        <v>1</v>
      </c>
      <c r="AP321" s="23" t="s">
        <v>475</v>
      </c>
      <c r="AQ321" s="25" t="b">
        <v>0</v>
      </c>
      <c r="AR321" s="23"/>
      <c r="AS321" s="23" t="s">
        <v>68</v>
      </c>
    </row>
    <row r="322" spans="1:45" ht="60">
      <c r="A322" s="6">
        <v>316</v>
      </c>
      <c r="B322" s="6" t="s">
        <v>947</v>
      </c>
      <c r="C322" s="6" t="s">
        <v>947</v>
      </c>
      <c r="D322" s="6" t="s">
        <v>903</v>
      </c>
      <c r="E322" s="6" t="s">
        <v>14</v>
      </c>
      <c r="F322" s="9">
        <v>5.5</v>
      </c>
      <c r="G322" s="9">
        <v>5.5</v>
      </c>
      <c r="H322" s="10">
        <v>0</v>
      </c>
      <c r="I322" s="11">
        <v>0</v>
      </c>
      <c r="J322" s="11">
        <v>0</v>
      </c>
      <c r="K322" s="12">
        <f t="shared" ref="K322:K385" si="30">IFERROR(I322*90/H322,0)</f>
        <v>0</v>
      </c>
      <c r="L322" s="12">
        <f t="shared" ref="L322:L385" si="31">IFERROR(J322*90/H322,0)</f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1">
        <v>0</v>
      </c>
      <c r="S322" s="6"/>
      <c r="T322" s="6"/>
      <c r="U322" s="6"/>
      <c r="V322" s="7" t="b">
        <v>1</v>
      </c>
      <c r="W322" s="8">
        <f>IFERROR(VLOOKUP(D322,Teams!$B$2:$I$21,6,FALSE),"")</f>
        <v>0</v>
      </c>
      <c r="X322" s="2" t="s">
        <v>65</v>
      </c>
      <c r="Y322" s="13"/>
      <c r="Z322" s="14"/>
      <c r="AA322" s="15">
        <f>IFERROR(H322/(H322+Priors!$G$3),0)</f>
        <v>0</v>
      </c>
      <c r="AB322" s="16">
        <f>VLOOKUP(E322,Priors!$A$3:$C$6,2,FALSE)</f>
        <v>0.44625207326425426</v>
      </c>
      <c r="AC322" s="16">
        <f>VLOOKUP(E322,Priors!$A$3:$C$6,3,FALSE)</f>
        <v>5.8217260259314105E-2</v>
      </c>
      <c r="AD322" s="12">
        <f t="shared" ref="AD322:AD385" si="32">AA322*K322+(1-AA322)*AB322</f>
        <v>0.44625207326425426</v>
      </c>
      <c r="AE322" s="12">
        <f t="shared" ref="AE322:AE385" si="33">AA322*L322+(1-AA322)*AC322</f>
        <v>5.8217260259314105E-2</v>
      </c>
      <c r="AF322" s="17">
        <v>1</v>
      </c>
      <c r="AG322" s="17">
        <v>1</v>
      </c>
      <c r="AH322" s="16">
        <f>IFERROR(VLOOKUP(D322,Teams!$B$2:$I$21,7,FALSE),1)</f>
        <v>1</v>
      </c>
      <c r="AI322" s="12">
        <f t="shared" ref="AI322:AI385" si="34">AD322*AF322*AG322*AH322</f>
        <v>0.44625207326425426</v>
      </c>
      <c r="AJ322" s="12">
        <f t="shared" ref="AJ322:AJ385" si="35">AE322*AF322*AG322*AH322</f>
        <v>5.8217260259314105E-2</v>
      </c>
      <c r="AK322" s="6" t="s">
        <v>66</v>
      </c>
      <c r="AL322" s="18"/>
      <c r="AM322" s="23"/>
      <c r="AN322" s="24">
        <v>3.0000000000000001E-3</v>
      </c>
      <c r="AO322" s="25" t="b">
        <v>1</v>
      </c>
      <c r="AP322" s="23" t="s">
        <v>948</v>
      </c>
      <c r="AQ322" s="25" t="b">
        <v>0</v>
      </c>
      <c r="AR322" s="23"/>
      <c r="AS322" s="23" t="s">
        <v>68</v>
      </c>
    </row>
    <row r="323" spans="1:45" ht="60">
      <c r="A323" s="6">
        <v>317</v>
      </c>
      <c r="B323" s="6" t="s">
        <v>949</v>
      </c>
      <c r="C323" s="6" t="s">
        <v>950</v>
      </c>
      <c r="D323" s="6" t="s">
        <v>903</v>
      </c>
      <c r="E323" s="6" t="s">
        <v>14</v>
      </c>
      <c r="F323" s="9">
        <v>5</v>
      </c>
      <c r="G323" s="9">
        <v>5</v>
      </c>
      <c r="H323" s="10">
        <v>0</v>
      </c>
      <c r="I323" s="11">
        <v>0</v>
      </c>
      <c r="J323" s="11">
        <v>0</v>
      </c>
      <c r="K323" s="12">
        <f t="shared" si="30"/>
        <v>0</v>
      </c>
      <c r="L323" s="12">
        <f t="shared" si="31"/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1">
        <v>0</v>
      </c>
      <c r="S323" s="6">
        <v>1</v>
      </c>
      <c r="T323" s="6"/>
      <c r="U323" s="6"/>
      <c r="V323" s="7" t="b">
        <v>0</v>
      </c>
      <c r="W323" s="8">
        <f>IFERROR(VLOOKUP(D323,Teams!$B$2:$I$21,6,FALSE),"")</f>
        <v>0</v>
      </c>
      <c r="X323" s="2" t="s">
        <v>65</v>
      </c>
      <c r="Y323" s="13"/>
      <c r="Z323" s="14"/>
      <c r="AA323" s="15">
        <f>IFERROR(H323/(H323+Priors!$G$3),0)</f>
        <v>0</v>
      </c>
      <c r="AB323" s="16">
        <f>VLOOKUP(E323,Priors!$A$3:$C$6,2,FALSE)</f>
        <v>0.44625207326425426</v>
      </c>
      <c r="AC323" s="16">
        <f>VLOOKUP(E323,Priors!$A$3:$C$6,3,FALSE)</f>
        <v>5.8217260259314105E-2</v>
      </c>
      <c r="AD323" s="12">
        <f t="shared" si="32"/>
        <v>0.44625207326425426</v>
      </c>
      <c r="AE323" s="12">
        <f t="shared" si="33"/>
        <v>5.8217260259314105E-2</v>
      </c>
      <c r="AF323" s="17">
        <v>1</v>
      </c>
      <c r="AG323" s="17">
        <v>1</v>
      </c>
      <c r="AH323" s="16">
        <f>IFERROR(VLOOKUP(D323,Teams!$B$2:$I$21,7,FALSE),1)</f>
        <v>1</v>
      </c>
      <c r="AI323" s="12">
        <f t="shared" si="34"/>
        <v>0.44625207326425426</v>
      </c>
      <c r="AJ323" s="12">
        <f t="shared" si="35"/>
        <v>5.8217260259314105E-2</v>
      </c>
      <c r="AK323" s="6" t="s">
        <v>66</v>
      </c>
      <c r="AL323" s="18"/>
      <c r="AM323" s="23"/>
      <c r="AN323" s="24">
        <v>5.0000000000000001E-3</v>
      </c>
      <c r="AO323" s="25" t="b">
        <v>1</v>
      </c>
      <c r="AP323" s="23" t="s">
        <v>951</v>
      </c>
      <c r="AQ323" s="25" t="b">
        <v>0</v>
      </c>
      <c r="AR323" s="23"/>
      <c r="AS323" s="23" t="s">
        <v>68</v>
      </c>
    </row>
    <row r="324" spans="1:45" ht="60">
      <c r="A324" s="6">
        <v>318</v>
      </c>
      <c r="B324" s="6" t="s">
        <v>952</v>
      </c>
      <c r="C324" s="6" t="s">
        <v>953</v>
      </c>
      <c r="D324" s="6" t="s">
        <v>903</v>
      </c>
      <c r="E324" s="6" t="s">
        <v>11</v>
      </c>
      <c r="F324" s="9">
        <v>5.5</v>
      </c>
      <c r="G324" s="9">
        <v>5.5</v>
      </c>
      <c r="H324" s="10">
        <v>0</v>
      </c>
      <c r="I324" s="11">
        <v>0</v>
      </c>
      <c r="J324" s="11">
        <v>0</v>
      </c>
      <c r="K324" s="12">
        <f t="shared" si="30"/>
        <v>0</v>
      </c>
      <c r="L324" s="12">
        <f t="shared" si="31"/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1">
        <v>0</v>
      </c>
      <c r="S324" s="6">
        <v>3</v>
      </c>
      <c r="T324" s="6"/>
      <c r="U324" s="6">
        <v>5</v>
      </c>
      <c r="V324" s="7" t="b">
        <v>0</v>
      </c>
      <c r="W324" s="8">
        <f>IFERROR(VLOOKUP(D324,Teams!$B$2:$I$21,6,FALSE),"")</f>
        <v>0</v>
      </c>
      <c r="X324" s="2" t="s">
        <v>65</v>
      </c>
      <c r="Y324" s="13"/>
      <c r="Z324" s="14"/>
      <c r="AA324" s="15">
        <f>IFERROR(H324/(H324+Priors!$G$3),0)</f>
        <v>0</v>
      </c>
      <c r="AB324" s="16">
        <f>VLOOKUP(E324,Priors!$A$3:$C$6,2,FALSE)</f>
        <v>0.15714383234350468</v>
      </c>
      <c r="AC324" s="16">
        <f>VLOOKUP(E324,Priors!$A$3:$C$6,3,FALSE)</f>
        <v>0.13222062939449797</v>
      </c>
      <c r="AD324" s="12">
        <f t="shared" si="32"/>
        <v>0.15714383234350468</v>
      </c>
      <c r="AE324" s="12">
        <f t="shared" si="33"/>
        <v>0.13222062939449797</v>
      </c>
      <c r="AF324" s="17">
        <v>1</v>
      </c>
      <c r="AG324" s="17">
        <v>1</v>
      </c>
      <c r="AH324" s="16">
        <f>IFERROR(VLOOKUP(D324,Teams!$B$2:$I$21,7,FALSE),1)</f>
        <v>1</v>
      </c>
      <c r="AI324" s="12">
        <f t="shared" si="34"/>
        <v>0.15714383234350468</v>
      </c>
      <c r="AJ324" s="12">
        <f t="shared" si="35"/>
        <v>0.13222062939449797</v>
      </c>
      <c r="AK324" s="6" t="s">
        <v>66</v>
      </c>
      <c r="AL324" s="18"/>
      <c r="AM324" s="23"/>
      <c r="AN324" s="24">
        <v>2E-3</v>
      </c>
      <c r="AO324" s="25" t="b">
        <v>1</v>
      </c>
      <c r="AP324" s="23" t="s">
        <v>954</v>
      </c>
      <c r="AQ324" s="25" t="b">
        <v>0</v>
      </c>
      <c r="AR324" s="23"/>
      <c r="AS324" s="23" t="s">
        <v>68</v>
      </c>
    </row>
    <row r="325" spans="1:45" ht="60">
      <c r="A325" s="6">
        <v>319</v>
      </c>
      <c r="B325" s="6" t="s">
        <v>955</v>
      </c>
      <c r="C325" s="6" t="s">
        <v>956</v>
      </c>
      <c r="D325" s="6" t="s">
        <v>903</v>
      </c>
      <c r="E325" s="6" t="s">
        <v>11</v>
      </c>
      <c r="F325" s="9">
        <v>5</v>
      </c>
      <c r="G325" s="9">
        <v>5</v>
      </c>
      <c r="H325" s="10">
        <v>0</v>
      </c>
      <c r="I325" s="11">
        <v>0</v>
      </c>
      <c r="J325" s="11">
        <v>0</v>
      </c>
      <c r="K325" s="12">
        <f t="shared" si="30"/>
        <v>0</v>
      </c>
      <c r="L325" s="12">
        <f t="shared" si="31"/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1">
        <v>0</v>
      </c>
      <c r="S325" s="6"/>
      <c r="T325" s="6"/>
      <c r="U325" s="6"/>
      <c r="V325" s="7" t="b">
        <v>0</v>
      </c>
      <c r="W325" s="8">
        <f>IFERROR(VLOOKUP(D325,Teams!$B$2:$I$21,6,FALSE),"")</f>
        <v>0</v>
      </c>
      <c r="X325" s="2" t="s">
        <v>65</v>
      </c>
      <c r="Y325" s="13"/>
      <c r="Z325" s="14"/>
      <c r="AA325" s="15">
        <f>IFERROR(H325/(H325+Priors!$G$3),0)</f>
        <v>0</v>
      </c>
      <c r="AB325" s="16">
        <f>VLOOKUP(E325,Priors!$A$3:$C$6,2,FALSE)</f>
        <v>0.15714383234350468</v>
      </c>
      <c r="AC325" s="16">
        <f>VLOOKUP(E325,Priors!$A$3:$C$6,3,FALSE)</f>
        <v>0.13222062939449797</v>
      </c>
      <c r="AD325" s="12">
        <f t="shared" si="32"/>
        <v>0.15714383234350468</v>
      </c>
      <c r="AE325" s="12">
        <f t="shared" si="33"/>
        <v>0.13222062939449797</v>
      </c>
      <c r="AF325" s="17">
        <v>1</v>
      </c>
      <c r="AG325" s="17">
        <v>1</v>
      </c>
      <c r="AH325" s="16">
        <f>IFERROR(VLOOKUP(D325,Teams!$B$2:$I$21,7,FALSE),1)</f>
        <v>1</v>
      </c>
      <c r="AI325" s="12">
        <f t="shared" si="34"/>
        <v>0.15714383234350468</v>
      </c>
      <c r="AJ325" s="12">
        <f t="shared" si="35"/>
        <v>0.13222062939449797</v>
      </c>
      <c r="AK325" s="6" t="s">
        <v>66</v>
      </c>
      <c r="AL325" s="18"/>
      <c r="AM325" s="23"/>
      <c r="AN325" s="24">
        <v>1E-3</v>
      </c>
      <c r="AO325" s="25" t="b">
        <v>1</v>
      </c>
      <c r="AP325" s="23" t="s">
        <v>302</v>
      </c>
      <c r="AQ325" s="25" t="b">
        <v>0</v>
      </c>
      <c r="AR325" s="23"/>
      <c r="AS325" s="23" t="s">
        <v>68</v>
      </c>
    </row>
    <row r="326" spans="1:45" ht="60">
      <c r="A326" s="6">
        <v>320</v>
      </c>
      <c r="B326" s="6" t="s">
        <v>957</v>
      </c>
      <c r="C326" s="6" t="s">
        <v>958</v>
      </c>
      <c r="D326" s="6" t="s">
        <v>903</v>
      </c>
      <c r="E326" s="6" t="s">
        <v>14</v>
      </c>
      <c r="F326" s="9">
        <v>5</v>
      </c>
      <c r="G326" s="9">
        <v>5</v>
      </c>
      <c r="H326" s="10">
        <v>0</v>
      </c>
      <c r="I326" s="11">
        <v>0</v>
      </c>
      <c r="J326" s="11">
        <v>0</v>
      </c>
      <c r="K326" s="12">
        <f t="shared" si="30"/>
        <v>0</v>
      </c>
      <c r="L326" s="12">
        <f t="shared" si="31"/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1">
        <v>0</v>
      </c>
      <c r="S326" s="6"/>
      <c r="T326" s="6"/>
      <c r="U326" s="6"/>
      <c r="V326" s="7" t="b">
        <v>1</v>
      </c>
      <c r="W326" s="8">
        <f>IFERROR(VLOOKUP(D326,Teams!$B$2:$I$21,6,FALSE),"")</f>
        <v>0</v>
      </c>
      <c r="X326" s="2" t="s">
        <v>65</v>
      </c>
      <c r="Y326" s="13"/>
      <c r="Z326" s="14"/>
      <c r="AA326" s="15">
        <f>IFERROR(H326/(H326+Priors!$G$3),0)</f>
        <v>0</v>
      </c>
      <c r="AB326" s="16">
        <f>VLOOKUP(E326,Priors!$A$3:$C$6,2,FALSE)</f>
        <v>0.44625207326425426</v>
      </c>
      <c r="AC326" s="16">
        <f>VLOOKUP(E326,Priors!$A$3:$C$6,3,FALSE)</f>
        <v>5.8217260259314105E-2</v>
      </c>
      <c r="AD326" s="12">
        <f t="shared" si="32"/>
        <v>0.44625207326425426</v>
      </c>
      <c r="AE326" s="12">
        <f t="shared" si="33"/>
        <v>5.8217260259314105E-2</v>
      </c>
      <c r="AF326" s="17">
        <v>1</v>
      </c>
      <c r="AG326" s="17">
        <v>1</v>
      </c>
      <c r="AH326" s="16">
        <f>IFERROR(VLOOKUP(D326,Teams!$B$2:$I$21,7,FALSE),1)</f>
        <v>1</v>
      </c>
      <c r="AI326" s="12">
        <f t="shared" si="34"/>
        <v>0.44625207326425426</v>
      </c>
      <c r="AJ326" s="12">
        <f t="shared" si="35"/>
        <v>5.8217260259314105E-2</v>
      </c>
      <c r="AK326" s="6" t="s">
        <v>66</v>
      </c>
      <c r="AL326" s="18"/>
      <c r="AM326" s="23"/>
      <c r="AN326" s="24">
        <v>5.0000000000000001E-3</v>
      </c>
      <c r="AO326" s="25" t="b">
        <v>1</v>
      </c>
      <c r="AP326" s="23" t="s">
        <v>95</v>
      </c>
      <c r="AQ326" s="25" t="b">
        <v>0</v>
      </c>
      <c r="AR326" s="23"/>
      <c r="AS326" s="23" t="s">
        <v>68</v>
      </c>
    </row>
    <row r="327" spans="1:45" ht="60">
      <c r="A327" s="6">
        <v>321</v>
      </c>
      <c r="B327" s="6" t="s">
        <v>959</v>
      </c>
      <c r="C327" s="6" t="s">
        <v>960</v>
      </c>
      <c r="D327" s="6" t="s">
        <v>903</v>
      </c>
      <c r="E327" s="6" t="s">
        <v>14</v>
      </c>
      <c r="F327" s="9">
        <v>4.5</v>
      </c>
      <c r="G327" s="9">
        <v>4.5</v>
      </c>
      <c r="H327" s="10">
        <v>0</v>
      </c>
      <c r="I327" s="11">
        <v>0</v>
      </c>
      <c r="J327" s="11">
        <v>0</v>
      </c>
      <c r="K327" s="12">
        <f t="shared" si="30"/>
        <v>0</v>
      </c>
      <c r="L327" s="12">
        <f t="shared" si="31"/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1">
        <v>0</v>
      </c>
      <c r="S327" s="6"/>
      <c r="T327" s="6"/>
      <c r="U327" s="6"/>
      <c r="V327" s="7" t="b">
        <v>0</v>
      </c>
      <c r="W327" s="8">
        <f>IFERROR(VLOOKUP(D327,Teams!$B$2:$I$21,6,FALSE),"")</f>
        <v>0</v>
      </c>
      <c r="X327" s="2" t="s">
        <v>65</v>
      </c>
      <c r="Y327" s="13"/>
      <c r="Z327" s="14"/>
      <c r="AA327" s="15">
        <f>IFERROR(H327/(H327+Priors!$G$3),0)</f>
        <v>0</v>
      </c>
      <c r="AB327" s="16">
        <f>VLOOKUP(E327,Priors!$A$3:$C$6,2,FALSE)</f>
        <v>0.44625207326425426</v>
      </c>
      <c r="AC327" s="16">
        <f>VLOOKUP(E327,Priors!$A$3:$C$6,3,FALSE)</f>
        <v>5.8217260259314105E-2</v>
      </c>
      <c r="AD327" s="12">
        <f t="shared" si="32"/>
        <v>0.44625207326425426</v>
      </c>
      <c r="AE327" s="12">
        <f t="shared" si="33"/>
        <v>5.8217260259314105E-2</v>
      </c>
      <c r="AF327" s="17">
        <v>1</v>
      </c>
      <c r="AG327" s="17">
        <v>1</v>
      </c>
      <c r="AH327" s="16">
        <f>IFERROR(VLOOKUP(D327,Teams!$B$2:$I$21,7,FALSE),1)</f>
        <v>1</v>
      </c>
      <c r="AI327" s="12">
        <f t="shared" si="34"/>
        <v>0.44625207326425426</v>
      </c>
      <c r="AJ327" s="12">
        <f t="shared" si="35"/>
        <v>5.8217260259314105E-2</v>
      </c>
      <c r="AK327" s="6" t="s">
        <v>66</v>
      </c>
      <c r="AL327" s="18"/>
      <c r="AM327" s="23"/>
      <c r="AN327" s="24">
        <v>2.3E-2</v>
      </c>
      <c r="AO327" s="25" t="b">
        <v>1</v>
      </c>
      <c r="AP327" s="23" t="s">
        <v>670</v>
      </c>
      <c r="AQ327" s="25" t="b">
        <v>0</v>
      </c>
      <c r="AR327" s="23"/>
      <c r="AS327" s="23" t="s">
        <v>68</v>
      </c>
    </row>
    <row r="328" spans="1:45" ht="60">
      <c r="A328" s="6">
        <v>322</v>
      </c>
      <c r="B328" s="6" t="s">
        <v>961</v>
      </c>
      <c r="C328" s="6" t="s">
        <v>962</v>
      </c>
      <c r="D328" s="6" t="s">
        <v>903</v>
      </c>
      <c r="E328" s="6" t="s">
        <v>14</v>
      </c>
      <c r="F328" s="9">
        <v>5</v>
      </c>
      <c r="G328" s="9">
        <v>5</v>
      </c>
      <c r="H328" s="10">
        <v>0</v>
      </c>
      <c r="I328" s="11">
        <v>0</v>
      </c>
      <c r="J328" s="11">
        <v>0</v>
      </c>
      <c r="K328" s="12">
        <f t="shared" si="30"/>
        <v>0</v>
      </c>
      <c r="L328" s="12">
        <f t="shared" si="31"/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1">
        <v>0</v>
      </c>
      <c r="S328" s="6"/>
      <c r="T328" s="6"/>
      <c r="U328" s="6"/>
      <c r="V328" s="7" t="b">
        <v>0</v>
      </c>
      <c r="W328" s="8">
        <f>IFERROR(VLOOKUP(D328,Teams!$B$2:$I$21,6,FALSE),"")</f>
        <v>0</v>
      </c>
      <c r="X328" s="2" t="s">
        <v>65</v>
      </c>
      <c r="Y328" s="13"/>
      <c r="Z328" s="14"/>
      <c r="AA328" s="15">
        <f>IFERROR(H328/(H328+Priors!$G$3),0)</f>
        <v>0</v>
      </c>
      <c r="AB328" s="16">
        <f>VLOOKUP(E328,Priors!$A$3:$C$6,2,FALSE)</f>
        <v>0.44625207326425426</v>
      </c>
      <c r="AC328" s="16">
        <f>VLOOKUP(E328,Priors!$A$3:$C$6,3,FALSE)</f>
        <v>5.8217260259314105E-2</v>
      </c>
      <c r="AD328" s="12">
        <f t="shared" si="32"/>
        <v>0.44625207326425426</v>
      </c>
      <c r="AE328" s="12">
        <f t="shared" si="33"/>
        <v>5.8217260259314105E-2</v>
      </c>
      <c r="AF328" s="17">
        <v>1</v>
      </c>
      <c r="AG328" s="17">
        <v>1</v>
      </c>
      <c r="AH328" s="16">
        <f>IFERROR(VLOOKUP(D328,Teams!$B$2:$I$21,7,FALSE),1)</f>
        <v>1</v>
      </c>
      <c r="AI328" s="12">
        <f t="shared" si="34"/>
        <v>0.44625207326425426</v>
      </c>
      <c r="AJ328" s="12">
        <f t="shared" si="35"/>
        <v>5.8217260259314105E-2</v>
      </c>
      <c r="AK328" s="6" t="s">
        <v>66</v>
      </c>
      <c r="AL328" s="18"/>
      <c r="AM328" s="23"/>
      <c r="AN328" s="24">
        <v>2E-3</v>
      </c>
      <c r="AO328" s="25" t="b">
        <v>1</v>
      </c>
      <c r="AP328" s="23" t="s">
        <v>963</v>
      </c>
      <c r="AQ328" s="25" t="b">
        <v>0</v>
      </c>
      <c r="AR328" s="23"/>
      <c r="AS328" s="23" t="s">
        <v>68</v>
      </c>
    </row>
    <row r="329" spans="1:45" ht="60">
      <c r="A329" s="6">
        <v>323</v>
      </c>
      <c r="B329" s="6" t="s">
        <v>964</v>
      </c>
      <c r="C329" s="6" t="s">
        <v>965</v>
      </c>
      <c r="D329" s="6" t="s">
        <v>903</v>
      </c>
      <c r="E329" s="6" t="s">
        <v>11</v>
      </c>
      <c r="F329" s="9">
        <v>4.5</v>
      </c>
      <c r="G329" s="9">
        <v>4.5</v>
      </c>
      <c r="H329" s="10">
        <v>0</v>
      </c>
      <c r="I329" s="11">
        <v>0</v>
      </c>
      <c r="J329" s="11">
        <v>0</v>
      </c>
      <c r="K329" s="12">
        <f t="shared" si="30"/>
        <v>0</v>
      </c>
      <c r="L329" s="12">
        <f t="shared" si="31"/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1">
        <v>0</v>
      </c>
      <c r="S329" s="6"/>
      <c r="T329" s="6"/>
      <c r="U329" s="6"/>
      <c r="V329" s="7" t="b">
        <v>0</v>
      </c>
      <c r="W329" s="8">
        <f>IFERROR(VLOOKUP(D329,Teams!$B$2:$I$21,6,FALSE),"")</f>
        <v>0</v>
      </c>
      <c r="X329" s="2" t="s">
        <v>65</v>
      </c>
      <c r="Y329" s="13"/>
      <c r="Z329" s="14"/>
      <c r="AA329" s="15">
        <f>IFERROR(H329/(H329+Priors!$G$3),0)</f>
        <v>0</v>
      </c>
      <c r="AB329" s="16">
        <f>VLOOKUP(E329,Priors!$A$3:$C$6,2,FALSE)</f>
        <v>0.15714383234350468</v>
      </c>
      <c r="AC329" s="16">
        <f>VLOOKUP(E329,Priors!$A$3:$C$6,3,FALSE)</f>
        <v>0.13222062939449797</v>
      </c>
      <c r="AD329" s="12">
        <f t="shared" si="32"/>
        <v>0.15714383234350468</v>
      </c>
      <c r="AE329" s="12">
        <f t="shared" si="33"/>
        <v>0.13222062939449797</v>
      </c>
      <c r="AF329" s="17">
        <v>1</v>
      </c>
      <c r="AG329" s="17">
        <v>1</v>
      </c>
      <c r="AH329" s="16">
        <f>IFERROR(VLOOKUP(D329,Teams!$B$2:$I$21,7,FALSE),1)</f>
        <v>1</v>
      </c>
      <c r="AI329" s="12">
        <f t="shared" si="34"/>
        <v>0.15714383234350468</v>
      </c>
      <c r="AJ329" s="12">
        <f t="shared" si="35"/>
        <v>0.13222062939449797</v>
      </c>
      <c r="AK329" s="6" t="s">
        <v>66</v>
      </c>
      <c r="AL329" s="18"/>
      <c r="AM329" s="23"/>
      <c r="AN329" s="24">
        <v>1.7000000000000001E-2</v>
      </c>
      <c r="AO329" s="25" t="b">
        <v>1</v>
      </c>
      <c r="AP329" s="23" t="s">
        <v>966</v>
      </c>
      <c r="AQ329" s="25" t="b">
        <v>0</v>
      </c>
      <c r="AR329" s="23"/>
      <c r="AS329" s="23" t="s">
        <v>68</v>
      </c>
    </row>
    <row r="330" spans="1:45" ht="60">
      <c r="A330" s="6">
        <v>324</v>
      </c>
      <c r="B330" s="6" t="s">
        <v>967</v>
      </c>
      <c r="C330" s="6" t="s">
        <v>968</v>
      </c>
      <c r="D330" s="6" t="s">
        <v>903</v>
      </c>
      <c r="E330" s="6" t="s">
        <v>11</v>
      </c>
      <c r="F330" s="9">
        <v>5</v>
      </c>
      <c r="G330" s="9">
        <v>5</v>
      </c>
      <c r="H330" s="10">
        <v>0</v>
      </c>
      <c r="I330" s="11">
        <v>0</v>
      </c>
      <c r="J330" s="11">
        <v>0</v>
      </c>
      <c r="K330" s="12">
        <f t="shared" si="30"/>
        <v>0</v>
      </c>
      <c r="L330" s="12">
        <f t="shared" si="31"/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1">
        <v>0</v>
      </c>
      <c r="S330" s="6"/>
      <c r="T330" s="6"/>
      <c r="U330" s="6"/>
      <c r="V330" s="7" t="b">
        <v>0</v>
      </c>
      <c r="W330" s="8">
        <f>IFERROR(VLOOKUP(D330,Teams!$B$2:$I$21,6,FALSE),"")</f>
        <v>0</v>
      </c>
      <c r="X330" s="2" t="s">
        <v>65</v>
      </c>
      <c r="Y330" s="13"/>
      <c r="Z330" s="14"/>
      <c r="AA330" s="15">
        <f>IFERROR(H330/(H330+Priors!$G$3),0)</f>
        <v>0</v>
      </c>
      <c r="AB330" s="16">
        <f>VLOOKUP(E330,Priors!$A$3:$C$6,2,FALSE)</f>
        <v>0.15714383234350468</v>
      </c>
      <c r="AC330" s="16">
        <f>VLOOKUP(E330,Priors!$A$3:$C$6,3,FALSE)</f>
        <v>0.13222062939449797</v>
      </c>
      <c r="AD330" s="12">
        <f t="shared" si="32"/>
        <v>0.15714383234350468</v>
      </c>
      <c r="AE330" s="12">
        <f t="shared" si="33"/>
        <v>0.13222062939449797</v>
      </c>
      <c r="AF330" s="17">
        <v>1</v>
      </c>
      <c r="AG330" s="17">
        <v>1</v>
      </c>
      <c r="AH330" s="16">
        <f>IFERROR(VLOOKUP(D330,Teams!$B$2:$I$21,7,FALSE),1)</f>
        <v>1</v>
      </c>
      <c r="AI330" s="12">
        <f t="shared" si="34"/>
        <v>0.15714383234350468</v>
      </c>
      <c r="AJ330" s="12">
        <f t="shared" si="35"/>
        <v>0.13222062939449797</v>
      </c>
      <c r="AK330" s="6" t="s">
        <v>66</v>
      </c>
      <c r="AL330" s="18"/>
      <c r="AM330" s="23"/>
      <c r="AN330" s="24">
        <v>1E-3</v>
      </c>
      <c r="AO330" s="25" t="b">
        <v>1</v>
      </c>
      <c r="AP330" s="23" t="s">
        <v>869</v>
      </c>
      <c r="AQ330" s="25" t="b">
        <v>0</v>
      </c>
      <c r="AR330" s="23"/>
      <c r="AS330" s="23" t="s">
        <v>68</v>
      </c>
    </row>
    <row r="331" spans="1:45" ht="60">
      <c r="A331" s="6">
        <v>554</v>
      </c>
      <c r="B331" s="6" t="s">
        <v>969</v>
      </c>
      <c r="C331" s="6" t="s">
        <v>970</v>
      </c>
      <c r="D331" s="6" t="s">
        <v>903</v>
      </c>
      <c r="E331" s="6" t="s">
        <v>7</v>
      </c>
      <c r="F331" s="9">
        <v>4.5</v>
      </c>
      <c r="G331" s="9">
        <v>4.5</v>
      </c>
      <c r="H331" s="10">
        <v>0</v>
      </c>
      <c r="I331" s="11">
        <v>0</v>
      </c>
      <c r="J331" s="11">
        <v>0</v>
      </c>
      <c r="K331" s="12">
        <f t="shared" si="30"/>
        <v>0</v>
      </c>
      <c r="L331" s="12">
        <f t="shared" si="31"/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1">
        <v>0</v>
      </c>
      <c r="S331" s="6"/>
      <c r="T331" s="6"/>
      <c r="U331" s="6"/>
      <c r="V331" s="7" t="b">
        <v>1</v>
      </c>
      <c r="W331" s="8">
        <f>IFERROR(VLOOKUP(D331,Teams!$B$2:$I$21,6,FALSE),"")</f>
        <v>0</v>
      </c>
      <c r="X331" s="2" t="s">
        <v>65</v>
      </c>
      <c r="Y331" s="13"/>
      <c r="Z331" s="14"/>
      <c r="AA331" s="15">
        <f>IFERROR(H331/(H331+Priors!$G$3),0)</f>
        <v>0</v>
      </c>
      <c r="AB331" s="16">
        <f>VLOOKUP(E331,Priors!$A$3:$C$6,2,FALSE)</f>
        <v>2.4013207263995197E-4</v>
      </c>
      <c r="AC331" s="16">
        <f>VLOOKUP(E331,Priors!$A$3:$C$6,3,FALSE)</f>
        <v>1.9810895992796044E-3</v>
      </c>
      <c r="AD331" s="12">
        <f t="shared" si="32"/>
        <v>2.4013207263995197E-4</v>
      </c>
      <c r="AE331" s="12">
        <f t="shared" si="33"/>
        <v>1.9810895992796044E-3</v>
      </c>
      <c r="AF331" s="17">
        <v>1</v>
      </c>
      <c r="AG331" s="17">
        <v>1</v>
      </c>
      <c r="AH331" s="16">
        <f>IFERROR(VLOOKUP(D331,Teams!$B$2:$I$21,7,FALSE),1)</f>
        <v>1</v>
      </c>
      <c r="AI331" s="12">
        <f t="shared" si="34"/>
        <v>2.4013207263995197E-4</v>
      </c>
      <c r="AJ331" s="12">
        <f t="shared" si="35"/>
        <v>1.9810895992796044E-3</v>
      </c>
      <c r="AK331" s="6" t="s">
        <v>66</v>
      </c>
      <c r="AL331" s="18"/>
      <c r="AM331" s="23"/>
      <c r="AN331" s="24">
        <v>1E-3</v>
      </c>
      <c r="AO331" s="25" t="b">
        <v>1</v>
      </c>
      <c r="AP331" s="23" t="s">
        <v>475</v>
      </c>
      <c r="AQ331" s="25" t="b">
        <v>0</v>
      </c>
      <c r="AR331" s="23"/>
      <c r="AS331" s="23" t="s">
        <v>68</v>
      </c>
    </row>
    <row r="332" spans="1:45" ht="60">
      <c r="A332" s="6">
        <v>562</v>
      </c>
      <c r="B332" s="6" t="s">
        <v>971</v>
      </c>
      <c r="C332" s="6" t="s">
        <v>972</v>
      </c>
      <c r="D332" s="6" t="s">
        <v>903</v>
      </c>
      <c r="E332" s="6" t="s">
        <v>11</v>
      </c>
      <c r="F332" s="9">
        <v>5.5</v>
      </c>
      <c r="G332" s="9">
        <v>5.5</v>
      </c>
      <c r="H332" s="10">
        <v>0</v>
      </c>
      <c r="I332" s="11">
        <v>0</v>
      </c>
      <c r="J332" s="11">
        <v>0</v>
      </c>
      <c r="K332" s="12">
        <f t="shared" si="30"/>
        <v>0</v>
      </c>
      <c r="L332" s="12">
        <f t="shared" si="31"/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1">
        <v>0</v>
      </c>
      <c r="S332" s="6"/>
      <c r="T332" s="6"/>
      <c r="U332" s="6"/>
      <c r="V332" s="7" t="b">
        <v>1</v>
      </c>
      <c r="W332" s="8">
        <f>IFERROR(VLOOKUP(D332,Teams!$B$2:$I$21,6,FALSE),"")</f>
        <v>0</v>
      </c>
      <c r="X332" s="2" t="s">
        <v>65</v>
      </c>
      <c r="Y332" s="13"/>
      <c r="Z332" s="14"/>
      <c r="AA332" s="15">
        <f>IFERROR(H332/(H332+Priors!$G$3),0)</f>
        <v>0</v>
      </c>
      <c r="AB332" s="16">
        <f>VLOOKUP(E332,Priors!$A$3:$C$6,2,FALSE)</f>
        <v>0.15714383234350468</v>
      </c>
      <c r="AC332" s="16">
        <f>VLOOKUP(E332,Priors!$A$3:$C$6,3,FALSE)</f>
        <v>0.13222062939449797</v>
      </c>
      <c r="AD332" s="12">
        <f t="shared" si="32"/>
        <v>0.15714383234350468</v>
      </c>
      <c r="AE332" s="12">
        <f t="shared" si="33"/>
        <v>0.13222062939449797</v>
      </c>
      <c r="AF332" s="17">
        <v>1</v>
      </c>
      <c r="AG332" s="17">
        <v>1</v>
      </c>
      <c r="AH332" s="16">
        <f>IFERROR(VLOOKUP(D332,Teams!$B$2:$I$21,7,FALSE),1)</f>
        <v>1</v>
      </c>
      <c r="AI332" s="12">
        <f t="shared" si="34"/>
        <v>0.15714383234350468</v>
      </c>
      <c r="AJ332" s="12">
        <f t="shared" si="35"/>
        <v>0.13222062939449797</v>
      </c>
      <c r="AK332" s="6" t="s">
        <v>66</v>
      </c>
      <c r="AL332" s="18"/>
      <c r="AM332" s="23"/>
      <c r="AN332" s="24">
        <v>4.0000000000000001E-3</v>
      </c>
      <c r="AO332" s="25" t="b">
        <v>1</v>
      </c>
      <c r="AP332" s="23" t="s">
        <v>973</v>
      </c>
      <c r="AQ332" s="25" t="b">
        <v>0</v>
      </c>
      <c r="AR332" s="23"/>
      <c r="AS332" s="23" t="s">
        <v>68</v>
      </c>
    </row>
    <row r="333" spans="1:45" ht="60">
      <c r="A333" s="6">
        <v>564</v>
      </c>
      <c r="B333" s="6" t="s">
        <v>974</v>
      </c>
      <c r="C333" s="6" t="s">
        <v>975</v>
      </c>
      <c r="D333" s="6" t="s">
        <v>903</v>
      </c>
      <c r="E333" s="6" t="s">
        <v>7</v>
      </c>
      <c r="F333" s="9">
        <v>4.5</v>
      </c>
      <c r="G333" s="9">
        <v>4.5</v>
      </c>
      <c r="H333" s="10">
        <v>0</v>
      </c>
      <c r="I333" s="11">
        <v>0</v>
      </c>
      <c r="J333" s="11">
        <v>0</v>
      </c>
      <c r="K333" s="12">
        <f t="shared" si="30"/>
        <v>0</v>
      </c>
      <c r="L333" s="12">
        <f t="shared" si="31"/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1">
        <v>0</v>
      </c>
      <c r="S333" s="6"/>
      <c r="T333" s="6"/>
      <c r="U333" s="6"/>
      <c r="V333" s="7" t="b">
        <v>1</v>
      </c>
      <c r="W333" s="8">
        <f>IFERROR(VLOOKUP(D333,Teams!$B$2:$I$21,6,FALSE),"")</f>
        <v>0</v>
      </c>
      <c r="X333" s="2" t="s">
        <v>65</v>
      </c>
      <c r="Y333" s="13"/>
      <c r="Z333" s="14"/>
      <c r="AA333" s="15">
        <f>IFERROR(H333/(H333+Priors!$G$3),0)</f>
        <v>0</v>
      </c>
      <c r="AB333" s="16">
        <f>VLOOKUP(E333,Priors!$A$3:$C$6,2,FALSE)</f>
        <v>2.4013207263995197E-4</v>
      </c>
      <c r="AC333" s="16">
        <f>VLOOKUP(E333,Priors!$A$3:$C$6,3,FALSE)</f>
        <v>1.9810895992796044E-3</v>
      </c>
      <c r="AD333" s="12">
        <f t="shared" si="32"/>
        <v>2.4013207263995197E-4</v>
      </c>
      <c r="AE333" s="12">
        <f t="shared" si="33"/>
        <v>1.9810895992796044E-3</v>
      </c>
      <c r="AF333" s="17">
        <v>1</v>
      </c>
      <c r="AG333" s="17">
        <v>1</v>
      </c>
      <c r="AH333" s="16">
        <f>IFERROR(VLOOKUP(D333,Teams!$B$2:$I$21,7,FALSE),1)</f>
        <v>1</v>
      </c>
      <c r="AI333" s="12">
        <f t="shared" si="34"/>
        <v>2.4013207263995197E-4</v>
      </c>
      <c r="AJ333" s="12">
        <f t="shared" si="35"/>
        <v>1.9810895992796044E-3</v>
      </c>
      <c r="AK333" s="6" t="s">
        <v>66</v>
      </c>
      <c r="AL333" s="18"/>
      <c r="AM333" s="23"/>
      <c r="AN333" s="24">
        <v>2E-3</v>
      </c>
      <c r="AO333" s="25" t="b">
        <v>1</v>
      </c>
      <c r="AP333" s="23" t="s">
        <v>976</v>
      </c>
      <c r="AQ333" s="25" t="b">
        <v>0</v>
      </c>
      <c r="AR333" s="23"/>
      <c r="AS333" s="23" t="s">
        <v>68</v>
      </c>
    </row>
    <row r="334" spans="1:45" ht="60">
      <c r="A334" s="6">
        <v>260</v>
      </c>
      <c r="B334" s="6" t="s">
        <v>384</v>
      </c>
      <c r="C334" s="6" t="s">
        <v>977</v>
      </c>
      <c r="D334" s="6" t="s">
        <v>978</v>
      </c>
      <c r="E334" s="6" t="s">
        <v>11</v>
      </c>
      <c r="F334" s="9">
        <v>6.5</v>
      </c>
      <c r="G334" s="9">
        <v>6.5</v>
      </c>
      <c r="H334" s="10">
        <v>2674</v>
      </c>
      <c r="I334" s="11">
        <v>5.88</v>
      </c>
      <c r="J334" s="11">
        <v>4.7699999999999996</v>
      </c>
      <c r="K334" s="12">
        <f t="shared" si="30"/>
        <v>0.19790575916230368</v>
      </c>
      <c r="L334" s="12">
        <f t="shared" si="31"/>
        <v>0.16054599850411366</v>
      </c>
      <c r="M334" s="10">
        <v>10</v>
      </c>
      <c r="N334" s="10">
        <v>9</v>
      </c>
      <c r="O334" s="10">
        <v>168</v>
      </c>
      <c r="P334" s="10">
        <v>4.7</v>
      </c>
      <c r="Q334" s="10">
        <v>32</v>
      </c>
      <c r="R334" s="11">
        <v>5.96</v>
      </c>
      <c r="S334" s="6"/>
      <c r="T334" s="6"/>
      <c r="U334" s="6"/>
      <c r="V334" s="7" t="b">
        <v>1</v>
      </c>
      <c r="W334" s="8">
        <f>IFERROR(VLOOKUP(D334,Teams!$B$2:$I$21,6,FALSE),"")</f>
        <v>0</v>
      </c>
      <c r="X334" s="2" t="s">
        <v>65</v>
      </c>
      <c r="Y334" s="13"/>
      <c r="Z334" s="14"/>
      <c r="AA334" s="15">
        <f>IFERROR(H334/(H334+Priors!$G$3),0)</f>
        <v>0.72781709308655418</v>
      </c>
      <c r="AB334" s="16">
        <f>VLOOKUP(E334,Priors!$A$3:$C$6,2,FALSE)</f>
        <v>0.15714383234350468</v>
      </c>
      <c r="AC334" s="16">
        <f>VLOOKUP(E334,Priors!$A$3:$C$6,3,FALSE)</f>
        <v>0.13222062939449797</v>
      </c>
      <c r="AD334" s="12">
        <f t="shared" si="32"/>
        <v>0.18681105942936982</v>
      </c>
      <c r="AE334" s="12">
        <f t="shared" si="33"/>
        <v>0.15283631720046215</v>
      </c>
      <c r="AF334" s="17">
        <v>1</v>
      </c>
      <c r="AG334" s="17">
        <v>1</v>
      </c>
      <c r="AH334" s="16">
        <f>IFERROR(VLOOKUP(D334,Teams!$B$2:$I$21,7,FALSE),1)</f>
        <v>1</v>
      </c>
      <c r="AI334" s="12">
        <f t="shared" si="34"/>
        <v>0.18681105942936982</v>
      </c>
      <c r="AJ334" s="12">
        <f t="shared" si="35"/>
        <v>0.15283631720046215</v>
      </c>
      <c r="AK334" s="6" t="s">
        <v>66</v>
      </c>
      <c r="AL334" s="18"/>
      <c r="AM334" s="23"/>
      <c r="AN334" s="24">
        <v>8.5999999999999993E-2</v>
      </c>
      <c r="AO334" s="25" t="b">
        <v>1</v>
      </c>
      <c r="AP334" s="23" t="s">
        <v>948</v>
      </c>
      <c r="AQ334" s="25" t="b">
        <v>0</v>
      </c>
      <c r="AR334" s="23"/>
      <c r="AS334" s="23" t="s">
        <v>68</v>
      </c>
    </row>
    <row r="335" spans="1:45" ht="60">
      <c r="A335" s="6">
        <v>326</v>
      </c>
      <c r="B335" s="6" t="s">
        <v>979</v>
      </c>
      <c r="C335" s="6" t="s">
        <v>980</v>
      </c>
      <c r="D335" s="6" t="s">
        <v>978</v>
      </c>
      <c r="E335" s="6" t="s">
        <v>7</v>
      </c>
      <c r="F335" s="9">
        <v>4.5</v>
      </c>
      <c r="G335" s="9">
        <v>4.5</v>
      </c>
      <c r="H335" s="10">
        <v>1440</v>
      </c>
      <c r="I335" s="11">
        <v>0</v>
      </c>
      <c r="J335" s="11">
        <v>0</v>
      </c>
      <c r="K335" s="12">
        <f t="shared" si="30"/>
        <v>0</v>
      </c>
      <c r="L335" s="12">
        <f t="shared" si="31"/>
        <v>0</v>
      </c>
      <c r="M335" s="10">
        <v>0</v>
      </c>
      <c r="N335" s="10">
        <v>0</v>
      </c>
      <c r="O335" s="10">
        <v>43</v>
      </c>
      <c r="P335" s="10">
        <v>2.7</v>
      </c>
      <c r="Q335" s="10">
        <v>16</v>
      </c>
      <c r="R335" s="11">
        <v>0</v>
      </c>
      <c r="S335" s="6"/>
      <c r="T335" s="6"/>
      <c r="U335" s="6"/>
      <c r="V335" s="7" t="b">
        <v>0</v>
      </c>
      <c r="W335" s="8">
        <f>IFERROR(VLOOKUP(D335,Teams!$B$2:$I$21,6,FALSE),"")</f>
        <v>0</v>
      </c>
      <c r="X335" s="2" t="s">
        <v>65</v>
      </c>
      <c r="Y335" s="13"/>
      <c r="Z335" s="14"/>
      <c r="AA335" s="15">
        <f>IFERROR(H335/(H335+Priors!$G$3),0)</f>
        <v>0.5901639344262295</v>
      </c>
      <c r="AB335" s="16">
        <f>VLOOKUP(E335,Priors!$A$3:$C$6,2,FALSE)</f>
        <v>2.4013207263995197E-4</v>
      </c>
      <c r="AC335" s="16">
        <f>VLOOKUP(E335,Priors!$A$3:$C$6,3,FALSE)</f>
        <v>1.9810895992796044E-3</v>
      </c>
      <c r="AD335" s="12">
        <f t="shared" si="32"/>
        <v>9.8414783868832782E-5</v>
      </c>
      <c r="AE335" s="12">
        <f t="shared" si="33"/>
        <v>8.119219669178707E-4</v>
      </c>
      <c r="AF335" s="17">
        <v>1</v>
      </c>
      <c r="AG335" s="17">
        <v>1</v>
      </c>
      <c r="AH335" s="16">
        <f>IFERROR(VLOOKUP(D335,Teams!$B$2:$I$21,7,FALSE),1)</f>
        <v>1</v>
      </c>
      <c r="AI335" s="12">
        <f t="shared" si="34"/>
        <v>9.8414783868832782E-5</v>
      </c>
      <c r="AJ335" s="12">
        <f t="shared" si="35"/>
        <v>8.119219669178707E-4</v>
      </c>
      <c r="AK335" s="6" t="s">
        <v>66</v>
      </c>
      <c r="AL335" s="18"/>
      <c r="AM335" s="23"/>
      <c r="AN335" s="24">
        <v>6.9999999999999993E-3</v>
      </c>
      <c r="AO335" s="25" t="b">
        <v>1</v>
      </c>
      <c r="AP335" s="23" t="s">
        <v>141</v>
      </c>
      <c r="AQ335" s="25" t="b">
        <v>0</v>
      </c>
      <c r="AR335" s="23"/>
      <c r="AS335" s="23" t="s">
        <v>68</v>
      </c>
    </row>
    <row r="336" spans="1:45" ht="60">
      <c r="A336" s="6">
        <v>327</v>
      </c>
      <c r="B336" s="6" t="s">
        <v>981</v>
      </c>
      <c r="C336" s="6" t="s">
        <v>982</v>
      </c>
      <c r="D336" s="6" t="s">
        <v>978</v>
      </c>
      <c r="E336" s="6" t="s">
        <v>9</v>
      </c>
      <c r="F336" s="9">
        <v>5</v>
      </c>
      <c r="G336" s="9">
        <v>5</v>
      </c>
      <c r="H336" s="10">
        <v>1888</v>
      </c>
      <c r="I336" s="11">
        <v>0.9</v>
      </c>
      <c r="J336" s="11">
        <v>0.75</v>
      </c>
      <c r="K336" s="12">
        <f t="shared" si="30"/>
        <v>4.2902542372881353E-2</v>
      </c>
      <c r="L336" s="12">
        <f t="shared" si="31"/>
        <v>3.5752118644067798E-2</v>
      </c>
      <c r="M336" s="10">
        <v>1</v>
      </c>
      <c r="N336" s="10">
        <v>3</v>
      </c>
      <c r="O336" s="10">
        <v>99</v>
      </c>
      <c r="P336" s="10">
        <v>4</v>
      </c>
      <c r="Q336" s="10">
        <v>21</v>
      </c>
      <c r="R336" s="11">
        <v>10.44</v>
      </c>
      <c r="S336" s="6"/>
      <c r="T336" s="6"/>
      <c r="U336" s="6"/>
      <c r="V336" s="7" t="b">
        <v>0</v>
      </c>
      <c r="W336" s="8">
        <f>IFERROR(VLOOKUP(D336,Teams!$B$2:$I$21,6,FALSE),"")</f>
        <v>0</v>
      </c>
      <c r="X336" s="2" t="s">
        <v>65</v>
      </c>
      <c r="Y336" s="13"/>
      <c r="Z336" s="14"/>
      <c r="AA336" s="15">
        <f>IFERROR(H336/(H336+Priors!$G$3),0)</f>
        <v>0.65373961218836563</v>
      </c>
      <c r="AB336" s="16">
        <f>VLOOKUP(E336,Priors!$A$3:$C$6,2,FALSE)</f>
        <v>6.0081391379341341E-2</v>
      </c>
      <c r="AC336" s="16">
        <f>VLOOKUP(E336,Priors!$A$3:$C$6,3,FALSE)</f>
        <v>5.9588191961478354E-2</v>
      </c>
      <c r="AD336" s="12">
        <f t="shared" si="32"/>
        <v>4.8850897292015694E-2</v>
      </c>
      <c r="AE336" s="12">
        <f t="shared" si="33"/>
        <v>4.400560663486093E-2</v>
      </c>
      <c r="AF336" s="17">
        <v>1</v>
      </c>
      <c r="AG336" s="17">
        <v>1</v>
      </c>
      <c r="AH336" s="16">
        <f>IFERROR(VLOOKUP(D336,Teams!$B$2:$I$21,7,FALSE),1)</f>
        <v>1</v>
      </c>
      <c r="AI336" s="12">
        <f t="shared" si="34"/>
        <v>4.8850897292015694E-2</v>
      </c>
      <c r="AJ336" s="12">
        <f t="shared" si="35"/>
        <v>4.400560663486093E-2</v>
      </c>
      <c r="AK336" s="6" t="s">
        <v>66</v>
      </c>
      <c r="AL336" s="18"/>
      <c r="AM336" s="23"/>
      <c r="AN336" s="24">
        <v>3.0000000000000001E-3</v>
      </c>
      <c r="AO336" s="25" t="b">
        <v>1</v>
      </c>
      <c r="AP336" s="23" t="s">
        <v>983</v>
      </c>
      <c r="AQ336" s="25" t="b">
        <v>0</v>
      </c>
      <c r="AR336" s="23"/>
      <c r="AS336" s="23" t="s">
        <v>68</v>
      </c>
    </row>
    <row r="337" spans="1:45" ht="60">
      <c r="A337" s="6">
        <v>329</v>
      </c>
      <c r="B337" s="6" t="s">
        <v>984</v>
      </c>
      <c r="C337" s="6" t="s">
        <v>985</v>
      </c>
      <c r="D337" s="6" t="s">
        <v>978</v>
      </c>
      <c r="E337" s="6" t="s">
        <v>9</v>
      </c>
      <c r="F337" s="9">
        <v>4.5</v>
      </c>
      <c r="G337" s="9">
        <v>4.5</v>
      </c>
      <c r="H337" s="10">
        <v>2952</v>
      </c>
      <c r="I337" s="11">
        <v>1.4</v>
      </c>
      <c r="J337" s="11">
        <v>0.56000000000000005</v>
      </c>
      <c r="K337" s="12">
        <f t="shared" si="30"/>
        <v>4.2682926829268289E-2</v>
      </c>
      <c r="L337" s="12">
        <f t="shared" si="31"/>
        <v>1.7073170731707318E-2</v>
      </c>
      <c r="M337" s="10">
        <v>2</v>
      </c>
      <c r="N337" s="10">
        <v>0</v>
      </c>
      <c r="O337" s="10">
        <v>109</v>
      </c>
      <c r="P337" s="10">
        <v>3.1</v>
      </c>
      <c r="Q337" s="10">
        <v>33</v>
      </c>
      <c r="R337" s="11">
        <v>8.35</v>
      </c>
      <c r="S337" s="6"/>
      <c r="T337" s="6"/>
      <c r="U337" s="6"/>
      <c r="V337" s="7" t="b">
        <v>0</v>
      </c>
      <c r="W337" s="8">
        <f>IFERROR(VLOOKUP(D337,Teams!$B$2:$I$21,6,FALSE),"")</f>
        <v>0</v>
      </c>
      <c r="X337" s="2" t="s">
        <v>65</v>
      </c>
      <c r="Y337" s="13"/>
      <c r="Z337" s="14"/>
      <c r="AA337" s="15">
        <f>IFERROR(H337/(H337+Priors!$G$3),0)</f>
        <v>0.74696356275303644</v>
      </c>
      <c r="AB337" s="16">
        <f>VLOOKUP(E337,Priors!$A$3:$C$6,2,FALSE)</f>
        <v>6.0081391379341341E-2</v>
      </c>
      <c r="AC337" s="16">
        <f>VLOOKUP(E337,Priors!$A$3:$C$6,3,FALSE)</f>
        <v>5.9588191961478354E-2</v>
      </c>
      <c r="AD337" s="12">
        <f t="shared" si="32"/>
        <v>4.7085372312586367E-2</v>
      </c>
      <c r="AE337" s="12">
        <f t="shared" si="33"/>
        <v>2.7831020233167601E-2</v>
      </c>
      <c r="AF337" s="17">
        <v>1</v>
      </c>
      <c r="AG337" s="17">
        <v>1</v>
      </c>
      <c r="AH337" s="16">
        <f>IFERROR(VLOOKUP(D337,Teams!$B$2:$I$21,7,FALSE),1)</f>
        <v>1</v>
      </c>
      <c r="AI337" s="12">
        <f t="shared" si="34"/>
        <v>4.7085372312586367E-2</v>
      </c>
      <c r="AJ337" s="12">
        <f t="shared" si="35"/>
        <v>2.7831020233167601E-2</v>
      </c>
      <c r="AK337" s="6" t="s">
        <v>66</v>
      </c>
      <c r="AL337" s="18"/>
      <c r="AM337" s="23"/>
      <c r="AN337" s="24">
        <v>1.8000000000000002E-2</v>
      </c>
      <c r="AO337" s="25" t="b">
        <v>1</v>
      </c>
      <c r="AP337" s="23" t="s">
        <v>986</v>
      </c>
      <c r="AQ337" s="25" t="b">
        <v>0</v>
      </c>
      <c r="AR337" s="23"/>
      <c r="AS337" s="23" t="s">
        <v>68</v>
      </c>
    </row>
    <row r="338" spans="1:45" ht="60">
      <c r="A338" s="6">
        <v>330</v>
      </c>
      <c r="B338" s="6" t="s">
        <v>987</v>
      </c>
      <c r="C338" s="6" t="s">
        <v>988</v>
      </c>
      <c r="D338" s="6" t="s">
        <v>978</v>
      </c>
      <c r="E338" s="6" t="s">
        <v>9</v>
      </c>
      <c r="F338" s="9">
        <v>4.5</v>
      </c>
      <c r="G338" s="9">
        <v>4.5</v>
      </c>
      <c r="H338" s="10">
        <v>2795</v>
      </c>
      <c r="I338" s="11">
        <v>2.08</v>
      </c>
      <c r="J338" s="11">
        <v>3.11</v>
      </c>
      <c r="K338" s="12">
        <f t="shared" si="30"/>
        <v>6.6976744186046516E-2</v>
      </c>
      <c r="L338" s="12">
        <f t="shared" si="31"/>
        <v>0.10014311270125223</v>
      </c>
      <c r="M338" s="10">
        <v>1</v>
      </c>
      <c r="N338" s="10">
        <v>5</v>
      </c>
      <c r="O338" s="10">
        <v>96</v>
      </c>
      <c r="P338" s="10">
        <v>2.8</v>
      </c>
      <c r="Q338" s="10">
        <v>32</v>
      </c>
      <c r="R338" s="11">
        <v>5.73</v>
      </c>
      <c r="S338" s="6"/>
      <c r="T338" s="6"/>
      <c r="U338" s="6"/>
      <c r="V338" s="7" t="b">
        <v>0</v>
      </c>
      <c r="W338" s="8">
        <f>IFERROR(VLOOKUP(D338,Teams!$B$2:$I$21,6,FALSE),"")</f>
        <v>0</v>
      </c>
      <c r="X338" s="2" t="s">
        <v>65</v>
      </c>
      <c r="Y338" s="13"/>
      <c r="Z338" s="14"/>
      <c r="AA338" s="15">
        <f>IFERROR(H338/(H338+Priors!$G$3),0)</f>
        <v>0.73649538866930175</v>
      </c>
      <c r="AB338" s="16">
        <f>VLOOKUP(E338,Priors!$A$3:$C$6,2,FALSE)</f>
        <v>6.0081391379341341E-2</v>
      </c>
      <c r="AC338" s="16">
        <f>VLOOKUP(E338,Priors!$A$3:$C$6,3,FALSE)</f>
        <v>5.9588191961478354E-2</v>
      </c>
      <c r="AD338" s="12">
        <f t="shared" si="32"/>
        <v>6.5159786924727625E-2</v>
      </c>
      <c r="AE338" s="12">
        <f t="shared" si="33"/>
        <v>8.9456704074170834E-2</v>
      </c>
      <c r="AF338" s="17">
        <v>1</v>
      </c>
      <c r="AG338" s="17">
        <v>1</v>
      </c>
      <c r="AH338" s="16">
        <f>IFERROR(VLOOKUP(D338,Teams!$B$2:$I$21,7,FALSE),1)</f>
        <v>1</v>
      </c>
      <c r="AI338" s="12">
        <f t="shared" si="34"/>
        <v>6.5159786924727625E-2</v>
      </c>
      <c r="AJ338" s="12">
        <f t="shared" si="35"/>
        <v>8.9456704074170834E-2</v>
      </c>
      <c r="AK338" s="6" t="s">
        <v>66</v>
      </c>
      <c r="AL338" s="18"/>
      <c r="AM338" s="23"/>
      <c r="AN338" s="24">
        <v>4.0000000000000001E-3</v>
      </c>
      <c r="AO338" s="25" t="b">
        <v>1</v>
      </c>
      <c r="AP338" s="23" t="s">
        <v>989</v>
      </c>
      <c r="AQ338" s="25" t="b">
        <v>0</v>
      </c>
      <c r="AR338" s="23"/>
      <c r="AS338" s="23" t="s">
        <v>68</v>
      </c>
    </row>
    <row r="339" spans="1:45" ht="60">
      <c r="A339" s="6">
        <v>331</v>
      </c>
      <c r="B339" s="6" t="s">
        <v>990</v>
      </c>
      <c r="C339" s="6" t="s">
        <v>991</v>
      </c>
      <c r="D339" s="6" t="s">
        <v>978</v>
      </c>
      <c r="E339" s="6" t="s">
        <v>9</v>
      </c>
      <c r="F339" s="9">
        <v>4.5</v>
      </c>
      <c r="G339" s="9">
        <v>4.5</v>
      </c>
      <c r="H339" s="10">
        <v>2637</v>
      </c>
      <c r="I339" s="11">
        <v>1.1000000000000001</v>
      </c>
      <c r="J339" s="11">
        <v>2.89</v>
      </c>
      <c r="K339" s="12">
        <f t="shared" si="30"/>
        <v>3.7542662116040959E-2</v>
      </c>
      <c r="L339" s="12">
        <f t="shared" si="31"/>
        <v>9.8634812286689424E-2</v>
      </c>
      <c r="M339" s="10">
        <v>0</v>
      </c>
      <c r="N339" s="10">
        <v>0</v>
      </c>
      <c r="O339" s="10">
        <v>68</v>
      </c>
      <c r="P339" s="10">
        <v>2.1</v>
      </c>
      <c r="Q339" s="10">
        <v>31</v>
      </c>
      <c r="R339" s="11">
        <v>6.28</v>
      </c>
      <c r="S339" s="6"/>
      <c r="T339" s="6"/>
      <c r="U339" s="6"/>
      <c r="V339" s="7" t="b">
        <v>0</v>
      </c>
      <c r="W339" s="8">
        <f>IFERROR(VLOOKUP(D339,Teams!$B$2:$I$21,6,FALSE),"")</f>
        <v>0</v>
      </c>
      <c r="X339" s="2" t="s">
        <v>65</v>
      </c>
      <c r="Y339" s="13"/>
      <c r="Z339" s="14"/>
      <c r="AA339" s="15">
        <f>IFERROR(H339/(H339+Priors!$G$3),0)</f>
        <v>0.72504811657959856</v>
      </c>
      <c r="AB339" s="16">
        <f>VLOOKUP(E339,Priors!$A$3:$C$6,2,FALSE)</f>
        <v>6.0081391379341341E-2</v>
      </c>
      <c r="AC339" s="16">
        <f>VLOOKUP(E339,Priors!$A$3:$C$6,3,FALSE)</f>
        <v>5.9588191961478354E-2</v>
      </c>
      <c r="AD339" s="12">
        <f t="shared" si="32"/>
        <v>4.3739728176887913E-2</v>
      </c>
      <c r="AE339" s="12">
        <f t="shared" si="33"/>
        <v>8.7898870487071318E-2</v>
      </c>
      <c r="AF339" s="17">
        <v>1</v>
      </c>
      <c r="AG339" s="17">
        <v>1</v>
      </c>
      <c r="AH339" s="16">
        <f>IFERROR(VLOOKUP(D339,Teams!$B$2:$I$21,7,FALSE),1)</f>
        <v>1</v>
      </c>
      <c r="AI339" s="12">
        <f t="shared" si="34"/>
        <v>4.3739728176887913E-2</v>
      </c>
      <c r="AJ339" s="12">
        <f t="shared" si="35"/>
        <v>8.7898870487071318E-2</v>
      </c>
      <c r="AK339" s="6" t="s">
        <v>66</v>
      </c>
      <c r="AL339" s="18"/>
      <c r="AM339" s="23"/>
      <c r="AN339" s="24">
        <v>5.0000000000000001E-3</v>
      </c>
      <c r="AO339" s="25" t="b">
        <v>1</v>
      </c>
      <c r="AP339" s="23" t="s">
        <v>992</v>
      </c>
      <c r="AQ339" s="25" t="b">
        <v>0</v>
      </c>
      <c r="AR339" s="23"/>
      <c r="AS339" s="23" t="s">
        <v>68</v>
      </c>
    </row>
    <row r="340" spans="1:45" ht="60">
      <c r="A340" s="6">
        <v>332</v>
      </c>
      <c r="B340" s="6" t="s">
        <v>993</v>
      </c>
      <c r="C340" s="6" t="s">
        <v>994</v>
      </c>
      <c r="D340" s="6" t="s">
        <v>978</v>
      </c>
      <c r="E340" s="6" t="s">
        <v>9</v>
      </c>
      <c r="F340" s="9">
        <v>4.5</v>
      </c>
      <c r="G340" s="9">
        <v>4.5</v>
      </c>
      <c r="H340" s="10">
        <v>1893</v>
      </c>
      <c r="I340" s="11">
        <v>1.83</v>
      </c>
      <c r="J340" s="11">
        <v>1.1599999999999999</v>
      </c>
      <c r="K340" s="12">
        <f t="shared" si="30"/>
        <v>8.7004754358161657E-2</v>
      </c>
      <c r="L340" s="12">
        <f t="shared" si="31"/>
        <v>5.5150554675118854E-2</v>
      </c>
      <c r="M340" s="10">
        <v>2</v>
      </c>
      <c r="N340" s="10">
        <v>1</v>
      </c>
      <c r="O340" s="10">
        <v>94</v>
      </c>
      <c r="P340" s="10">
        <v>3.2</v>
      </c>
      <c r="Q340" s="10">
        <v>21</v>
      </c>
      <c r="R340" s="11">
        <v>8.6999999999999993</v>
      </c>
      <c r="S340" s="6"/>
      <c r="T340" s="6"/>
      <c r="U340" s="6"/>
      <c r="V340" s="7" t="b">
        <v>0</v>
      </c>
      <c r="W340" s="8">
        <f>IFERROR(VLOOKUP(D340,Teams!$B$2:$I$21,6,FALSE),"")</f>
        <v>0</v>
      </c>
      <c r="X340" s="2" t="s">
        <v>65</v>
      </c>
      <c r="Y340" s="13"/>
      <c r="Z340" s="14"/>
      <c r="AA340" s="15">
        <f>IFERROR(H340/(H340+Priors!$G$3),0)</f>
        <v>0.65433805737988249</v>
      </c>
      <c r="AB340" s="16">
        <f>VLOOKUP(E340,Priors!$A$3:$C$6,2,FALSE)</f>
        <v>6.0081391379341341E-2</v>
      </c>
      <c r="AC340" s="16">
        <f>VLOOKUP(E340,Priors!$A$3:$C$6,3,FALSE)</f>
        <v>5.9588191961478354E-2</v>
      </c>
      <c r="AD340" s="12">
        <f t="shared" si="32"/>
        <v>7.7698372409036071E-2</v>
      </c>
      <c r="AE340" s="12">
        <f t="shared" si="33"/>
        <v>5.6684477000165351E-2</v>
      </c>
      <c r="AF340" s="17">
        <v>1</v>
      </c>
      <c r="AG340" s="17">
        <v>1</v>
      </c>
      <c r="AH340" s="16">
        <f>IFERROR(VLOOKUP(D340,Teams!$B$2:$I$21,7,FALSE),1)</f>
        <v>1</v>
      </c>
      <c r="AI340" s="12">
        <f t="shared" si="34"/>
        <v>7.7698372409036071E-2</v>
      </c>
      <c r="AJ340" s="12">
        <f t="shared" si="35"/>
        <v>5.6684477000165351E-2</v>
      </c>
      <c r="AK340" s="6" t="s">
        <v>66</v>
      </c>
      <c r="AL340" s="18"/>
      <c r="AM340" s="23"/>
      <c r="AN340" s="24">
        <v>5.0000000000000001E-3</v>
      </c>
      <c r="AO340" s="25" t="b">
        <v>1</v>
      </c>
      <c r="AP340" s="23" t="s">
        <v>766</v>
      </c>
      <c r="AQ340" s="25" t="b">
        <v>0</v>
      </c>
      <c r="AR340" s="23"/>
      <c r="AS340" s="23" t="s">
        <v>68</v>
      </c>
    </row>
    <row r="341" spans="1:45" ht="60">
      <c r="A341" s="6">
        <v>333</v>
      </c>
      <c r="B341" s="6" t="s">
        <v>995</v>
      </c>
      <c r="C341" s="6" t="s">
        <v>996</v>
      </c>
      <c r="D341" s="6" t="s">
        <v>978</v>
      </c>
      <c r="E341" s="6" t="s">
        <v>9</v>
      </c>
      <c r="F341" s="9">
        <v>4.5</v>
      </c>
      <c r="G341" s="9">
        <v>4.5</v>
      </c>
      <c r="H341" s="10">
        <v>429</v>
      </c>
      <c r="I341" s="11">
        <v>0.2</v>
      </c>
      <c r="J341" s="11">
        <v>0.01</v>
      </c>
      <c r="K341" s="12">
        <f t="shared" si="30"/>
        <v>4.195804195804196E-2</v>
      </c>
      <c r="L341" s="12">
        <f t="shared" si="31"/>
        <v>2.0979020979020979E-3</v>
      </c>
      <c r="M341" s="10">
        <v>0</v>
      </c>
      <c r="N341" s="10">
        <v>0</v>
      </c>
      <c r="O341" s="10">
        <v>25</v>
      </c>
      <c r="P341" s="10">
        <v>2.1</v>
      </c>
      <c r="Q341" s="10">
        <v>5</v>
      </c>
      <c r="R341" s="11">
        <v>10.28</v>
      </c>
      <c r="S341" s="6"/>
      <c r="T341" s="6"/>
      <c r="U341" s="6"/>
      <c r="V341" s="7" t="b">
        <v>0</v>
      </c>
      <c r="W341" s="8">
        <f>IFERROR(VLOOKUP(D341,Teams!$B$2:$I$21,6,FALSE),"")</f>
        <v>0</v>
      </c>
      <c r="X341" s="2" t="s">
        <v>65</v>
      </c>
      <c r="Y341" s="13"/>
      <c r="Z341" s="14"/>
      <c r="AA341" s="15">
        <f>IFERROR(H341/(H341+Priors!$G$3),0)</f>
        <v>0.30020993701889431</v>
      </c>
      <c r="AB341" s="16">
        <f>VLOOKUP(E341,Priors!$A$3:$C$6,2,FALSE)</f>
        <v>6.0081391379341341E-2</v>
      </c>
      <c r="AC341" s="16">
        <f>VLOOKUP(E341,Priors!$A$3:$C$6,3,FALSE)</f>
        <v>5.9588191961478354E-2</v>
      </c>
      <c r="AD341" s="12">
        <f t="shared" si="32"/>
        <v>5.464058179100164E-2</v>
      </c>
      <c r="AE341" s="12">
        <f t="shared" si="33"/>
        <v>4.2329035662336145E-2</v>
      </c>
      <c r="AF341" s="17">
        <v>1</v>
      </c>
      <c r="AG341" s="17">
        <v>1</v>
      </c>
      <c r="AH341" s="16">
        <f>IFERROR(VLOOKUP(D341,Teams!$B$2:$I$21,7,FALSE),1)</f>
        <v>1</v>
      </c>
      <c r="AI341" s="12">
        <f t="shared" si="34"/>
        <v>5.464058179100164E-2</v>
      </c>
      <c r="AJ341" s="12">
        <f t="shared" si="35"/>
        <v>4.2329035662336145E-2</v>
      </c>
      <c r="AK341" s="6" t="s">
        <v>66</v>
      </c>
      <c r="AL341" s="18"/>
      <c r="AM341" s="23"/>
      <c r="AN341" s="24">
        <v>0</v>
      </c>
      <c r="AO341" s="25" t="b">
        <v>1</v>
      </c>
      <c r="AP341" s="23" t="s">
        <v>71</v>
      </c>
      <c r="AQ341" s="25" t="b">
        <v>0</v>
      </c>
      <c r="AR341" s="23"/>
      <c r="AS341" s="23" t="s">
        <v>68</v>
      </c>
    </row>
    <row r="342" spans="1:45" ht="60">
      <c r="A342" s="6">
        <v>334</v>
      </c>
      <c r="B342" s="6" t="s">
        <v>997</v>
      </c>
      <c r="C342" s="6" t="s">
        <v>998</v>
      </c>
      <c r="D342" s="6" t="s">
        <v>978</v>
      </c>
      <c r="E342" s="6" t="s">
        <v>9</v>
      </c>
      <c r="F342" s="9">
        <v>5</v>
      </c>
      <c r="G342" s="9">
        <v>5</v>
      </c>
      <c r="H342" s="10">
        <v>0</v>
      </c>
      <c r="I342" s="11">
        <v>0</v>
      </c>
      <c r="J342" s="11">
        <v>0</v>
      </c>
      <c r="K342" s="12">
        <f t="shared" si="30"/>
        <v>0</v>
      </c>
      <c r="L342" s="12">
        <f t="shared" si="31"/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1">
        <v>0</v>
      </c>
      <c r="S342" s="6"/>
      <c r="T342" s="6"/>
      <c r="U342" s="6"/>
      <c r="V342" s="7" t="b">
        <v>1</v>
      </c>
      <c r="W342" s="8">
        <f>IFERROR(VLOOKUP(D342,Teams!$B$2:$I$21,6,FALSE),"")</f>
        <v>0</v>
      </c>
      <c r="X342" s="2" t="s">
        <v>65</v>
      </c>
      <c r="Y342" s="13"/>
      <c r="Z342" s="14"/>
      <c r="AA342" s="15">
        <f>IFERROR(H342/(H342+Priors!$G$3),0)</f>
        <v>0</v>
      </c>
      <c r="AB342" s="16">
        <f>VLOOKUP(E342,Priors!$A$3:$C$6,2,FALSE)</f>
        <v>6.0081391379341341E-2</v>
      </c>
      <c r="AC342" s="16">
        <f>VLOOKUP(E342,Priors!$A$3:$C$6,3,FALSE)</f>
        <v>5.9588191961478354E-2</v>
      </c>
      <c r="AD342" s="12">
        <f t="shared" si="32"/>
        <v>6.0081391379341341E-2</v>
      </c>
      <c r="AE342" s="12">
        <f t="shared" si="33"/>
        <v>5.9588191961478354E-2</v>
      </c>
      <c r="AF342" s="17">
        <v>1</v>
      </c>
      <c r="AG342" s="17">
        <v>1</v>
      </c>
      <c r="AH342" s="16">
        <f>IFERROR(VLOOKUP(D342,Teams!$B$2:$I$21,7,FALSE),1)</f>
        <v>1</v>
      </c>
      <c r="AI342" s="12">
        <f t="shared" si="34"/>
        <v>6.0081391379341341E-2</v>
      </c>
      <c r="AJ342" s="12">
        <f t="shared" si="35"/>
        <v>5.9588191961478354E-2</v>
      </c>
      <c r="AK342" s="6" t="s">
        <v>66</v>
      </c>
      <c r="AL342" s="18"/>
      <c r="AM342" s="23"/>
      <c r="AN342" s="24">
        <v>1.3000000000000001E-2</v>
      </c>
      <c r="AO342" s="25" t="b">
        <v>1</v>
      </c>
      <c r="AP342" s="23" t="s">
        <v>221</v>
      </c>
      <c r="AQ342" s="25" t="b">
        <v>0</v>
      </c>
      <c r="AR342" s="23"/>
      <c r="AS342" s="23" t="s">
        <v>68</v>
      </c>
    </row>
    <row r="343" spans="1:45" ht="60">
      <c r="A343" s="6">
        <v>335</v>
      </c>
      <c r="B343" s="6" t="s">
        <v>999</v>
      </c>
      <c r="C343" s="6" t="s">
        <v>1000</v>
      </c>
      <c r="D343" s="6" t="s">
        <v>978</v>
      </c>
      <c r="E343" s="6" t="s">
        <v>11</v>
      </c>
      <c r="F343" s="9">
        <v>6</v>
      </c>
      <c r="G343" s="9">
        <v>6</v>
      </c>
      <c r="H343" s="10">
        <v>2369</v>
      </c>
      <c r="I343" s="11">
        <v>2.88</v>
      </c>
      <c r="J343" s="11">
        <v>4.47</v>
      </c>
      <c r="K343" s="12">
        <f t="shared" si="30"/>
        <v>0.10941325453777966</v>
      </c>
      <c r="L343" s="12">
        <f t="shared" si="31"/>
        <v>0.16981848881384548</v>
      </c>
      <c r="M343" s="10">
        <v>5</v>
      </c>
      <c r="N343" s="10">
        <v>6</v>
      </c>
      <c r="O343" s="10">
        <v>137</v>
      </c>
      <c r="P343" s="10">
        <v>4.7</v>
      </c>
      <c r="Q343" s="10">
        <v>28</v>
      </c>
      <c r="R343" s="11">
        <v>10.11</v>
      </c>
      <c r="S343" s="6"/>
      <c r="T343" s="6">
        <v>1</v>
      </c>
      <c r="U343" s="6">
        <v>4</v>
      </c>
      <c r="V343" s="7" t="b">
        <v>0</v>
      </c>
      <c r="W343" s="8">
        <f>IFERROR(VLOOKUP(D343,Teams!$B$2:$I$21,6,FALSE),"")</f>
        <v>0</v>
      </c>
      <c r="X343" s="2" t="s">
        <v>65</v>
      </c>
      <c r="Y343" s="13"/>
      <c r="Z343" s="14"/>
      <c r="AA343" s="15">
        <f>IFERROR(H343/(H343+Priors!$G$3),0)</f>
        <v>0.70317601662214302</v>
      </c>
      <c r="AB343" s="16">
        <f>VLOOKUP(E343,Priors!$A$3:$C$6,2,FALSE)</f>
        <v>0.15714383234350468</v>
      </c>
      <c r="AC343" s="16">
        <f>VLOOKUP(E343,Priors!$A$3:$C$6,3,FALSE)</f>
        <v>0.13222062939449797</v>
      </c>
      <c r="AD343" s="12">
        <f t="shared" si="32"/>
        <v>0.12358083477100169</v>
      </c>
      <c r="AE343" s="12">
        <f t="shared" si="33"/>
        <v>0.15865854241451408</v>
      </c>
      <c r="AF343" s="17">
        <v>1</v>
      </c>
      <c r="AG343" s="17">
        <v>1</v>
      </c>
      <c r="AH343" s="16">
        <f>IFERROR(VLOOKUP(D343,Teams!$B$2:$I$21,7,FALSE),1)</f>
        <v>1</v>
      </c>
      <c r="AI343" s="12">
        <f t="shared" si="34"/>
        <v>0.12358083477100169</v>
      </c>
      <c r="AJ343" s="12">
        <f t="shared" si="35"/>
        <v>0.15865854241451408</v>
      </c>
      <c r="AK343" s="6" t="s">
        <v>66</v>
      </c>
      <c r="AL343" s="18"/>
      <c r="AM343" s="23"/>
      <c r="AN343" s="24">
        <v>1.3999999999999999E-2</v>
      </c>
      <c r="AO343" s="25" t="b">
        <v>1</v>
      </c>
      <c r="AP343" s="23" t="s">
        <v>1001</v>
      </c>
      <c r="AQ343" s="25" t="b">
        <v>0</v>
      </c>
      <c r="AR343" s="23"/>
      <c r="AS343" s="23" t="s">
        <v>68</v>
      </c>
    </row>
    <row r="344" spans="1:45" ht="60">
      <c r="A344" s="6">
        <v>336</v>
      </c>
      <c r="B344" s="6" t="s">
        <v>1002</v>
      </c>
      <c r="C344" s="6" t="s">
        <v>1003</v>
      </c>
      <c r="D344" s="6" t="s">
        <v>978</v>
      </c>
      <c r="E344" s="6" t="s">
        <v>11</v>
      </c>
      <c r="F344" s="9">
        <v>6</v>
      </c>
      <c r="G344" s="9">
        <v>6</v>
      </c>
      <c r="H344" s="10">
        <v>1553</v>
      </c>
      <c r="I344" s="11">
        <v>5.25</v>
      </c>
      <c r="J344" s="11">
        <v>1.32</v>
      </c>
      <c r="K344" s="12">
        <f t="shared" si="30"/>
        <v>0.30424983902124919</v>
      </c>
      <c r="L344" s="12">
        <f t="shared" si="31"/>
        <v>7.6497102382485513E-2</v>
      </c>
      <c r="M344" s="10">
        <v>8</v>
      </c>
      <c r="N344" s="10">
        <v>3</v>
      </c>
      <c r="O344" s="10">
        <v>109</v>
      </c>
      <c r="P344" s="10">
        <v>3.9</v>
      </c>
      <c r="Q344" s="10">
        <v>19</v>
      </c>
      <c r="R344" s="11">
        <v>6.55</v>
      </c>
      <c r="S344" s="6"/>
      <c r="T344" s="6"/>
      <c r="U344" s="6"/>
      <c r="V344" s="7" t="b">
        <v>0</v>
      </c>
      <c r="W344" s="8">
        <f>IFERROR(VLOOKUP(D344,Teams!$B$2:$I$21,6,FALSE),"")</f>
        <v>0</v>
      </c>
      <c r="X344" s="2" t="s">
        <v>65</v>
      </c>
      <c r="Y344" s="13"/>
      <c r="Z344" s="14"/>
      <c r="AA344" s="15">
        <f>IFERROR(H344/(H344+Priors!$G$3),0)</f>
        <v>0.60830395613004307</v>
      </c>
      <c r="AB344" s="16">
        <f>VLOOKUP(E344,Priors!$A$3:$C$6,2,FALSE)</f>
        <v>0.15714383234350468</v>
      </c>
      <c r="AC344" s="16">
        <f>VLOOKUP(E344,Priors!$A$3:$C$6,3,FALSE)</f>
        <v>0.13222062939449797</v>
      </c>
      <c r="AD344" s="12">
        <f t="shared" si="32"/>
        <v>0.2466289981760692</v>
      </c>
      <c r="AE344" s="12">
        <f t="shared" si="33"/>
        <v>9.8323787463571483E-2</v>
      </c>
      <c r="AF344" s="17">
        <v>1</v>
      </c>
      <c r="AG344" s="17">
        <v>1</v>
      </c>
      <c r="AH344" s="16">
        <f>IFERROR(VLOOKUP(D344,Teams!$B$2:$I$21,7,FALSE),1)</f>
        <v>1</v>
      </c>
      <c r="AI344" s="12">
        <f t="shared" si="34"/>
        <v>0.2466289981760692</v>
      </c>
      <c r="AJ344" s="12">
        <f t="shared" si="35"/>
        <v>9.8323787463571483E-2</v>
      </c>
      <c r="AK344" s="6" t="s">
        <v>66</v>
      </c>
      <c r="AL344" s="18"/>
      <c r="AM344" s="23"/>
      <c r="AN344" s="24">
        <v>6.9999999999999993E-3</v>
      </c>
      <c r="AO344" s="25" t="b">
        <v>1</v>
      </c>
      <c r="AP344" s="23" t="s">
        <v>296</v>
      </c>
      <c r="AQ344" s="25" t="b">
        <v>0</v>
      </c>
      <c r="AR344" s="23"/>
      <c r="AS344" s="23" t="s">
        <v>68</v>
      </c>
    </row>
    <row r="345" spans="1:45" ht="60">
      <c r="A345" s="6">
        <v>337</v>
      </c>
      <c r="B345" s="6" t="s">
        <v>1004</v>
      </c>
      <c r="C345" s="6" t="s">
        <v>1005</v>
      </c>
      <c r="D345" s="6" t="s">
        <v>978</v>
      </c>
      <c r="E345" s="6" t="s">
        <v>11</v>
      </c>
      <c r="F345" s="9">
        <v>5.5</v>
      </c>
      <c r="G345" s="9">
        <v>5.5</v>
      </c>
      <c r="H345" s="10">
        <v>2449</v>
      </c>
      <c r="I345" s="11">
        <v>4.53</v>
      </c>
      <c r="J345" s="11">
        <v>3.6</v>
      </c>
      <c r="K345" s="12">
        <f t="shared" si="30"/>
        <v>0.16647611269906085</v>
      </c>
      <c r="L345" s="12">
        <f t="shared" si="31"/>
        <v>0.13229889750918741</v>
      </c>
      <c r="M345" s="10">
        <v>4</v>
      </c>
      <c r="N345" s="10">
        <v>8</v>
      </c>
      <c r="O345" s="10">
        <v>126</v>
      </c>
      <c r="P345" s="10">
        <v>3.4</v>
      </c>
      <c r="Q345" s="10">
        <v>30</v>
      </c>
      <c r="R345" s="11">
        <v>7.94</v>
      </c>
      <c r="S345" s="6"/>
      <c r="T345" s="6">
        <v>3</v>
      </c>
      <c r="U345" s="6"/>
      <c r="V345" s="7" t="b">
        <v>0</v>
      </c>
      <c r="W345" s="8">
        <f>IFERROR(VLOOKUP(D345,Teams!$B$2:$I$21,6,FALSE),"")</f>
        <v>0</v>
      </c>
      <c r="X345" s="2" t="s">
        <v>65</v>
      </c>
      <c r="Y345" s="13"/>
      <c r="Z345" s="14"/>
      <c r="AA345" s="15">
        <f>IFERROR(H345/(H345+Priors!$G$3),0)</f>
        <v>0.7100608872136851</v>
      </c>
      <c r="AB345" s="16">
        <f>VLOOKUP(E345,Priors!$A$3:$C$6,2,FALSE)</f>
        <v>0.15714383234350468</v>
      </c>
      <c r="AC345" s="16">
        <f>VLOOKUP(E345,Priors!$A$3:$C$6,3,FALSE)</f>
        <v>0.13222062939449797</v>
      </c>
      <c r="AD345" s="12">
        <f t="shared" si="32"/>
        <v>0.16377031961249772</v>
      </c>
      <c r="AE345" s="12">
        <f t="shared" si="33"/>
        <v>0.13227620452145489</v>
      </c>
      <c r="AF345" s="17">
        <v>1</v>
      </c>
      <c r="AG345" s="17">
        <v>1</v>
      </c>
      <c r="AH345" s="16">
        <f>IFERROR(VLOOKUP(D345,Teams!$B$2:$I$21,7,FALSE),1)</f>
        <v>1</v>
      </c>
      <c r="AI345" s="12">
        <f t="shared" si="34"/>
        <v>0.16377031961249772</v>
      </c>
      <c r="AJ345" s="12">
        <f t="shared" si="35"/>
        <v>0.13227620452145489</v>
      </c>
      <c r="AK345" s="6" t="s">
        <v>66</v>
      </c>
      <c r="AL345" s="18"/>
      <c r="AM345" s="23"/>
      <c r="AN345" s="24">
        <v>6.9999999999999993E-3</v>
      </c>
      <c r="AO345" s="25" t="b">
        <v>1</v>
      </c>
      <c r="AP345" s="23" t="s">
        <v>507</v>
      </c>
      <c r="AQ345" s="25" t="b">
        <v>0</v>
      </c>
      <c r="AR345" s="23"/>
      <c r="AS345" s="23" t="s">
        <v>68</v>
      </c>
    </row>
    <row r="346" spans="1:45" ht="60">
      <c r="A346" s="6">
        <v>338</v>
      </c>
      <c r="B346" s="6" t="s">
        <v>1006</v>
      </c>
      <c r="C346" s="6" t="s">
        <v>1007</v>
      </c>
      <c r="D346" s="6" t="s">
        <v>978</v>
      </c>
      <c r="E346" s="6" t="s">
        <v>11</v>
      </c>
      <c r="F346" s="9">
        <v>5.5</v>
      </c>
      <c r="G346" s="9">
        <v>5.5</v>
      </c>
      <c r="H346" s="10">
        <v>3119</v>
      </c>
      <c r="I346" s="11">
        <v>2.4700000000000002</v>
      </c>
      <c r="J346" s="11">
        <v>2.2000000000000002</v>
      </c>
      <c r="K346" s="12">
        <f t="shared" si="30"/>
        <v>7.1272843860211613E-2</v>
      </c>
      <c r="L346" s="12">
        <f t="shared" si="31"/>
        <v>6.3481885219621684E-2</v>
      </c>
      <c r="M346" s="10">
        <v>1</v>
      </c>
      <c r="N346" s="10">
        <v>4</v>
      </c>
      <c r="O346" s="10">
        <v>134</v>
      </c>
      <c r="P346" s="10">
        <v>3.8</v>
      </c>
      <c r="Q346" s="10">
        <v>35</v>
      </c>
      <c r="R346" s="11">
        <v>12</v>
      </c>
      <c r="S346" s="6"/>
      <c r="T346" s="6"/>
      <c r="U346" s="6"/>
      <c r="V346" s="7" t="b">
        <v>0</v>
      </c>
      <c r="W346" s="8">
        <f>IFERROR(VLOOKUP(D346,Teams!$B$2:$I$21,6,FALSE),"")</f>
        <v>0</v>
      </c>
      <c r="X346" s="2" t="s">
        <v>65</v>
      </c>
      <c r="Y346" s="13"/>
      <c r="Z346" s="14"/>
      <c r="AA346" s="15">
        <f>IFERROR(H346/(H346+Priors!$G$3),0)</f>
        <v>0.75722262685117747</v>
      </c>
      <c r="AB346" s="16">
        <f>VLOOKUP(E346,Priors!$A$3:$C$6,2,FALSE)</f>
        <v>0.15714383234350468</v>
      </c>
      <c r="AC346" s="16">
        <f>VLOOKUP(E346,Priors!$A$3:$C$6,3,FALSE)</f>
        <v>0.13222062939449797</v>
      </c>
      <c r="AD346" s="12">
        <f t="shared" si="32"/>
        <v>9.2120376873878307E-2</v>
      </c>
      <c r="AE346" s="12">
        <f t="shared" si="33"/>
        <v>8.0170096963947085E-2</v>
      </c>
      <c r="AF346" s="17">
        <v>1</v>
      </c>
      <c r="AG346" s="17">
        <v>1</v>
      </c>
      <c r="AH346" s="16">
        <f>IFERROR(VLOOKUP(D346,Teams!$B$2:$I$21,7,FALSE),1)</f>
        <v>1</v>
      </c>
      <c r="AI346" s="12">
        <f t="shared" si="34"/>
        <v>9.2120376873878307E-2</v>
      </c>
      <c r="AJ346" s="12">
        <f t="shared" si="35"/>
        <v>8.0170096963947085E-2</v>
      </c>
      <c r="AK346" s="6" t="s">
        <v>66</v>
      </c>
      <c r="AL346" s="18"/>
      <c r="AM346" s="23"/>
      <c r="AN346" s="24">
        <v>1.3999999999999999E-2</v>
      </c>
      <c r="AO346" s="25" t="b">
        <v>1</v>
      </c>
      <c r="AP346" s="23" t="s">
        <v>1008</v>
      </c>
      <c r="AQ346" s="25" t="b">
        <v>0</v>
      </c>
      <c r="AR346" s="23"/>
      <c r="AS346" s="23" t="s">
        <v>68</v>
      </c>
    </row>
    <row r="347" spans="1:45" ht="60">
      <c r="A347" s="6">
        <v>339</v>
      </c>
      <c r="B347" s="6" t="s">
        <v>1009</v>
      </c>
      <c r="C347" s="6" t="s">
        <v>1010</v>
      </c>
      <c r="D347" s="6" t="s">
        <v>978</v>
      </c>
      <c r="E347" s="6" t="s">
        <v>11</v>
      </c>
      <c r="F347" s="9">
        <v>5</v>
      </c>
      <c r="G347" s="9">
        <v>5</v>
      </c>
      <c r="H347" s="10">
        <v>1003</v>
      </c>
      <c r="I347" s="11">
        <v>1.23</v>
      </c>
      <c r="J347" s="11">
        <v>1.87</v>
      </c>
      <c r="K347" s="12">
        <f t="shared" si="30"/>
        <v>0.11036889332003988</v>
      </c>
      <c r="L347" s="12">
        <f t="shared" si="31"/>
        <v>0.16779661016949154</v>
      </c>
      <c r="M347" s="10">
        <v>2</v>
      </c>
      <c r="N347" s="10">
        <v>2</v>
      </c>
      <c r="O347" s="10">
        <v>56</v>
      </c>
      <c r="P347" s="10">
        <v>2.4</v>
      </c>
      <c r="Q347" s="10">
        <v>10</v>
      </c>
      <c r="R347" s="11">
        <v>9.8699999999999992</v>
      </c>
      <c r="S347" s="6"/>
      <c r="T347" s="6">
        <v>2</v>
      </c>
      <c r="U347" s="6">
        <v>5</v>
      </c>
      <c r="V347" s="7" t="b">
        <v>0</v>
      </c>
      <c r="W347" s="8">
        <f>IFERROR(VLOOKUP(D347,Teams!$B$2:$I$21,6,FALSE),"")</f>
        <v>0</v>
      </c>
      <c r="X347" s="2" t="s">
        <v>65</v>
      </c>
      <c r="Y347" s="13"/>
      <c r="Z347" s="14"/>
      <c r="AA347" s="15">
        <f>IFERROR(H347/(H347+Priors!$G$3),0)</f>
        <v>0.50074887668497259</v>
      </c>
      <c r="AB347" s="16">
        <f>VLOOKUP(E347,Priors!$A$3:$C$6,2,FALSE)</f>
        <v>0.15714383234350468</v>
      </c>
      <c r="AC347" s="16">
        <f>VLOOKUP(E347,Priors!$A$3:$C$6,3,FALSE)</f>
        <v>0.13222062939449797</v>
      </c>
      <c r="AD347" s="12">
        <f t="shared" si="32"/>
        <v>0.13372133417049659</v>
      </c>
      <c r="AE347" s="12">
        <f t="shared" si="33"/>
        <v>0.15003526180454219</v>
      </c>
      <c r="AF347" s="17">
        <v>1</v>
      </c>
      <c r="AG347" s="17">
        <v>1</v>
      </c>
      <c r="AH347" s="16">
        <f>IFERROR(VLOOKUP(D347,Teams!$B$2:$I$21,7,FALSE),1)</f>
        <v>1</v>
      </c>
      <c r="AI347" s="12">
        <f t="shared" si="34"/>
        <v>0.13372133417049659</v>
      </c>
      <c r="AJ347" s="12">
        <f t="shared" si="35"/>
        <v>0.15003526180454219</v>
      </c>
      <c r="AK347" s="6" t="s">
        <v>66</v>
      </c>
      <c r="AL347" s="18"/>
      <c r="AM347" s="23"/>
      <c r="AN347" s="24">
        <v>2E-3</v>
      </c>
      <c r="AO347" s="25" t="b">
        <v>1</v>
      </c>
      <c r="AP347" s="23" t="s">
        <v>116</v>
      </c>
      <c r="AQ347" s="25" t="b">
        <v>0</v>
      </c>
      <c r="AR347" s="23"/>
      <c r="AS347" s="23" t="s">
        <v>68</v>
      </c>
    </row>
    <row r="348" spans="1:45" ht="60">
      <c r="A348" s="6">
        <v>340</v>
      </c>
      <c r="B348" s="6" t="s">
        <v>1011</v>
      </c>
      <c r="C348" s="6" t="s">
        <v>1012</v>
      </c>
      <c r="D348" s="6" t="s">
        <v>978</v>
      </c>
      <c r="E348" s="6" t="s">
        <v>11</v>
      </c>
      <c r="F348" s="9">
        <v>5</v>
      </c>
      <c r="G348" s="9">
        <v>5</v>
      </c>
      <c r="H348" s="10">
        <v>0</v>
      </c>
      <c r="I348" s="11">
        <v>0</v>
      </c>
      <c r="J348" s="11">
        <v>0</v>
      </c>
      <c r="K348" s="12">
        <f t="shared" si="30"/>
        <v>0</v>
      </c>
      <c r="L348" s="12">
        <f t="shared" si="31"/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1">
        <v>0</v>
      </c>
      <c r="S348" s="6"/>
      <c r="T348" s="6"/>
      <c r="U348" s="6"/>
      <c r="V348" s="7" t="b">
        <v>0</v>
      </c>
      <c r="W348" s="8">
        <f>IFERROR(VLOOKUP(D348,Teams!$B$2:$I$21,6,FALSE),"")</f>
        <v>0</v>
      </c>
      <c r="X348" s="2" t="s">
        <v>65</v>
      </c>
      <c r="Y348" s="13"/>
      <c r="Z348" s="14"/>
      <c r="AA348" s="15">
        <f>IFERROR(H348/(H348+Priors!$G$3),0)</f>
        <v>0</v>
      </c>
      <c r="AB348" s="16">
        <f>VLOOKUP(E348,Priors!$A$3:$C$6,2,FALSE)</f>
        <v>0.15714383234350468</v>
      </c>
      <c r="AC348" s="16">
        <f>VLOOKUP(E348,Priors!$A$3:$C$6,3,FALSE)</f>
        <v>0.13222062939449797</v>
      </c>
      <c r="AD348" s="12">
        <f t="shared" si="32"/>
        <v>0.15714383234350468</v>
      </c>
      <c r="AE348" s="12">
        <f t="shared" si="33"/>
        <v>0.13222062939449797</v>
      </c>
      <c r="AF348" s="17">
        <v>1</v>
      </c>
      <c r="AG348" s="17">
        <v>1</v>
      </c>
      <c r="AH348" s="16">
        <f>IFERROR(VLOOKUP(D348,Teams!$B$2:$I$21,7,FALSE),1)</f>
        <v>1</v>
      </c>
      <c r="AI348" s="12">
        <f t="shared" si="34"/>
        <v>0.15714383234350468</v>
      </c>
      <c r="AJ348" s="12">
        <f t="shared" si="35"/>
        <v>0.13222062939449797</v>
      </c>
      <c r="AK348" s="6" t="s">
        <v>66</v>
      </c>
      <c r="AL348" s="18"/>
      <c r="AM348" s="23"/>
      <c r="AN348" s="24">
        <v>0</v>
      </c>
      <c r="AO348" s="25" t="b">
        <v>1</v>
      </c>
      <c r="AP348" s="23" t="s">
        <v>1013</v>
      </c>
      <c r="AQ348" s="25" t="b">
        <v>0</v>
      </c>
      <c r="AR348" s="23"/>
      <c r="AS348" s="23" t="s">
        <v>68</v>
      </c>
    </row>
    <row r="349" spans="1:45" ht="60">
      <c r="A349" s="6">
        <v>341</v>
      </c>
      <c r="B349" s="6" t="s">
        <v>1014</v>
      </c>
      <c r="C349" s="6" t="s">
        <v>1015</v>
      </c>
      <c r="D349" s="6" t="s">
        <v>978</v>
      </c>
      <c r="E349" s="6" t="s">
        <v>11</v>
      </c>
      <c r="F349" s="9">
        <v>5</v>
      </c>
      <c r="G349" s="9">
        <v>5</v>
      </c>
      <c r="H349" s="10">
        <v>521</v>
      </c>
      <c r="I349" s="11">
        <v>0.4</v>
      </c>
      <c r="J349" s="11">
        <v>0.77</v>
      </c>
      <c r="K349" s="12">
        <f t="shared" si="30"/>
        <v>6.9097888675623803E-2</v>
      </c>
      <c r="L349" s="12">
        <f t="shared" si="31"/>
        <v>0.13301343570057581</v>
      </c>
      <c r="M349" s="10">
        <v>0</v>
      </c>
      <c r="N349" s="10">
        <v>3</v>
      </c>
      <c r="O349" s="10">
        <v>32</v>
      </c>
      <c r="P349" s="10">
        <v>1.4</v>
      </c>
      <c r="Q349" s="10">
        <v>4</v>
      </c>
      <c r="R349" s="11">
        <v>10.19</v>
      </c>
      <c r="S349" s="6"/>
      <c r="T349" s="6"/>
      <c r="U349" s="6"/>
      <c r="V349" s="7" t="b">
        <v>0</v>
      </c>
      <c r="W349" s="8">
        <f>IFERROR(VLOOKUP(D349,Teams!$B$2:$I$21,6,FALSE),"")</f>
        <v>0</v>
      </c>
      <c r="X349" s="2" t="s">
        <v>65</v>
      </c>
      <c r="Y349" s="13"/>
      <c r="Z349" s="14"/>
      <c r="AA349" s="15">
        <f>IFERROR(H349/(H349+Priors!$G$3),0)</f>
        <v>0.34253780407626561</v>
      </c>
      <c r="AB349" s="16">
        <f>VLOOKUP(E349,Priors!$A$3:$C$6,2,FALSE)</f>
        <v>0.15714383234350468</v>
      </c>
      <c r="AC349" s="16">
        <f>VLOOKUP(E349,Priors!$A$3:$C$6,3,FALSE)</f>
        <v>0.13222062939449797</v>
      </c>
      <c r="AD349" s="12">
        <f t="shared" si="32"/>
        <v>0.12698476814168619</v>
      </c>
      <c r="AE349" s="12">
        <f t="shared" si="33"/>
        <v>0.13249219552563968</v>
      </c>
      <c r="AF349" s="17">
        <v>1</v>
      </c>
      <c r="AG349" s="17">
        <v>1</v>
      </c>
      <c r="AH349" s="16">
        <f>IFERROR(VLOOKUP(D349,Teams!$B$2:$I$21,7,FALSE),1)</f>
        <v>1</v>
      </c>
      <c r="AI349" s="12">
        <f t="shared" si="34"/>
        <v>0.12698476814168619</v>
      </c>
      <c r="AJ349" s="12">
        <f t="shared" si="35"/>
        <v>0.13249219552563968</v>
      </c>
      <c r="AK349" s="6" t="s">
        <v>66</v>
      </c>
      <c r="AL349" s="18"/>
      <c r="AM349" s="23"/>
      <c r="AN349" s="24">
        <v>1E-3</v>
      </c>
      <c r="AO349" s="25" t="b">
        <v>1</v>
      </c>
      <c r="AP349" s="23" t="s">
        <v>749</v>
      </c>
      <c r="AQ349" s="25" t="b">
        <v>0</v>
      </c>
      <c r="AR349" s="23"/>
      <c r="AS349" s="23" t="s">
        <v>68</v>
      </c>
    </row>
    <row r="350" spans="1:45" ht="60">
      <c r="A350" s="6">
        <v>342</v>
      </c>
      <c r="B350" s="6" t="s">
        <v>1016</v>
      </c>
      <c r="C350" s="6" t="s">
        <v>1017</v>
      </c>
      <c r="D350" s="6" t="s">
        <v>978</v>
      </c>
      <c r="E350" s="6" t="s">
        <v>11</v>
      </c>
      <c r="F350" s="9">
        <v>5</v>
      </c>
      <c r="G350" s="9">
        <v>5</v>
      </c>
      <c r="H350" s="10">
        <v>262</v>
      </c>
      <c r="I350" s="11">
        <v>0.28000000000000003</v>
      </c>
      <c r="J350" s="11">
        <v>0.23</v>
      </c>
      <c r="K350" s="12">
        <f t="shared" si="30"/>
        <v>9.6183206106870242E-2</v>
      </c>
      <c r="L350" s="12">
        <f t="shared" si="31"/>
        <v>7.9007633587786258E-2</v>
      </c>
      <c r="M350" s="10">
        <v>0</v>
      </c>
      <c r="N350" s="10">
        <v>0</v>
      </c>
      <c r="O350" s="10">
        <v>12</v>
      </c>
      <c r="P350" s="10">
        <v>1.1000000000000001</v>
      </c>
      <c r="Q350" s="10">
        <v>1</v>
      </c>
      <c r="R350" s="11">
        <v>8.24</v>
      </c>
      <c r="S350" s="6"/>
      <c r="T350" s="6"/>
      <c r="U350" s="6"/>
      <c r="V350" s="7" t="b">
        <v>0</v>
      </c>
      <c r="W350" s="8">
        <f>IFERROR(VLOOKUP(D350,Teams!$B$2:$I$21,6,FALSE),"")</f>
        <v>0</v>
      </c>
      <c r="X350" s="2" t="s">
        <v>65</v>
      </c>
      <c r="Y350" s="13"/>
      <c r="Z350" s="14"/>
      <c r="AA350" s="15">
        <f>IFERROR(H350/(H350+Priors!$G$3),0)</f>
        <v>0.2076069730586371</v>
      </c>
      <c r="AB350" s="16">
        <f>VLOOKUP(E350,Priors!$A$3:$C$6,2,FALSE)</f>
        <v>0.15714383234350468</v>
      </c>
      <c r="AC350" s="16">
        <f>VLOOKUP(E350,Priors!$A$3:$C$6,3,FALSE)</f>
        <v>0.13222062939449797</v>
      </c>
      <c r="AD350" s="12">
        <f t="shared" si="32"/>
        <v>0.14448798125475809</v>
      </c>
      <c r="AE350" s="12">
        <f t="shared" si="33"/>
        <v>0.1211732404076846</v>
      </c>
      <c r="AF350" s="17">
        <v>1</v>
      </c>
      <c r="AG350" s="17">
        <v>1</v>
      </c>
      <c r="AH350" s="16">
        <f>IFERROR(VLOOKUP(D350,Teams!$B$2:$I$21,7,FALSE),1)</f>
        <v>1</v>
      </c>
      <c r="AI350" s="12">
        <f t="shared" si="34"/>
        <v>0.14448798125475809</v>
      </c>
      <c r="AJ350" s="12">
        <f t="shared" si="35"/>
        <v>0.1211732404076846</v>
      </c>
      <c r="AK350" s="6" t="s">
        <v>368</v>
      </c>
      <c r="AL350" s="18">
        <v>0</v>
      </c>
      <c r="AM350" s="23" t="s">
        <v>1018</v>
      </c>
      <c r="AN350" s="24">
        <v>0</v>
      </c>
      <c r="AO350" s="25" t="b">
        <v>0</v>
      </c>
      <c r="AP350" s="23" t="s">
        <v>1019</v>
      </c>
      <c r="AQ350" s="25" t="b">
        <v>0</v>
      </c>
      <c r="AR350" s="23"/>
      <c r="AS350" s="23" t="s">
        <v>68</v>
      </c>
    </row>
    <row r="351" spans="1:45" ht="60">
      <c r="A351" s="6">
        <v>343</v>
      </c>
      <c r="B351" s="6" t="s">
        <v>484</v>
      </c>
      <c r="C351" s="6" t="s">
        <v>1020</v>
      </c>
      <c r="D351" s="6" t="s">
        <v>978</v>
      </c>
      <c r="E351" s="6" t="s">
        <v>11</v>
      </c>
      <c r="F351" s="9">
        <v>5</v>
      </c>
      <c r="G351" s="9">
        <v>5</v>
      </c>
      <c r="H351" s="10">
        <v>547</v>
      </c>
      <c r="I351" s="11">
        <v>0.91</v>
      </c>
      <c r="J351" s="11">
        <v>0.71</v>
      </c>
      <c r="K351" s="12">
        <f t="shared" si="30"/>
        <v>0.14972577696526509</v>
      </c>
      <c r="L351" s="12">
        <f t="shared" si="31"/>
        <v>0.11681901279707495</v>
      </c>
      <c r="M351" s="10">
        <v>0</v>
      </c>
      <c r="N351" s="10">
        <v>0</v>
      </c>
      <c r="O351" s="10">
        <v>23</v>
      </c>
      <c r="P351" s="10">
        <v>1.2</v>
      </c>
      <c r="Q351" s="10">
        <v>6</v>
      </c>
      <c r="R351" s="11">
        <v>5.76</v>
      </c>
      <c r="S351" s="6"/>
      <c r="T351" s="6"/>
      <c r="U351" s="6"/>
      <c r="V351" s="7" t="b">
        <v>0</v>
      </c>
      <c r="W351" s="8">
        <f>IFERROR(VLOOKUP(D351,Teams!$B$2:$I$21,6,FALSE),"")</f>
        <v>0</v>
      </c>
      <c r="X351" s="2" t="s">
        <v>65</v>
      </c>
      <c r="Y351" s="13"/>
      <c r="Z351" s="14"/>
      <c r="AA351" s="15">
        <f>IFERROR(H351/(H351+Priors!$G$3),0)</f>
        <v>0.35358758888170655</v>
      </c>
      <c r="AB351" s="16">
        <f>VLOOKUP(E351,Priors!$A$3:$C$6,2,FALSE)</f>
        <v>0.15714383234350468</v>
      </c>
      <c r="AC351" s="16">
        <f>VLOOKUP(E351,Priors!$A$3:$C$6,3,FALSE)</f>
        <v>0.13222062939449797</v>
      </c>
      <c r="AD351" s="12">
        <f t="shared" si="32"/>
        <v>0.15452090002812197</v>
      </c>
      <c r="AE351" s="12">
        <f t="shared" si="33"/>
        <v>0.12677480891693468</v>
      </c>
      <c r="AF351" s="17">
        <v>1</v>
      </c>
      <c r="AG351" s="17">
        <v>1</v>
      </c>
      <c r="AH351" s="16">
        <f>IFERROR(VLOOKUP(D351,Teams!$B$2:$I$21,7,FALSE),1)</f>
        <v>1</v>
      </c>
      <c r="AI351" s="12">
        <f t="shared" si="34"/>
        <v>0.15452090002812197</v>
      </c>
      <c r="AJ351" s="12">
        <f t="shared" si="35"/>
        <v>0.12677480891693468</v>
      </c>
      <c r="AK351" s="6" t="s">
        <v>66</v>
      </c>
      <c r="AL351" s="18"/>
      <c r="AM351" s="23"/>
      <c r="AN351" s="24">
        <v>1E-3</v>
      </c>
      <c r="AO351" s="25" t="b">
        <v>1</v>
      </c>
      <c r="AP351" s="23" t="s">
        <v>290</v>
      </c>
      <c r="AQ351" s="25" t="b">
        <v>0</v>
      </c>
      <c r="AR351" s="23"/>
      <c r="AS351" s="23" t="s">
        <v>68</v>
      </c>
    </row>
    <row r="352" spans="1:45" ht="60">
      <c r="A352" s="6">
        <v>344</v>
      </c>
      <c r="B352" s="6" t="s">
        <v>1021</v>
      </c>
      <c r="C352" s="6" t="s">
        <v>1022</v>
      </c>
      <c r="D352" s="6" t="s">
        <v>978</v>
      </c>
      <c r="E352" s="6" t="s">
        <v>11</v>
      </c>
      <c r="F352" s="9">
        <v>5</v>
      </c>
      <c r="G352" s="9">
        <v>5</v>
      </c>
      <c r="H352" s="10">
        <v>1318</v>
      </c>
      <c r="I352" s="11">
        <v>0.49</v>
      </c>
      <c r="J352" s="11">
        <v>0.86</v>
      </c>
      <c r="K352" s="12">
        <f t="shared" si="30"/>
        <v>3.3459787556904402E-2</v>
      </c>
      <c r="L352" s="12">
        <f t="shared" si="31"/>
        <v>5.8725341426403649E-2</v>
      </c>
      <c r="M352" s="10">
        <v>0</v>
      </c>
      <c r="N352" s="10">
        <v>4</v>
      </c>
      <c r="O352" s="10">
        <v>56</v>
      </c>
      <c r="P352" s="10">
        <v>2.4</v>
      </c>
      <c r="Q352" s="10">
        <v>15</v>
      </c>
      <c r="R352" s="11">
        <v>7.78</v>
      </c>
      <c r="S352" s="6"/>
      <c r="T352" s="6"/>
      <c r="U352" s="6"/>
      <c r="V352" s="7" t="b">
        <v>0</v>
      </c>
      <c r="W352" s="8">
        <f>IFERROR(VLOOKUP(D352,Teams!$B$2:$I$21,6,FALSE),"")</f>
        <v>0</v>
      </c>
      <c r="X352" s="2" t="s">
        <v>65</v>
      </c>
      <c r="Y352" s="13"/>
      <c r="Z352" s="14"/>
      <c r="AA352" s="15">
        <f>IFERROR(H352/(H352+Priors!$G$3),0)</f>
        <v>0.56859361518550477</v>
      </c>
      <c r="AB352" s="16">
        <f>VLOOKUP(E352,Priors!$A$3:$C$6,2,FALSE)</f>
        <v>0.15714383234350468</v>
      </c>
      <c r="AC352" s="16">
        <f>VLOOKUP(E352,Priors!$A$3:$C$6,3,FALSE)</f>
        <v>0.13222062939449797</v>
      </c>
      <c r="AD352" s="12">
        <f t="shared" si="32"/>
        <v>8.6817874177525747E-2</v>
      </c>
      <c r="AE352" s="12">
        <f t="shared" si="33"/>
        <v>9.0431677909619479E-2</v>
      </c>
      <c r="AF352" s="17">
        <v>1</v>
      </c>
      <c r="AG352" s="17">
        <v>1</v>
      </c>
      <c r="AH352" s="16">
        <f>IFERROR(VLOOKUP(D352,Teams!$B$2:$I$21,7,FALSE),1)</f>
        <v>1</v>
      </c>
      <c r="AI352" s="12">
        <f t="shared" si="34"/>
        <v>8.6817874177525747E-2</v>
      </c>
      <c r="AJ352" s="12">
        <f t="shared" si="35"/>
        <v>9.0431677909619479E-2</v>
      </c>
      <c r="AK352" s="6" t="s">
        <v>66</v>
      </c>
      <c r="AL352" s="18"/>
      <c r="AM352" s="23"/>
      <c r="AN352" s="24">
        <v>0</v>
      </c>
      <c r="AO352" s="25" t="b">
        <v>1</v>
      </c>
      <c r="AP352" s="23" t="s">
        <v>640</v>
      </c>
      <c r="AQ352" s="25" t="b">
        <v>0</v>
      </c>
      <c r="AR352" s="23"/>
      <c r="AS352" s="23" t="s">
        <v>68</v>
      </c>
    </row>
    <row r="353" spans="1:45" ht="60">
      <c r="A353" s="6">
        <v>345</v>
      </c>
      <c r="B353" s="6" t="s">
        <v>1023</v>
      </c>
      <c r="C353" s="6" t="s">
        <v>1024</v>
      </c>
      <c r="D353" s="6" t="s">
        <v>978</v>
      </c>
      <c r="E353" s="6" t="s">
        <v>11</v>
      </c>
      <c r="F353" s="9">
        <v>5</v>
      </c>
      <c r="G353" s="9">
        <v>5</v>
      </c>
      <c r="H353" s="10">
        <v>1307</v>
      </c>
      <c r="I353" s="11">
        <v>1.44</v>
      </c>
      <c r="J353" s="11">
        <v>1.39</v>
      </c>
      <c r="K353" s="12">
        <f t="shared" si="30"/>
        <v>9.9158377964804895E-2</v>
      </c>
      <c r="L353" s="12">
        <f t="shared" si="31"/>
        <v>9.571537872991584E-2</v>
      </c>
      <c r="M353" s="10">
        <v>2</v>
      </c>
      <c r="N353" s="10">
        <v>1</v>
      </c>
      <c r="O353" s="10">
        <v>67</v>
      </c>
      <c r="P353" s="10">
        <v>2.4</v>
      </c>
      <c r="Q353" s="10">
        <v>14</v>
      </c>
      <c r="R353" s="11">
        <v>10.119999999999999</v>
      </c>
      <c r="S353" s="6"/>
      <c r="T353" s="6"/>
      <c r="U353" s="6">
        <v>6</v>
      </c>
      <c r="V353" s="7" t="b">
        <v>0</v>
      </c>
      <c r="W353" s="8">
        <f>IFERROR(VLOOKUP(D353,Teams!$B$2:$I$21,6,FALSE),"")</f>
        <v>0</v>
      </c>
      <c r="X353" s="2" t="s">
        <v>65</v>
      </c>
      <c r="Y353" s="13"/>
      <c r="Z353" s="14"/>
      <c r="AA353" s="15">
        <f>IFERROR(H353/(H353+Priors!$G$3),0)</f>
        <v>0.56653662765496315</v>
      </c>
      <c r="AB353" s="16">
        <f>VLOOKUP(E353,Priors!$A$3:$C$6,2,FALSE)</f>
        <v>0.15714383234350468</v>
      </c>
      <c r="AC353" s="16">
        <f>VLOOKUP(E353,Priors!$A$3:$C$6,3,FALSE)</f>
        <v>0.13222062939449797</v>
      </c>
      <c r="AD353" s="12">
        <f t="shared" si="32"/>
        <v>0.12429294856675538</v>
      </c>
      <c r="AE353" s="12">
        <f t="shared" si="33"/>
        <v>0.1115390677912865</v>
      </c>
      <c r="AF353" s="17">
        <v>1</v>
      </c>
      <c r="AG353" s="17">
        <v>1</v>
      </c>
      <c r="AH353" s="16">
        <f>IFERROR(VLOOKUP(D353,Teams!$B$2:$I$21,7,FALSE),1)</f>
        <v>1</v>
      </c>
      <c r="AI353" s="12">
        <f t="shared" si="34"/>
        <v>0.12429294856675538</v>
      </c>
      <c r="AJ353" s="12">
        <f t="shared" si="35"/>
        <v>0.1115390677912865</v>
      </c>
      <c r="AK353" s="6" t="s">
        <v>66</v>
      </c>
      <c r="AL353" s="18"/>
      <c r="AM353" s="23"/>
      <c r="AN353" s="24">
        <v>3.0000000000000001E-3</v>
      </c>
      <c r="AO353" s="25" t="b">
        <v>1</v>
      </c>
      <c r="AP353" s="23" t="s">
        <v>705</v>
      </c>
      <c r="AQ353" s="25" t="b">
        <v>0</v>
      </c>
      <c r="AR353" s="23"/>
      <c r="AS353" s="23" t="s">
        <v>68</v>
      </c>
    </row>
    <row r="354" spans="1:45" ht="60">
      <c r="A354" s="6">
        <v>346</v>
      </c>
      <c r="B354" s="6" t="s">
        <v>1025</v>
      </c>
      <c r="C354" s="6" t="s">
        <v>1026</v>
      </c>
      <c r="D354" s="6" t="s">
        <v>978</v>
      </c>
      <c r="E354" s="6" t="s">
        <v>14</v>
      </c>
      <c r="F354" s="9">
        <v>6</v>
      </c>
      <c r="G354" s="9">
        <v>6</v>
      </c>
      <c r="H354" s="10">
        <v>2721</v>
      </c>
      <c r="I354" s="11">
        <v>15.57</v>
      </c>
      <c r="J354" s="11">
        <v>1.06</v>
      </c>
      <c r="K354" s="12">
        <f t="shared" si="30"/>
        <v>0.51499448732083786</v>
      </c>
      <c r="L354" s="12">
        <f t="shared" si="31"/>
        <v>3.5060639470782799E-2</v>
      </c>
      <c r="M354" s="10">
        <v>14</v>
      </c>
      <c r="N354" s="10">
        <v>2</v>
      </c>
      <c r="O354" s="10">
        <v>142</v>
      </c>
      <c r="P354" s="10">
        <v>4.0999999999999996</v>
      </c>
      <c r="Q354" s="10">
        <v>30</v>
      </c>
      <c r="R354" s="11">
        <v>3.47</v>
      </c>
      <c r="S354" s="6">
        <v>1</v>
      </c>
      <c r="T354" s="6"/>
      <c r="U354" s="6"/>
      <c r="V354" s="7" t="b">
        <v>0</v>
      </c>
      <c r="W354" s="8">
        <f>IFERROR(VLOOKUP(D354,Teams!$B$2:$I$21,6,FALSE),"")</f>
        <v>0</v>
      </c>
      <c r="X354" s="2" t="s">
        <v>65</v>
      </c>
      <c r="Y354" s="13"/>
      <c r="Z354" s="14"/>
      <c r="AA354" s="15">
        <f>IFERROR(H354/(H354+Priors!$G$3),0)</f>
        <v>0.73125503896801936</v>
      </c>
      <c r="AB354" s="16">
        <f>VLOOKUP(E354,Priors!$A$3:$C$6,2,FALSE)</f>
        <v>0.44625207326425426</v>
      </c>
      <c r="AC354" s="16">
        <f>VLOOKUP(E354,Priors!$A$3:$C$6,3,FALSE)</f>
        <v>5.8217260259314105E-2</v>
      </c>
      <c r="AD354" s="12">
        <f t="shared" si="32"/>
        <v>0.49652030993395702</v>
      </c>
      <c r="AE354" s="12">
        <f t="shared" si="33"/>
        <v>4.1283864622228994E-2</v>
      </c>
      <c r="AF354" s="17">
        <v>1</v>
      </c>
      <c r="AG354" s="17">
        <v>1</v>
      </c>
      <c r="AH354" s="16">
        <f>IFERROR(VLOOKUP(D354,Teams!$B$2:$I$21,7,FALSE),1)</f>
        <v>1</v>
      </c>
      <c r="AI354" s="12">
        <f t="shared" si="34"/>
        <v>0.49652030993395702</v>
      </c>
      <c r="AJ354" s="12">
        <f t="shared" si="35"/>
        <v>4.1283864622228994E-2</v>
      </c>
      <c r="AK354" s="6" t="s">
        <v>66</v>
      </c>
      <c r="AL354" s="18"/>
      <c r="AM354" s="23"/>
      <c r="AN354" s="24">
        <v>0.21299999999999999</v>
      </c>
      <c r="AO354" s="25" t="b">
        <v>1</v>
      </c>
      <c r="AP354" s="23" t="s">
        <v>720</v>
      </c>
      <c r="AQ354" s="25" t="b">
        <v>1</v>
      </c>
      <c r="AR354" s="23"/>
      <c r="AS354" s="23" t="s">
        <v>68</v>
      </c>
    </row>
    <row r="355" spans="1:45" ht="60">
      <c r="A355" s="6">
        <v>347</v>
      </c>
      <c r="B355" s="6" t="s">
        <v>1027</v>
      </c>
      <c r="C355" s="6" t="s">
        <v>1028</v>
      </c>
      <c r="D355" s="6" t="s">
        <v>978</v>
      </c>
      <c r="E355" s="6" t="s">
        <v>14</v>
      </c>
      <c r="F355" s="9">
        <v>5.5</v>
      </c>
      <c r="G355" s="9">
        <v>5.5</v>
      </c>
      <c r="H355" s="10">
        <v>1065</v>
      </c>
      <c r="I355" s="11">
        <v>7.25</v>
      </c>
      <c r="J355" s="11">
        <v>1.58</v>
      </c>
      <c r="K355" s="12">
        <f t="shared" si="30"/>
        <v>0.61267605633802813</v>
      </c>
      <c r="L355" s="12">
        <f t="shared" si="31"/>
        <v>0.13352112676056341</v>
      </c>
      <c r="M355" s="10">
        <v>6</v>
      </c>
      <c r="N355" s="10">
        <v>1</v>
      </c>
      <c r="O355" s="10">
        <v>73</v>
      </c>
      <c r="P355" s="10">
        <v>2.4</v>
      </c>
      <c r="Q355" s="10">
        <v>10</v>
      </c>
      <c r="R355" s="11">
        <v>4.82</v>
      </c>
      <c r="S355" s="6">
        <v>2</v>
      </c>
      <c r="T355" s="6"/>
      <c r="U355" s="6"/>
      <c r="V355" s="7" t="b">
        <v>0</v>
      </c>
      <c r="W355" s="8">
        <f>IFERROR(VLOOKUP(D355,Teams!$B$2:$I$21,6,FALSE),"")</f>
        <v>0</v>
      </c>
      <c r="X355" s="2" t="s">
        <v>65</v>
      </c>
      <c r="Y355" s="13"/>
      <c r="Z355" s="14"/>
      <c r="AA355" s="15">
        <f>IFERROR(H355/(H355+Priors!$G$3),0)</f>
        <v>0.5157384987893463</v>
      </c>
      <c r="AB355" s="16">
        <f>VLOOKUP(E355,Priors!$A$3:$C$6,2,FALSE)</f>
        <v>0.44625207326425426</v>
      </c>
      <c r="AC355" s="16">
        <f>VLOOKUP(E355,Priors!$A$3:$C$6,3,FALSE)</f>
        <v>5.8217260259314105E-2</v>
      </c>
      <c r="AD355" s="12">
        <f t="shared" si="32"/>
        <v>0.53208332845726591</v>
      </c>
      <c r="AE355" s="12">
        <f t="shared" si="33"/>
        <v>9.7054363321701753E-2</v>
      </c>
      <c r="AF355" s="17">
        <v>1</v>
      </c>
      <c r="AG355" s="17">
        <v>1</v>
      </c>
      <c r="AH355" s="16">
        <f>IFERROR(VLOOKUP(D355,Teams!$B$2:$I$21,7,FALSE),1)</f>
        <v>1</v>
      </c>
      <c r="AI355" s="12">
        <f t="shared" si="34"/>
        <v>0.53208332845726591</v>
      </c>
      <c r="AJ355" s="12">
        <f t="shared" si="35"/>
        <v>9.7054363321701753E-2</v>
      </c>
      <c r="AK355" s="6" t="s">
        <v>66</v>
      </c>
      <c r="AL355" s="18"/>
      <c r="AM355" s="23"/>
      <c r="AN355" s="24">
        <v>6.0000000000000001E-3</v>
      </c>
      <c r="AO355" s="25" t="b">
        <v>1</v>
      </c>
      <c r="AP355" s="23" t="s">
        <v>71</v>
      </c>
      <c r="AQ355" s="25" t="b">
        <v>0</v>
      </c>
      <c r="AR355" s="23"/>
      <c r="AS355" s="23" t="s">
        <v>68</v>
      </c>
    </row>
    <row r="356" spans="1:45" ht="60">
      <c r="A356" s="6">
        <v>348</v>
      </c>
      <c r="B356" s="6" t="s">
        <v>1029</v>
      </c>
      <c r="C356" s="6" t="s">
        <v>1030</v>
      </c>
      <c r="D356" s="6" t="s">
        <v>978</v>
      </c>
      <c r="E356" s="6" t="s">
        <v>14</v>
      </c>
      <c r="F356" s="9">
        <v>5</v>
      </c>
      <c r="G356" s="9">
        <v>5</v>
      </c>
      <c r="H356" s="10">
        <v>244</v>
      </c>
      <c r="I356" s="11">
        <v>0.9</v>
      </c>
      <c r="J356" s="11">
        <v>0.13</v>
      </c>
      <c r="K356" s="12">
        <f t="shared" si="30"/>
        <v>0.33196721311475408</v>
      </c>
      <c r="L356" s="12">
        <f t="shared" si="31"/>
        <v>4.7950819672131155E-2</v>
      </c>
      <c r="M356" s="10">
        <v>0</v>
      </c>
      <c r="N356" s="10">
        <v>0</v>
      </c>
      <c r="O356" s="10">
        <v>17</v>
      </c>
      <c r="P356" s="10">
        <v>1.1000000000000001</v>
      </c>
      <c r="Q356" s="10">
        <v>2</v>
      </c>
      <c r="R356" s="11">
        <v>5.16</v>
      </c>
      <c r="S356" s="6">
        <v>3</v>
      </c>
      <c r="T356" s="6"/>
      <c r="U356" s="6"/>
      <c r="V356" s="7" t="b">
        <v>0</v>
      </c>
      <c r="W356" s="8">
        <f>IFERROR(VLOOKUP(D356,Teams!$B$2:$I$21,6,FALSE),"")</f>
        <v>0</v>
      </c>
      <c r="X356" s="2" t="s">
        <v>65</v>
      </c>
      <c r="Y356" s="13"/>
      <c r="Z356" s="14"/>
      <c r="AA356" s="15">
        <f>IFERROR(H356/(H356+Priors!$G$3),0)</f>
        <v>0.19614147909967847</v>
      </c>
      <c r="AB356" s="16">
        <f>VLOOKUP(E356,Priors!$A$3:$C$6,2,FALSE)</f>
        <v>0.44625207326425426</v>
      </c>
      <c r="AC356" s="16">
        <f>VLOOKUP(E356,Priors!$A$3:$C$6,3,FALSE)</f>
        <v>5.8217260259314105E-2</v>
      </c>
      <c r="AD356" s="12">
        <f t="shared" si="32"/>
        <v>0.42383607175583138</v>
      </c>
      <c r="AE356" s="12">
        <f t="shared" si="33"/>
        <v>5.6203585417455071E-2</v>
      </c>
      <c r="AF356" s="17">
        <v>1</v>
      </c>
      <c r="AG356" s="17">
        <v>1</v>
      </c>
      <c r="AH356" s="16">
        <f>IFERROR(VLOOKUP(D356,Teams!$B$2:$I$21,7,FALSE),1)</f>
        <v>1</v>
      </c>
      <c r="AI356" s="12">
        <f t="shared" si="34"/>
        <v>0.42383607175583138</v>
      </c>
      <c r="AJ356" s="12">
        <f t="shared" si="35"/>
        <v>5.6203585417455071E-2</v>
      </c>
      <c r="AK356" s="6" t="s">
        <v>66</v>
      </c>
      <c r="AL356" s="18"/>
      <c r="AM356" s="23"/>
      <c r="AN356" s="24">
        <v>5.0000000000000001E-3</v>
      </c>
      <c r="AO356" s="25" t="b">
        <v>1</v>
      </c>
      <c r="AP356" s="23" t="s">
        <v>1031</v>
      </c>
      <c r="AQ356" s="25" t="b">
        <v>0</v>
      </c>
      <c r="AR356" s="23"/>
      <c r="AS356" s="23" t="s">
        <v>68</v>
      </c>
    </row>
    <row r="357" spans="1:45" ht="60">
      <c r="A357" s="6">
        <v>349</v>
      </c>
      <c r="B357" s="6" t="s">
        <v>1032</v>
      </c>
      <c r="C357" s="6" t="s">
        <v>1033</v>
      </c>
      <c r="D357" s="6" t="s">
        <v>978</v>
      </c>
      <c r="E357" s="6" t="s">
        <v>14</v>
      </c>
      <c r="F357" s="9">
        <v>4.5</v>
      </c>
      <c r="G357" s="9">
        <v>4.5</v>
      </c>
      <c r="H357" s="10">
        <v>0</v>
      </c>
      <c r="I357" s="11">
        <v>0</v>
      </c>
      <c r="J357" s="11">
        <v>0</v>
      </c>
      <c r="K357" s="12">
        <f t="shared" si="30"/>
        <v>0</v>
      </c>
      <c r="L357" s="12">
        <f t="shared" si="31"/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1">
        <v>0</v>
      </c>
      <c r="S357" s="6"/>
      <c r="T357" s="6"/>
      <c r="U357" s="6"/>
      <c r="V357" s="7" t="b">
        <v>0</v>
      </c>
      <c r="W357" s="8">
        <f>IFERROR(VLOOKUP(D357,Teams!$B$2:$I$21,6,FALSE),"")</f>
        <v>0</v>
      </c>
      <c r="X357" s="2" t="s">
        <v>65</v>
      </c>
      <c r="Y357" s="13"/>
      <c r="Z357" s="14"/>
      <c r="AA357" s="15">
        <f>IFERROR(H357/(H357+Priors!$G$3),0)</f>
        <v>0</v>
      </c>
      <c r="AB357" s="16">
        <f>VLOOKUP(E357,Priors!$A$3:$C$6,2,FALSE)</f>
        <v>0.44625207326425426</v>
      </c>
      <c r="AC357" s="16">
        <f>VLOOKUP(E357,Priors!$A$3:$C$6,3,FALSE)</f>
        <v>5.8217260259314105E-2</v>
      </c>
      <c r="AD357" s="12">
        <f t="shared" si="32"/>
        <v>0.44625207326425426</v>
      </c>
      <c r="AE357" s="12">
        <f t="shared" si="33"/>
        <v>5.8217260259314105E-2</v>
      </c>
      <c r="AF357" s="17">
        <v>1</v>
      </c>
      <c r="AG357" s="17">
        <v>1</v>
      </c>
      <c r="AH357" s="16">
        <f>IFERROR(VLOOKUP(D357,Teams!$B$2:$I$21,7,FALSE),1)</f>
        <v>1</v>
      </c>
      <c r="AI357" s="12">
        <f t="shared" si="34"/>
        <v>0.44625207326425426</v>
      </c>
      <c r="AJ357" s="12">
        <f t="shared" si="35"/>
        <v>5.8217260259314105E-2</v>
      </c>
      <c r="AK357" s="6" t="s">
        <v>80</v>
      </c>
      <c r="AL357" s="18">
        <v>0</v>
      </c>
      <c r="AM357" s="23" t="s">
        <v>209</v>
      </c>
      <c r="AN357" s="24">
        <v>3.0000000000000001E-3</v>
      </c>
      <c r="AO357" s="25" t="b">
        <v>1</v>
      </c>
      <c r="AP357" s="23" t="s">
        <v>1034</v>
      </c>
      <c r="AQ357" s="25" t="b">
        <v>0</v>
      </c>
      <c r="AR357" s="23"/>
      <c r="AS357" s="23" t="s">
        <v>68</v>
      </c>
    </row>
    <row r="358" spans="1:45" ht="60">
      <c r="A358" s="6">
        <v>350</v>
      </c>
      <c r="B358" s="6" t="s">
        <v>1035</v>
      </c>
      <c r="C358" s="6" t="s">
        <v>1036</v>
      </c>
      <c r="D358" s="6" t="s">
        <v>1037</v>
      </c>
      <c r="E358" s="6" t="s">
        <v>7</v>
      </c>
      <c r="F358" s="9">
        <v>5.5</v>
      </c>
      <c r="G358" s="9">
        <v>5.5</v>
      </c>
      <c r="H358" s="10">
        <v>2340</v>
      </c>
      <c r="I358" s="11">
        <v>0</v>
      </c>
      <c r="J358" s="11">
        <v>0.03</v>
      </c>
      <c r="K358" s="12">
        <f t="shared" si="30"/>
        <v>0</v>
      </c>
      <c r="L358" s="12">
        <f t="shared" si="31"/>
        <v>1.1538461538461537E-3</v>
      </c>
      <c r="M358" s="10">
        <v>0</v>
      </c>
      <c r="N358" s="10">
        <v>0</v>
      </c>
      <c r="O358" s="10">
        <v>91</v>
      </c>
      <c r="P358" s="10">
        <v>3.5</v>
      </c>
      <c r="Q358" s="10">
        <v>26</v>
      </c>
      <c r="R358" s="11">
        <v>0</v>
      </c>
      <c r="S358" s="6"/>
      <c r="T358" s="6"/>
      <c r="U358" s="6"/>
      <c r="V358" s="7" t="b">
        <v>0</v>
      </c>
      <c r="W358" s="8">
        <f>IFERROR(VLOOKUP(D358,Teams!$B$2:$I$21,6,FALSE),"")</f>
        <v>0</v>
      </c>
      <c r="X358" s="2" t="s">
        <v>65</v>
      </c>
      <c r="Y358" s="13"/>
      <c r="Z358" s="14"/>
      <c r="AA358" s="15">
        <f>IFERROR(H358/(H358+Priors!$G$3),0)</f>
        <v>0.70059880239520955</v>
      </c>
      <c r="AB358" s="16">
        <f>VLOOKUP(E358,Priors!$A$3:$C$6,2,FALSE)</f>
        <v>2.4013207263995197E-4</v>
      </c>
      <c r="AC358" s="16">
        <f>VLOOKUP(E358,Priors!$A$3:$C$6,3,FALSE)</f>
        <v>1.9810895992796044E-3</v>
      </c>
      <c r="AD358" s="12">
        <f t="shared" si="32"/>
        <v>7.1895830131722154E-5</v>
      </c>
      <c r="AE358" s="12">
        <f t="shared" si="33"/>
        <v>1.4015238321196419E-3</v>
      </c>
      <c r="AF358" s="17">
        <v>1</v>
      </c>
      <c r="AG358" s="17">
        <v>1</v>
      </c>
      <c r="AH358" s="16">
        <f>IFERROR(VLOOKUP(D358,Teams!$B$2:$I$21,7,FALSE),1)</f>
        <v>1</v>
      </c>
      <c r="AI358" s="12">
        <f t="shared" si="34"/>
        <v>7.1895830131722154E-5</v>
      </c>
      <c r="AJ358" s="12">
        <f t="shared" si="35"/>
        <v>1.4015238321196419E-3</v>
      </c>
      <c r="AK358" s="6" t="s">
        <v>66</v>
      </c>
      <c r="AL358" s="18"/>
      <c r="AM358" s="23"/>
      <c r="AN358" s="24">
        <v>4.0999999999999995E-2</v>
      </c>
      <c r="AO358" s="25" t="b">
        <v>1</v>
      </c>
      <c r="AP358" s="23" t="s">
        <v>1038</v>
      </c>
      <c r="AQ358" s="25" t="b">
        <v>0</v>
      </c>
      <c r="AR358" s="23"/>
      <c r="AS358" s="23" t="s">
        <v>68</v>
      </c>
    </row>
    <row r="359" spans="1:45" ht="60">
      <c r="A359" s="6">
        <v>351</v>
      </c>
      <c r="B359" s="6" t="s">
        <v>1039</v>
      </c>
      <c r="C359" s="6" t="s">
        <v>1040</v>
      </c>
      <c r="D359" s="6" t="s">
        <v>1037</v>
      </c>
      <c r="E359" s="6" t="s">
        <v>7</v>
      </c>
      <c r="F359" s="9">
        <v>5</v>
      </c>
      <c r="G359" s="9">
        <v>5</v>
      </c>
      <c r="H359" s="10">
        <v>867</v>
      </c>
      <c r="I359" s="11">
        <v>0</v>
      </c>
      <c r="J359" s="11">
        <v>0</v>
      </c>
      <c r="K359" s="12">
        <f t="shared" si="30"/>
        <v>0</v>
      </c>
      <c r="L359" s="12">
        <f t="shared" si="31"/>
        <v>0</v>
      </c>
      <c r="M359" s="10">
        <v>0</v>
      </c>
      <c r="N359" s="10">
        <v>0</v>
      </c>
      <c r="O359" s="10">
        <v>34</v>
      </c>
      <c r="P359" s="10">
        <v>3.4</v>
      </c>
      <c r="Q359" s="10">
        <v>10</v>
      </c>
      <c r="R359" s="11">
        <v>0</v>
      </c>
      <c r="S359" s="6"/>
      <c r="T359" s="6"/>
      <c r="U359" s="6"/>
      <c r="V359" s="7" t="b">
        <v>0</v>
      </c>
      <c r="W359" s="8">
        <f>IFERROR(VLOOKUP(D359,Teams!$B$2:$I$21,6,FALSE),"")</f>
        <v>0</v>
      </c>
      <c r="X359" s="2" t="s">
        <v>65</v>
      </c>
      <c r="Y359" s="13"/>
      <c r="Z359" s="14"/>
      <c r="AA359" s="15">
        <f>IFERROR(H359/(H359+Priors!$G$3),0)</f>
        <v>0.46438136047134443</v>
      </c>
      <c r="AB359" s="16">
        <f>VLOOKUP(E359,Priors!$A$3:$C$6,2,FALSE)</f>
        <v>2.4013207263995197E-4</v>
      </c>
      <c r="AC359" s="16">
        <f>VLOOKUP(E359,Priors!$A$3:$C$6,3,FALSE)</f>
        <v>1.9810895992796044E-3</v>
      </c>
      <c r="AD359" s="12">
        <f t="shared" si="32"/>
        <v>1.2861921405460736E-4</v>
      </c>
      <c r="AE359" s="12">
        <f t="shared" si="33"/>
        <v>1.0611085159505111E-3</v>
      </c>
      <c r="AF359" s="17">
        <v>1</v>
      </c>
      <c r="AG359" s="17">
        <v>1</v>
      </c>
      <c r="AH359" s="16">
        <f>IFERROR(VLOOKUP(D359,Teams!$B$2:$I$21,7,FALSE),1)</f>
        <v>1</v>
      </c>
      <c r="AI359" s="12">
        <f t="shared" si="34"/>
        <v>1.2861921405460736E-4</v>
      </c>
      <c r="AJ359" s="12">
        <f t="shared" si="35"/>
        <v>1.0611085159505111E-3</v>
      </c>
      <c r="AK359" s="6" t="s">
        <v>66</v>
      </c>
      <c r="AL359" s="18"/>
      <c r="AM359" s="23"/>
      <c r="AN359" s="24">
        <v>2E-3</v>
      </c>
      <c r="AO359" s="25" t="b">
        <v>1</v>
      </c>
      <c r="AP359" s="23" t="s">
        <v>119</v>
      </c>
      <c r="AQ359" s="25" t="b">
        <v>0</v>
      </c>
      <c r="AR359" s="23"/>
      <c r="AS359" s="23" t="s">
        <v>68</v>
      </c>
    </row>
    <row r="360" spans="1:45" ht="60">
      <c r="A360" s="6">
        <v>352</v>
      </c>
      <c r="B360" s="6" t="s">
        <v>1041</v>
      </c>
      <c r="C360" s="6" t="s">
        <v>1042</v>
      </c>
      <c r="D360" s="6" t="s">
        <v>1037</v>
      </c>
      <c r="E360" s="6" t="s">
        <v>7</v>
      </c>
      <c r="F360" s="9">
        <v>4</v>
      </c>
      <c r="G360" s="9">
        <v>4</v>
      </c>
      <c r="H360" s="10">
        <v>212</v>
      </c>
      <c r="I360" s="11">
        <v>0</v>
      </c>
      <c r="J360" s="11">
        <v>0</v>
      </c>
      <c r="K360" s="12">
        <f t="shared" si="30"/>
        <v>0</v>
      </c>
      <c r="L360" s="12">
        <f t="shared" si="31"/>
        <v>0</v>
      </c>
      <c r="M360" s="10">
        <v>0</v>
      </c>
      <c r="N360" s="10">
        <v>0</v>
      </c>
      <c r="O360" s="10">
        <v>6</v>
      </c>
      <c r="P360" s="10">
        <v>2</v>
      </c>
      <c r="Q360" s="10">
        <v>2</v>
      </c>
      <c r="R360" s="11">
        <v>0</v>
      </c>
      <c r="S360" s="6"/>
      <c r="T360" s="6"/>
      <c r="U360" s="6"/>
      <c r="V360" s="7" t="b">
        <v>0</v>
      </c>
      <c r="W360" s="8">
        <f>IFERROR(VLOOKUP(D360,Teams!$B$2:$I$21,6,FALSE),"")</f>
        <v>0</v>
      </c>
      <c r="X360" s="2" t="s">
        <v>65</v>
      </c>
      <c r="Y360" s="13"/>
      <c r="Z360" s="14"/>
      <c r="AA360" s="15">
        <f>IFERROR(H360/(H360+Priors!$G$3),0)</f>
        <v>0.17491749174917492</v>
      </c>
      <c r="AB360" s="16">
        <f>VLOOKUP(E360,Priors!$A$3:$C$6,2,FALSE)</f>
        <v>2.4013207263995197E-4</v>
      </c>
      <c r="AC360" s="16">
        <f>VLOOKUP(E360,Priors!$A$3:$C$6,3,FALSE)</f>
        <v>1.9810895992796044E-3</v>
      </c>
      <c r="AD360" s="12">
        <f t="shared" si="32"/>
        <v>1.9812877280524089E-4</v>
      </c>
      <c r="AE360" s="12">
        <f t="shared" si="33"/>
        <v>1.6345623756432379E-3</v>
      </c>
      <c r="AF360" s="17">
        <v>1</v>
      </c>
      <c r="AG360" s="17">
        <v>1</v>
      </c>
      <c r="AH360" s="16">
        <f>IFERROR(VLOOKUP(D360,Teams!$B$2:$I$21,7,FALSE),1)</f>
        <v>1</v>
      </c>
      <c r="AI360" s="12">
        <f t="shared" si="34"/>
        <v>1.9812877280524089E-4</v>
      </c>
      <c r="AJ360" s="12">
        <f t="shared" si="35"/>
        <v>1.6345623756432379E-3</v>
      </c>
      <c r="AK360" s="6" t="s">
        <v>66</v>
      </c>
      <c r="AL360" s="18"/>
      <c r="AM360" s="23"/>
      <c r="AN360" s="24">
        <v>1.3000000000000001E-2</v>
      </c>
      <c r="AO360" s="25" t="b">
        <v>1</v>
      </c>
      <c r="AP360" s="23" t="s">
        <v>71</v>
      </c>
      <c r="AQ360" s="25" t="b">
        <v>0</v>
      </c>
      <c r="AR360" s="23"/>
      <c r="AS360" s="23" t="s">
        <v>68</v>
      </c>
    </row>
    <row r="361" spans="1:45" ht="60">
      <c r="A361" s="6">
        <v>353</v>
      </c>
      <c r="B361" s="6" t="s">
        <v>1043</v>
      </c>
      <c r="C361" s="6" t="s">
        <v>1044</v>
      </c>
      <c r="D361" s="6" t="s">
        <v>1037</v>
      </c>
      <c r="E361" s="6" t="s">
        <v>7</v>
      </c>
      <c r="F361" s="9">
        <v>4</v>
      </c>
      <c r="G361" s="9">
        <v>4</v>
      </c>
      <c r="H361" s="10">
        <v>0</v>
      </c>
      <c r="I361" s="11">
        <v>0</v>
      </c>
      <c r="J361" s="11">
        <v>0</v>
      </c>
      <c r="K361" s="12">
        <f t="shared" si="30"/>
        <v>0</v>
      </c>
      <c r="L361" s="12">
        <f t="shared" si="31"/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1">
        <v>0</v>
      </c>
      <c r="S361" s="6"/>
      <c r="T361" s="6"/>
      <c r="U361" s="6"/>
      <c r="V361" s="7" t="b">
        <v>1</v>
      </c>
      <c r="W361" s="8">
        <f>IFERROR(VLOOKUP(D361,Teams!$B$2:$I$21,6,FALSE),"")</f>
        <v>0</v>
      </c>
      <c r="X361" s="2" t="s">
        <v>65</v>
      </c>
      <c r="Y361" s="13"/>
      <c r="Z361" s="14"/>
      <c r="AA361" s="15">
        <f>IFERROR(H361/(H361+Priors!$G$3),0)</f>
        <v>0</v>
      </c>
      <c r="AB361" s="16">
        <f>VLOOKUP(E361,Priors!$A$3:$C$6,2,FALSE)</f>
        <v>2.4013207263995197E-4</v>
      </c>
      <c r="AC361" s="16">
        <f>VLOOKUP(E361,Priors!$A$3:$C$6,3,FALSE)</f>
        <v>1.9810895992796044E-3</v>
      </c>
      <c r="AD361" s="12">
        <f t="shared" si="32"/>
        <v>2.4013207263995197E-4</v>
      </c>
      <c r="AE361" s="12">
        <f t="shared" si="33"/>
        <v>1.9810895992796044E-3</v>
      </c>
      <c r="AF361" s="17">
        <v>1</v>
      </c>
      <c r="AG361" s="17">
        <v>1</v>
      </c>
      <c r="AH361" s="16">
        <f>IFERROR(VLOOKUP(D361,Teams!$B$2:$I$21,7,FALSE),1)</f>
        <v>1</v>
      </c>
      <c r="AI361" s="12">
        <f t="shared" si="34"/>
        <v>2.4013207263995197E-4</v>
      </c>
      <c r="AJ361" s="12">
        <f t="shared" si="35"/>
        <v>1.9810895992796044E-3</v>
      </c>
      <c r="AK361" s="6" t="s">
        <v>66</v>
      </c>
      <c r="AL361" s="18"/>
      <c r="AM361" s="23"/>
      <c r="AN361" s="24">
        <v>1E-3</v>
      </c>
      <c r="AO361" s="25" t="b">
        <v>1</v>
      </c>
      <c r="AP361" s="23" t="s">
        <v>65</v>
      </c>
      <c r="AQ361" s="25" t="b">
        <v>0</v>
      </c>
      <c r="AR361" s="23"/>
      <c r="AS361" s="23" t="s">
        <v>68</v>
      </c>
    </row>
    <row r="362" spans="1:45" ht="60">
      <c r="A362" s="6">
        <v>354</v>
      </c>
      <c r="B362" s="6" t="s">
        <v>1045</v>
      </c>
      <c r="C362" s="6" t="s">
        <v>1046</v>
      </c>
      <c r="D362" s="6" t="s">
        <v>1037</v>
      </c>
      <c r="E362" s="6" t="s">
        <v>7</v>
      </c>
      <c r="F362" s="9">
        <v>4</v>
      </c>
      <c r="G362" s="9">
        <v>4</v>
      </c>
      <c r="H362" s="10">
        <v>0</v>
      </c>
      <c r="I362" s="11">
        <v>0</v>
      </c>
      <c r="J362" s="11">
        <v>0</v>
      </c>
      <c r="K362" s="12">
        <f t="shared" si="30"/>
        <v>0</v>
      </c>
      <c r="L362" s="12">
        <f t="shared" si="31"/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1">
        <v>0</v>
      </c>
      <c r="S362" s="6"/>
      <c r="T362" s="6"/>
      <c r="U362" s="6"/>
      <c r="V362" s="7" t="b">
        <v>0</v>
      </c>
      <c r="W362" s="8">
        <f>IFERROR(VLOOKUP(D362,Teams!$B$2:$I$21,6,FALSE),"")</f>
        <v>0</v>
      </c>
      <c r="X362" s="2" t="s">
        <v>65</v>
      </c>
      <c r="Y362" s="13"/>
      <c r="Z362" s="14"/>
      <c r="AA362" s="15">
        <f>IFERROR(H362/(H362+Priors!$G$3),0)</f>
        <v>0</v>
      </c>
      <c r="AB362" s="16">
        <f>VLOOKUP(E362,Priors!$A$3:$C$6,2,FALSE)</f>
        <v>2.4013207263995197E-4</v>
      </c>
      <c r="AC362" s="16">
        <f>VLOOKUP(E362,Priors!$A$3:$C$6,3,FALSE)</f>
        <v>1.9810895992796044E-3</v>
      </c>
      <c r="AD362" s="12">
        <f t="shared" si="32"/>
        <v>2.4013207263995197E-4</v>
      </c>
      <c r="AE362" s="12">
        <f t="shared" si="33"/>
        <v>1.9810895992796044E-3</v>
      </c>
      <c r="AF362" s="17">
        <v>1</v>
      </c>
      <c r="AG362" s="17">
        <v>1</v>
      </c>
      <c r="AH362" s="16">
        <f>IFERROR(VLOOKUP(D362,Teams!$B$2:$I$21,7,FALSE),1)</f>
        <v>1</v>
      </c>
      <c r="AI362" s="12">
        <f t="shared" si="34"/>
        <v>2.4013207263995197E-4</v>
      </c>
      <c r="AJ362" s="12">
        <f t="shared" si="35"/>
        <v>1.9810895992796044E-3</v>
      </c>
      <c r="AK362" s="6" t="s">
        <v>80</v>
      </c>
      <c r="AL362" s="18">
        <v>0</v>
      </c>
      <c r="AM362" s="23" t="s">
        <v>209</v>
      </c>
      <c r="AN362" s="24">
        <v>0</v>
      </c>
      <c r="AO362" s="25" t="b">
        <v>1</v>
      </c>
      <c r="AP362" s="23" t="s">
        <v>356</v>
      </c>
      <c r="AQ362" s="25" t="b">
        <v>0</v>
      </c>
      <c r="AR362" s="23"/>
      <c r="AS362" s="23" t="s">
        <v>68</v>
      </c>
    </row>
    <row r="363" spans="1:45" ht="60">
      <c r="A363" s="6">
        <v>355</v>
      </c>
      <c r="B363" s="6" t="s">
        <v>1047</v>
      </c>
      <c r="C363" s="6" t="s">
        <v>1048</v>
      </c>
      <c r="D363" s="6" t="s">
        <v>1037</v>
      </c>
      <c r="E363" s="6" t="s">
        <v>7</v>
      </c>
      <c r="F363" s="9">
        <v>4</v>
      </c>
      <c r="G363" s="9">
        <v>4</v>
      </c>
      <c r="H363" s="10">
        <v>0</v>
      </c>
      <c r="I363" s="11">
        <v>0</v>
      </c>
      <c r="J363" s="11">
        <v>0</v>
      </c>
      <c r="K363" s="12">
        <f t="shared" si="30"/>
        <v>0</v>
      </c>
      <c r="L363" s="12">
        <f t="shared" si="31"/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1">
        <v>0</v>
      </c>
      <c r="S363" s="6"/>
      <c r="T363" s="6"/>
      <c r="U363" s="6"/>
      <c r="V363" s="7" t="b">
        <v>0</v>
      </c>
      <c r="W363" s="8">
        <f>IFERROR(VLOOKUP(D363,Teams!$B$2:$I$21,6,FALSE),"")</f>
        <v>0</v>
      </c>
      <c r="X363" s="2" t="s">
        <v>65</v>
      </c>
      <c r="Y363" s="13"/>
      <c r="Z363" s="14"/>
      <c r="AA363" s="15">
        <f>IFERROR(H363/(H363+Priors!$G$3),0)</f>
        <v>0</v>
      </c>
      <c r="AB363" s="16">
        <f>VLOOKUP(E363,Priors!$A$3:$C$6,2,FALSE)</f>
        <v>2.4013207263995197E-4</v>
      </c>
      <c r="AC363" s="16">
        <f>VLOOKUP(E363,Priors!$A$3:$C$6,3,FALSE)</f>
        <v>1.9810895992796044E-3</v>
      </c>
      <c r="AD363" s="12">
        <f t="shared" si="32"/>
        <v>2.4013207263995197E-4</v>
      </c>
      <c r="AE363" s="12">
        <f t="shared" si="33"/>
        <v>1.9810895992796044E-3</v>
      </c>
      <c r="AF363" s="17">
        <v>1</v>
      </c>
      <c r="AG363" s="17">
        <v>1</v>
      </c>
      <c r="AH363" s="16">
        <f>IFERROR(VLOOKUP(D363,Teams!$B$2:$I$21,7,FALSE),1)</f>
        <v>1</v>
      </c>
      <c r="AI363" s="12">
        <f t="shared" si="34"/>
        <v>2.4013207263995197E-4</v>
      </c>
      <c r="AJ363" s="12">
        <f t="shared" si="35"/>
        <v>1.9810895992796044E-3</v>
      </c>
      <c r="AK363" s="6" t="s">
        <v>66</v>
      </c>
      <c r="AL363" s="18"/>
      <c r="AM363" s="23"/>
      <c r="AN363" s="24">
        <v>1E-3</v>
      </c>
      <c r="AO363" s="25" t="b">
        <v>1</v>
      </c>
      <c r="AP363" s="23" t="s">
        <v>1049</v>
      </c>
      <c r="AQ363" s="25" t="b">
        <v>0</v>
      </c>
      <c r="AR363" s="23"/>
      <c r="AS363" s="23" t="s">
        <v>68</v>
      </c>
    </row>
    <row r="364" spans="1:45" ht="60">
      <c r="A364" s="6">
        <v>356</v>
      </c>
      <c r="B364" s="6" t="s">
        <v>1050</v>
      </c>
      <c r="C364" s="6" t="s">
        <v>1051</v>
      </c>
      <c r="D364" s="6" t="s">
        <v>1037</v>
      </c>
      <c r="E364" s="6" t="s">
        <v>9</v>
      </c>
      <c r="F364" s="9">
        <v>6.5</v>
      </c>
      <c r="G364" s="9">
        <v>6.5</v>
      </c>
      <c r="H364" s="10">
        <v>3420</v>
      </c>
      <c r="I364" s="11">
        <v>3.77</v>
      </c>
      <c r="J364" s="11">
        <v>1.44</v>
      </c>
      <c r="K364" s="12">
        <f t="shared" si="30"/>
        <v>9.9210526315789471E-2</v>
      </c>
      <c r="L364" s="12">
        <f t="shared" si="31"/>
        <v>3.7894736842105259E-2</v>
      </c>
      <c r="M364" s="10">
        <v>6</v>
      </c>
      <c r="N364" s="10">
        <v>1</v>
      </c>
      <c r="O364" s="10">
        <v>175</v>
      </c>
      <c r="P364" s="10">
        <v>4.5999999999999996</v>
      </c>
      <c r="Q364" s="10">
        <v>38</v>
      </c>
      <c r="R364" s="11">
        <v>9.26</v>
      </c>
      <c r="S364" s="6"/>
      <c r="T364" s="6"/>
      <c r="U364" s="6"/>
      <c r="V364" s="7" t="b">
        <v>0</v>
      </c>
      <c r="W364" s="8">
        <f>IFERROR(VLOOKUP(D364,Teams!$B$2:$I$21,6,FALSE),"")</f>
        <v>0</v>
      </c>
      <c r="X364" s="2" t="s">
        <v>65</v>
      </c>
      <c r="Y364" s="13"/>
      <c r="Z364" s="14"/>
      <c r="AA364" s="15">
        <f>IFERROR(H364/(H364+Priors!$G$3),0)</f>
        <v>0.77375565610859731</v>
      </c>
      <c r="AB364" s="16">
        <f>VLOOKUP(E364,Priors!$A$3:$C$6,2,FALSE)</f>
        <v>6.0081391379341341E-2</v>
      </c>
      <c r="AC364" s="16">
        <f>VLOOKUP(E364,Priors!$A$3:$C$6,3,FALSE)</f>
        <v>5.9588191961478354E-2</v>
      </c>
      <c r="AD364" s="12">
        <f t="shared" si="32"/>
        <v>9.0357780855054609E-2</v>
      </c>
      <c r="AE364" s="12">
        <f t="shared" si="33"/>
        <v>4.2802758362325416E-2</v>
      </c>
      <c r="AF364" s="17">
        <v>1</v>
      </c>
      <c r="AG364" s="17">
        <v>1</v>
      </c>
      <c r="AH364" s="16">
        <f>IFERROR(VLOOKUP(D364,Teams!$B$2:$I$21,7,FALSE),1)</f>
        <v>1</v>
      </c>
      <c r="AI364" s="12">
        <f t="shared" si="34"/>
        <v>9.0357780855054609E-2</v>
      </c>
      <c r="AJ364" s="12">
        <f t="shared" si="35"/>
        <v>4.2802758362325416E-2</v>
      </c>
      <c r="AK364" s="6" t="s">
        <v>66</v>
      </c>
      <c r="AL364" s="18"/>
      <c r="AM364" s="23"/>
      <c r="AN364" s="24">
        <v>0.16200000000000001</v>
      </c>
      <c r="AO364" s="25" t="b">
        <v>1</v>
      </c>
      <c r="AP364" s="23" t="s">
        <v>1052</v>
      </c>
      <c r="AQ364" s="25" t="b">
        <v>0</v>
      </c>
      <c r="AR364" s="23"/>
      <c r="AS364" s="23" t="s">
        <v>68</v>
      </c>
    </row>
    <row r="365" spans="1:45" ht="60">
      <c r="A365" s="6">
        <v>357</v>
      </c>
      <c r="B365" s="6" t="s">
        <v>1053</v>
      </c>
      <c r="C365" s="6" t="s">
        <v>1054</v>
      </c>
      <c r="D365" s="6" t="s">
        <v>1037</v>
      </c>
      <c r="E365" s="6" t="s">
        <v>9</v>
      </c>
      <c r="F365" s="9">
        <v>5.5</v>
      </c>
      <c r="G365" s="9">
        <v>5.5</v>
      </c>
      <c r="H365" s="10">
        <v>1032</v>
      </c>
      <c r="I365" s="11">
        <v>0.5</v>
      </c>
      <c r="J365" s="11">
        <v>1.55</v>
      </c>
      <c r="K365" s="12">
        <f t="shared" si="30"/>
        <v>4.3604651162790699E-2</v>
      </c>
      <c r="L365" s="12">
        <f t="shared" si="31"/>
        <v>0.13517441860465115</v>
      </c>
      <c r="M365" s="10">
        <v>0</v>
      </c>
      <c r="N365" s="10">
        <v>5</v>
      </c>
      <c r="O365" s="10">
        <v>63</v>
      </c>
      <c r="P365" s="10">
        <v>3</v>
      </c>
      <c r="Q365" s="10">
        <v>12</v>
      </c>
      <c r="R365" s="11">
        <v>2.62</v>
      </c>
      <c r="S365" s="6"/>
      <c r="T365" s="6"/>
      <c r="U365" s="6"/>
      <c r="V365" s="7" t="b">
        <v>0</v>
      </c>
      <c r="W365" s="8">
        <f>IFERROR(VLOOKUP(D365,Teams!$B$2:$I$21,6,FALSE),"")</f>
        <v>0</v>
      </c>
      <c r="X365" s="2" t="s">
        <v>65</v>
      </c>
      <c r="Y365" s="13"/>
      <c r="Z365" s="14"/>
      <c r="AA365" s="15">
        <f>IFERROR(H365/(H365+Priors!$G$3),0)</f>
        <v>0.50787401574803148</v>
      </c>
      <c r="AB365" s="16">
        <f>VLOOKUP(E365,Priors!$A$3:$C$6,2,FALSE)</f>
        <v>6.0081391379341341E-2</v>
      </c>
      <c r="AC365" s="16">
        <f>VLOOKUP(E365,Priors!$A$3:$C$6,3,FALSE)</f>
        <v>5.9588191961478354E-2</v>
      </c>
      <c r="AD365" s="12">
        <f t="shared" si="32"/>
        <v>5.1713283159124671E-2</v>
      </c>
      <c r="AE365" s="12">
        <f t="shared" si="33"/>
        <v>9.7976472421987371E-2</v>
      </c>
      <c r="AF365" s="17">
        <v>1</v>
      </c>
      <c r="AG365" s="17">
        <v>1</v>
      </c>
      <c r="AH365" s="16">
        <f>IFERROR(VLOOKUP(D365,Teams!$B$2:$I$21,7,FALSE),1)</f>
        <v>1</v>
      </c>
      <c r="AI365" s="12">
        <f t="shared" si="34"/>
        <v>5.1713283159124671E-2</v>
      </c>
      <c r="AJ365" s="12">
        <f t="shared" si="35"/>
        <v>9.7976472421987371E-2</v>
      </c>
      <c r="AK365" s="6" t="s">
        <v>66</v>
      </c>
      <c r="AL365" s="18"/>
      <c r="AM365" s="23"/>
      <c r="AN365" s="24">
        <v>0.03</v>
      </c>
      <c r="AO365" s="25" t="b">
        <v>1</v>
      </c>
      <c r="AP365" s="23" t="s">
        <v>453</v>
      </c>
      <c r="AQ365" s="25" t="b">
        <v>0</v>
      </c>
      <c r="AR365" s="23"/>
      <c r="AS365" s="23" t="s">
        <v>68</v>
      </c>
    </row>
    <row r="366" spans="1:45" ht="60">
      <c r="A366" s="6">
        <v>358</v>
      </c>
      <c r="B366" s="6" t="s">
        <v>1055</v>
      </c>
      <c r="C366" s="6" t="s">
        <v>1056</v>
      </c>
      <c r="D366" s="6" t="s">
        <v>1037</v>
      </c>
      <c r="E366" s="6" t="s">
        <v>9</v>
      </c>
      <c r="F366" s="9">
        <v>5.5</v>
      </c>
      <c r="G366" s="9">
        <v>5.5</v>
      </c>
      <c r="H366" s="10">
        <v>2251</v>
      </c>
      <c r="I366" s="11">
        <v>1.5</v>
      </c>
      <c r="J366" s="11">
        <v>0.69</v>
      </c>
      <c r="K366" s="12">
        <f t="shared" si="30"/>
        <v>5.9973345179920035E-2</v>
      </c>
      <c r="L366" s="12">
        <f t="shared" si="31"/>
        <v>2.7587738782763212E-2</v>
      </c>
      <c r="M366" s="10">
        <v>2</v>
      </c>
      <c r="N366" s="10">
        <v>1</v>
      </c>
      <c r="O366" s="10">
        <v>85</v>
      </c>
      <c r="P366" s="10">
        <v>2.5</v>
      </c>
      <c r="Q366" s="10">
        <v>27</v>
      </c>
      <c r="R366" s="11">
        <v>5.36</v>
      </c>
      <c r="S366" s="6"/>
      <c r="T366" s="6"/>
      <c r="U366" s="6"/>
      <c r="V366" s="7" t="b">
        <v>0</v>
      </c>
      <c r="W366" s="8">
        <f>IFERROR(VLOOKUP(D366,Teams!$B$2:$I$21,6,FALSE),"")</f>
        <v>0</v>
      </c>
      <c r="X366" s="2" t="s">
        <v>65</v>
      </c>
      <c r="Y366" s="13"/>
      <c r="Z366" s="14"/>
      <c r="AA366" s="15">
        <f>IFERROR(H366/(H366+Priors!$G$3),0)</f>
        <v>0.69240233774223314</v>
      </c>
      <c r="AB366" s="16">
        <f>VLOOKUP(E366,Priors!$A$3:$C$6,2,FALSE)</f>
        <v>6.0081391379341341E-2</v>
      </c>
      <c r="AC366" s="16">
        <f>VLOOKUP(E366,Priors!$A$3:$C$6,3,FALSE)</f>
        <v>5.9588191961478354E-2</v>
      </c>
      <c r="AD366" s="12">
        <f t="shared" si="32"/>
        <v>6.0006579938277863E-2</v>
      </c>
      <c r="AE366" s="12">
        <f t="shared" si="33"/>
        <v>3.7431003371725113E-2</v>
      </c>
      <c r="AF366" s="17">
        <v>1</v>
      </c>
      <c r="AG366" s="17">
        <v>1</v>
      </c>
      <c r="AH366" s="16">
        <f>IFERROR(VLOOKUP(D366,Teams!$B$2:$I$21,7,FALSE),1)</f>
        <v>1</v>
      </c>
      <c r="AI366" s="12">
        <f t="shared" si="34"/>
        <v>6.0006579938277863E-2</v>
      </c>
      <c r="AJ366" s="12">
        <f t="shared" si="35"/>
        <v>3.7431003371725113E-2</v>
      </c>
      <c r="AK366" s="6" t="s">
        <v>66</v>
      </c>
      <c r="AL366" s="18"/>
      <c r="AM366" s="23"/>
      <c r="AN366" s="24">
        <v>5.9000000000000004E-2</v>
      </c>
      <c r="AO366" s="25" t="b">
        <v>1</v>
      </c>
      <c r="AP366" s="23" t="s">
        <v>1057</v>
      </c>
      <c r="AQ366" s="25" t="b">
        <v>0</v>
      </c>
      <c r="AR366" s="23"/>
      <c r="AS366" s="23" t="s">
        <v>68</v>
      </c>
    </row>
    <row r="367" spans="1:45" ht="60">
      <c r="A367" s="6">
        <v>359</v>
      </c>
      <c r="B367" s="6" t="s">
        <v>433</v>
      </c>
      <c r="C367" s="6" t="s">
        <v>1058</v>
      </c>
      <c r="D367" s="6" t="s">
        <v>1037</v>
      </c>
      <c r="E367" s="6" t="s">
        <v>9</v>
      </c>
      <c r="F367" s="9">
        <v>5</v>
      </c>
      <c r="G367" s="9">
        <v>5</v>
      </c>
      <c r="H367" s="10">
        <v>594</v>
      </c>
      <c r="I367" s="11">
        <v>0.28000000000000003</v>
      </c>
      <c r="J367" s="11">
        <v>0.64</v>
      </c>
      <c r="K367" s="12">
        <f t="shared" si="30"/>
        <v>4.2424242424242427E-2</v>
      </c>
      <c r="L367" s="12">
        <f t="shared" si="31"/>
        <v>9.696969696969697E-2</v>
      </c>
      <c r="M367" s="10">
        <v>0</v>
      </c>
      <c r="N367" s="10">
        <v>2</v>
      </c>
      <c r="O367" s="10">
        <v>33</v>
      </c>
      <c r="P367" s="10">
        <v>1.6</v>
      </c>
      <c r="Q367" s="10">
        <v>7</v>
      </c>
      <c r="R367" s="11">
        <v>6.97</v>
      </c>
      <c r="S367" s="6"/>
      <c r="T367" s="6"/>
      <c r="U367" s="6"/>
      <c r="V367" s="7" t="b">
        <v>0</v>
      </c>
      <c r="W367" s="8">
        <f>IFERROR(VLOOKUP(D367,Teams!$B$2:$I$21,6,FALSE),"")</f>
        <v>0</v>
      </c>
      <c r="X367" s="2" t="s">
        <v>65</v>
      </c>
      <c r="Y367" s="13"/>
      <c r="Z367" s="14"/>
      <c r="AA367" s="15">
        <f>IFERROR(H367/(H367+Priors!$G$3),0)</f>
        <v>0.37264742785445421</v>
      </c>
      <c r="AB367" s="16">
        <f>VLOOKUP(E367,Priors!$A$3:$C$6,2,FALSE)</f>
        <v>6.0081391379341341E-2</v>
      </c>
      <c r="AC367" s="16">
        <f>VLOOKUP(E367,Priors!$A$3:$C$6,3,FALSE)</f>
        <v>5.9588191961478354E-2</v>
      </c>
      <c r="AD367" s="12">
        <f t="shared" si="32"/>
        <v>5.3501500237980767E-2</v>
      </c>
      <c r="AE367" s="12">
        <f t="shared" si="33"/>
        <v>7.3518313652119416E-2</v>
      </c>
      <c r="AF367" s="17">
        <v>1</v>
      </c>
      <c r="AG367" s="17">
        <v>1</v>
      </c>
      <c r="AH367" s="16">
        <f>IFERROR(VLOOKUP(D367,Teams!$B$2:$I$21,7,FALSE),1)</f>
        <v>1</v>
      </c>
      <c r="AI367" s="12">
        <f t="shared" si="34"/>
        <v>5.3501500237980767E-2</v>
      </c>
      <c r="AJ367" s="12">
        <f t="shared" si="35"/>
        <v>7.3518313652119416E-2</v>
      </c>
      <c r="AK367" s="6" t="s">
        <v>80</v>
      </c>
      <c r="AL367" s="18">
        <v>0</v>
      </c>
      <c r="AM367" s="23" t="s">
        <v>931</v>
      </c>
      <c r="AN367" s="24">
        <v>1E-3</v>
      </c>
      <c r="AO367" s="25" t="b">
        <v>1</v>
      </c>
      <c r="AP367" s="23" t="s">
        <v>1059</v>
      </c>
      <c r="AQ367" s="25" t="b">
        <v>0</v>
      </c>
      <c r="AR367" s="23"/>
      <c r="AS367" s="23" t="s">
        <v>68</v>
      </c>
    </row>
    <row r="368" spans="1:45" ht="60">
      <c r="A368" s="6">
        <v>360</v>
      </c>
      <c r="B368" s="6" t="s">
        <v>1060</v>
      </c>
      <c r="C368" s="6" t="s">
        <v>1061</v>
      </c>
      <c r="D368" s="6" t="s">
        <v>1037</v>
      </c>
      <c r="E368" s="6" t="s">
        <v>9</v>
      </c>
      <c r="F368" s="9">
        <v>5</v>
      </c>
      <c r="G368" s="9">
        <v>5</v>
      </c>
      <c r="H368" s="10">
        <v>928</v>
      </c>
      <c r="I368" s="11">
        <v>0.18</v>
      </c>
      <c r="J368" s="11">
        <v>0.84</v>
      </c>
      <c r="K368" s="12">
        <f t="shared" si="30"/>
        <v>1.7456896551724138E-2</v>
      </c>
      <c r="L368" s="12">
        <f t="shared" si="31"/>
        <v>8.1465517241379307E-2</v>
      </c>
      <c r="M368" s="10">
        <v>0</v>
      </c>
      <c r="N368" s="10">
        <v>2</v>
      </c>
      <c r="O368" s="10">
        <v>42</v>
      </c>
      <c r="P368" s="10">
        <v>2.8</v>
      </c>
      <c r="Q368" s="10">
        <v>12</v>
      </c>
      <c r="R368" s="11">
        <v>6.3</v>
      </c>
      <c r="S368" s="6"/>
      <c r="T368" s="6"/>
      <c r="U368" s="6"/>
      <c r="V368" s="7" t="b">
        <v>0</v>
      </c>
      <c r="W368" s="8">
        <f>IFERROR(VLOOKUP(D368,Teams!$B$2:$I$21,6,FALSE),"")</f>
        <v>0</v>
      </c>
      <c r="X368" s="2" t="s">
        <v>65</v>
      </c>
      <c r="Y368" s="13"/>
      <c r="Z368" s="14"/>
      <c r="AA368" s="15">
        <f>IFERROR(H368/(H368+Priors!$G$3),0)</f>
        <v>0.48132780082987553</v>
      </c>
      <c r="AB368" s="16">
        <f>VLOOKUP(E368,Priors!$A$3:$C$6,2,FALSE)</f>
        <v>6.0081391379341341E-2</v>
      </c>
      <c r="AC368" s="16">
        <f>VLOOKUP(E368,Priors!$A$3:$C$6,3,FALSE)</f>
        <v>5.9588191961478354E-2</v>
      </c>
      <c r="AD368" s="12">
        <f t="shared" si="32"/>
        <v>3.9565037022479946E-2</v>
      </c>
      <c r="AE368" s="12">
        <f t="shared" si="33"/>
        <v>7.0118356826492922E-2</v>
      </c>
      <c r="AF368" s="17">
        <v>1</v>
      </c>
      <c r="AG368" s="17">
        <v>1</v>
      </c>
      <c r="AH368" s="16">
        <f>IFERROR(VLOOKUP(D368,Teams!$B$2:$I$21,7,FALSE),1)</f>
        <v>1</v>
      </c>
      <c r="AI368" s="12">
        <f t="shared" si="34"/>
        <v>3.9565037022479946E-2</v>
      </c>
      <c r="AJ368" s="12">
        <f t="shared" si="35"/>
        <v>7.0118356826492922E-2</v>
      </c>
      <c r="AK368" s="6" t="s">
        <v>80</v>
      </c>
      <c r="AL368" s="18">
        <v>0</v>
      </c>
      <c r="AM368" s="23" t="s">
        <v>209</v>
      </c>
      <c r="AN368" s="24">
        <v>0</v>
      </c>
      <c r="AO368" s="25" t="b">
        <v>1</v>
      </c>
      <c r="AP368" s="23" t="s">
        <v>1062</v>
      </c>
      <c r="AQ368" s="25" t="b">
        <v>0</v>
      </c>
      <c r="AR368" s="23"/>
      <c r="AS368" s="23" t="s">
        <v>68</v>
      </c>
    </row>
    <row r="369" spans="1:45" ht="60">
      <c r="A369" s="6">
        <v>361</v>
      </c>
      <c r="B369" s="6" t="s">
        <v>1063</v>
      </c>
      <c r="C369" s="6" t="s">
        <v>1064</v>
      </c>
      <c r="D369" s="6" t="s">
        <v>1037</v>
      </c>
      <c r="E369" s="6" t="s">
        <v>9</v>
      </c>
      <c r="F369" s="9">
        <v>4</v>
      </c>
      <c r="G369" s="9">
        <v>4</v>
      </c>
      <c r="H369" s="10">
        <v>0</v>
      </c>
      <c r="I369" s="11">
        <v>0</v>
      </c>
      <c r="J369" s="11">
        <v>0</v>
      </c>
      <c r="K369" s="12">
        <f t="shared" si="30"/>
        <v>0</v>
      </c>
      <c r="L369" s="12">
        <f t="shared" si="31"/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1">
        <v>0</v>
      </c>
      <c r="S369" s="6"/>
      <c r="T369" s="6"/>
      <c r="U369" s="6"/>
      <c r="V369" s="7" t="b">
        <v>1</v>
      </c>
      <c r="W369" s="8">
        <f>IFERROR(VLOOKUP(D369,Teams!$B$2:$I$21,6,FALSE),"")</f>
        <v>0</v>
      </c>
      <c r="X369" s="2" t="s">
        <v>65</v>
      </c>
      <c r="Y369" s="13"/>
      <c r="Z369" s="14"/>
      <c r="AA369" s="15">
        <f>IFERROR(H369/(H369+Priors!$G$3),0)</f>
        <v>0</v>
      </c>
      <c r="AB369" s="16">
        <f>VLOOKUP(E369,Priors!$A$3:$C$6,2,FALSE)</f>
        <v>6.0081391379341341E-2</v>
      </c>
      <c r="AC369" s="16">
        <f>VLOOKUP(E369,Priors!$A$3:$C$6,3,FALSE)</f>
        <v>5.9588191961478354E-2</v>
      </c>
      <c r="AD369" s="12">
        <f t="shared" si="32"/>
        <v>6.0081391379341341E-2</v>
      </c>
      <c r="AE369" s="12">
        <f t="shared" si="33"/>
        <v>5.9588191961478354E-2</v>
      </c>
      <c r="AF369" s="17">
        <v>1</v>
      </c>
      <c r="AG369" s="17">
        <v>1</v>
      </c>
      <c r="AH369" s="16">
        <f>IFERROR(VLOOKUP(D369,Teams!$B$2:$I$21,7,FALSE),1)</f>
        <v>1</v>
      </c>
      <c r="AI369" s="12">
        <f t="shared" si="34"/>
        <v>6.0081391379341341E-2</v>
      </c>
      <c r="AJ369" s="12">
        <f t="shared" si="35"/>
        <v>5.9588191961478354E-2</v>
      </c>
      <c r="AK369" s="6" t="s">
        <v>66</v>
      </c>
      <c r="AL369" s="18"/>
      <c r="AM369" s="23"/>
      <c r="AN369" s="24">
        <v>1E-3</v>
      </c>
      <c r="AO369" s="25" t="b">
        <v>1</v>
      </c>
      <c r="AP369" s="23" t="s">
        <v>65</v>
      </c>
      <c r="AQ369" s="25" t="b">
        <v>0</v>
      </c>
      <c r="AR369" s="23"/>
      <c r="AS369" s="23" t="s">
        <v>68</v>
      </c>
    </row>
    <row r="370" spans="1:45" ht="60">
      <c r="A370" s="6">
        <v>362</v>
      </c>
      <c r="B370" s="6" t="s">
        <v>1065</v>
      </c>
      <c r="C370" s="6" t="s">
        <v>1066</v>
      </c>
      <c r="D370" s="6" t="s">
        <v>1037</v>
      </c>
      <c r="E370" s="6" t="s">
        <v>9</v>
      </c>
      <c r="F370" s="9">
        <v>5</v>
      </c>
      <c r="G370" s="9">
        <v>5</v>
      </c>
      <c r="H370" s="10">
        <v>0</v>
      </c>
      <c r="I370" s="11">
        <v>0</v>
      </c>
      <c r="J370" s="11">
        <v>0</v>
      </c>
      <c r="K370" s="12">
        <f t="shared" si="30"/>
        <v>0</v>
      </c>
      <c r="L370" s="12">
        <f t="shared" si="31"/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1">
        <v>0</v>
      </c>
      <c r="S370" s="6"/>
      <c r="T370" s="6"/>
      <c r="U370" s="6"/>
      <c r="V370" s="7" t="b">
        <v>1</v>
      </c>
      <c r="W370" s="8">
        <f>IFERROR(VLOOKUP(D370,Teams!$B$2:$I$21,6,FALSE),"")</f>
        <v>0</v>
      </c>
      <c r="X370" s="2" t="s">
        <v>65</v>
      </c>
      <c r="Y370" s="13"/>
      <c r="Z370" s="14"/>
      <c r="AA370" s="15">
        <f>IFERROR(H370/(H370+Priors!$G$3),0)</f>
        <v>0</v>
      </c>
      <c r="AB370" s="16">
        <f>VLOOKUP(E370,Priors!$A$3:$C$6,2,FALSE)</f>
        <v>6.0081391379341341E-2</v>
      </c>
      <c r="AC370" s="16">
        <f>VLOOKUP(E370,Priors!$A$3:$C$6,3,FALSE)</f>
        <v>5.9588191961478354E-2</v>
      </c>
      <c r="AD370" s="12">
        <f t="shared" si="32"/>
        <v>6.0081391379341341E-2</v>
      </c>
      <c r="AE370" s="12">
        <f t="shared" si="33"/>
        <v>5.9588191961478354E-2</v>
      </c>
      <c r="AF370" s="17">
        <v>1</v>
      </c>
      <c r="AG370" s="17">
        <v>1</v>
      </c>
      <c r="AH370" s="16">
        <f>IFERROR(VLOOKUP(D370,Teams!$B$2:$I$21,7,FALSE),1)</f>
        <v>1</v>
      </c>
      <c r="AI370" s="12">
        <f t="shared" si="34"/>
        <v>6.0081391379341341E-2</v>
      </c>
      <c r="AJ370" s="12">
        <f t="shared" si="35"/>
        <v>5.9588191961478354E-2</v>
      </c>
      <c r="AK370" s="6" t="s">
        <v>66</v>
      </c>
      <c r="AL370" s="18">
        <v>100</v>
      </c>
      <c r="AM370" s="23"/>
      <c r="AN370" s="24">
        <v>0.02</v>
      </c>
      <c r="AO370" s="25" t="b">
        <v>1</v>
      </c>
      <c r="AP370" s="23" t="s">
        <v>95</v>
      </c>
      <c r="AQ370" s="25" t="b">
        <v>0</v>
      </c>
      <c r="AR370" s="23"/>
      <c r="AS370" s="23" t="s">
        <v>68</v>
      </c>
    </row>
    <row r="371" spans="1:45" ht="60">
      <c r="A371" s="6">
        <v>363</v>
      </c>
      <c r="B371" s="6" t="s">
        <v>1067</v>
      </c>
      <c r="C371" s="6" t="s">
        <v>1068</v>
      </c>
      <c r="D371" s="6" t="s">
        <v>1037</v>
      </c>
      <c r="E371" s="6" t="s">
        <v>9</v>
      </c>
      <c r="F371" s="9">
        <v>4</v>
      </c>
      <c r="G371" s="9">
        <v>4</v>
      </c>
      <c r="H371" s="10">
        <v>0</v>
      </c>
      <c r="I371" s="11">
        <v>0</v>
      </c>
      <c r="J371" s="11">
        <v>0</v>
      </c>
      <c r="K371" s="12">
        <f t="shared" si="30"/>
        <v>0</v>
      </c>
      <c r="L371" s="12">
        <f t="shared" si="31"/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1">
        <v>0</v>
      </c>
      <c r="S371" s="6"/>
      <c r="T371" s="6"/>
      <c r="U371" s="6"/>
      <c r="V371" s="7" t="b">
        <v>0</v>
      </c>
      <c r="W371" s="8">
        <f>IFERROR(VLOOKUP(D371,Teams!$B$2:$I$21,6,FALSE),"")</f>
        <v>0</v>
      </c>
      <c r="X371" s="2" t="s">
        <v>65</v>
      </c>
      <c r="Y371" s="13"/>
      <c r="Z371" s="14"/>
      <c r="AA371" s="15">
        <f>IFERROR(H371/(H371+Priors!$G$3),0)</f>
        <v>0</v>
      </c>
      <c r="AB371" s="16">
        <f>VLOOKUP(E371,Priors!$A$3:$C$6,2,FALSE)</f>
        <v>6.0081391379341341E-2</v>
      </c>
      <c r="AC371" s="16">
        <f>VLOOKUP(E371,Priors!$A$3:$C$6,3,FALSE)</f>
        <v>5.9588191961478354E-2</v>
      </c>
      <c r="AD371" s="12">
        <f t="shared" si="32"/>
        <v>6.0081391379341341E-2</v>
      </c>
      <c r="AE371" s="12">
        <f t="shared" si="33"/>
        <v>5.9588191961478354E-2</v>
      </c>
      <c r="AF371" s="17">
        <v>1</v>
      </c>
      <c r="AG371" s="17">
        <v>1</v>
      </c>
      <c r="AH371" s="16">
        <f>IFERROR(VLOOKUP(D371,Teams!$B$2:$I$21,7,FALSE),1)</f>
        <v>1</v>
      </c>
      <c r="AI371" s="12">
        <f t="shared" si="34"/>
        <v>6.0081391379341341E-2</v>
      </c>
      <c r="AJ371" s="12">
        <f t="shared" si="35"/>
        <v>5.9588191961478354E-2</v>
      </c>
      <c r="AK371" s="6" t="s">
        <v>80</v>
      </c>
      <c r="AL371" s="18">
        <v>0</v>
      </c>
      <c r="AM371" s="23" t="s">
        <v>209</v>
      </c>
      <c r="AN371" s="24">
        <v>1E-3</v>
      </c>
      <c r="AO371" s="25" t="b">
        <v>1</v>
      </c>
      <c r="AP371" s="23" t="s">
        <v>720</v>
      </c>
      <c r="AQ371" s="25" t="b">
        <v>0</v>
      </c>
      <c r="AR371" s="23"/>
      <c r="AS371" s="23" t="s">
        <v>68</v>
      </c>
    </row>
    <row r="372" spans="1:45" ht="60">
      <c r="A372" s="6">
        <v>364</v>
      </c>
      <c r="B372" s="6" t="s">
        <v>1069</v>
      </c>
      <c r="C372" s="6" t="s">
        <v>1070</v>
      </c>
      <c r="D372" s="6" t="s">
        <v>1037</v>
      </c>
      <c r="E372" s="6" t="s">
        <v>9</v>
      </c>
      <c r="F372" s="9">
        <v>5</v>
      </c>
      <c r="G372" s="9">
        <v>5</v>
      </c>
      <c r="H372" s="10">
        <v>0</v>
      </c>
      <c r="I372" s="11">
        <v>0</v>
      </c>
      <c r="J372" s="11">
        <v>0</v>
      </c>
      <c r="K372" s="12">
        <f t="shared" si="30"/>
        <v>0</v>
      </c>
      <c r="L372" s="12">
        <f t="shared" si="31"/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1">
        <v>0</v>
      </c>
      <c r="S372" s="6"/>
      <c r="T372" s="6"/>
      <c r="U372" s="6"/>
      <c r="V372" s="7" t="b">
        <v>0</v>
      </c>
      <c r="W372" s="8">
        <f>IFERROR(VLOOKUP(D372,Teams!$B$2:$I$21,6,FALSE),"")</f>
        <v>0</v>
      </c>
      <c r="X372" s="2" t="s">
        <v>65</v>
      </c>
      <c r="Y372" s="13"/>
      <c r="Z372" s="14"/>
      <c r="AA372" s="15">
        <f>IFERROR(H372/(H372+Priors!$G$3),0)</f>
        <v>0</v>
      </c>
      <c r="AB372" s="16">
        <f>VLOOKUP(E372,Priors!$A$3:$C$6,2,FALSE)</f>
        <v>6.0081391379341341E-2</v>
      </c>
      <c r="AC372" s="16">
        <f>VLOOKUP(E372,Priors!$A$3:$C$6,3,FALSE)</f>
        <v>5.9588191961478354E-2</v>
      </c>
      <c r="AD372" s="12">
        <f t="shared" si="32"/>
        <v>6.0081391379341341E-2</v>
      </c>
      <c r="AE372" s="12">
        <f t="shared" si="33"/>
        <v>5.9588191961478354E-2</v>
      </c>
      <c r="AF372" s="17">
        <v>1</v>
      </c>
      <c r="AG372" s="17">
        <v>1</v>
      </c>
      <c r="AH372" s="16">
        <f>IFERROR(VLOOKUP(D372,Teams!$B$2:$I$21,7,FALSE),1)</f>
        <v>1</v>
      </c>
      <c r="AI372" s="12">
        <f t="shared" si="34"/>
        <v>6.0081391379341341E-2</v>
      </c>
      <c r="AJ372" s="12">
        <f t="shared" si="35"/>
        <v>5.9588191961478354E-2</v>
      </c>
      <c r="AK372" s="6" t="s">
        <v>66</v>
      </c>
      <c r="AL372" s="18"/>
      <c r="AM372" s="23"/>
      <c r="AN372" s="24">
        <v>1E-3</v>
      </c>
      <c r="AO372" s="25" t="b">
        <v>1</v>
      </c>
      <c r="AP372" s="23" t="s">
        <v>1071</v>
      </c>
      <c r="AQ372" s="25" t="b">
        <v>0</v>
      </c>
      <c r="AR372" s="23"/>
      <c r="AS372" s="23" t="s">
        <v>68</v>
      </c>
    </row>
    <row r="373" spans="1:45" ht="60">
      <c r="A373" s="6">
        <v>365</v>
      </c>
      <c r="B373" s="6" t="s">
        <v>1072</v>
      </c>
      <c r="C373" s="6" t="s">
        <v>1073</v>
      </c>
      <c r="D373" s="6" t="s">
        <v>1037</v>
      </c>
      <c r="E373" s="6" t="s">
        <v>9</v>
      </c>
      <c r="F373" s="9">
        <v>4</v>
      </c>
      <c r="G373" s="9">
        <v>4</v>
      </c>
      <c r="H373" s="10">
        <v>0</v>
      </c>
      <c r="I373" s="11">
        <v>0</v>
      </c>
      <c r="J373" s="11">
        <v>0</v>
      </c>
      <c r="K373" s="12">
        <f t="shared" si="30"/>
        <v>0</v>
      </c>
      <c r="L373" s="12">
        <f t="shared" si="31"/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1">
        <v>0</v>
      </c>
      <c r="S373" s="6"/>
      <c r="T373" s="6"/>
      <c r="U373" s="6"/>
      <c r="V373" s="7" t="b">
        <v>0</v>
      </c>
      <c r="W373" s="8">
        <f>IFERROR(VLOOKUP(D373,Teams!$B$2:$I$21,6,FALSE),"")</f>
        <v>0</v>
      </c>
      <c r="X373" s="2" t="s">
        <v>65</v>
      </c>
      <c r="Y373" s="13"/>
      <c r="Z373" s="14"/>
      <c r="AA373" s="15">
        <f>IFERROR(H373/(H373+Priors!$G$3),0)</f>
        <v>0</v>
      </c>
      <c r="AB373" s="16">
        <f>VLOOKUP(E373,Priors!$A$3:$C$6,2,FALSE)</f>
        <v>6.0081391379341341E-2</v>
      </c>
      <c r="AC373" s="16">
        <f>VLOOKUP(E373,Priors!$A$3:$C$6,3,FALSE)</f>
        <v>5.9588191961478354E-2</v>
      </c>
      <c r="AD373" s="12">
        <f t="shared" si="32"/>
        <v>6.0081391379341341E-2</v>
      </c>
      <c r="AE373" s="12">
        <f t="shared" si="33"/>
        <v>5.9588191961478354E-2</v>
      </c>
      <c r="AF373" s="17">
        <v>1</v>
      </c>
      <c r="AG373" s="17">
        <v>1</v>
      </c>
      <c r="AH373" s="16">
        <f>IFERROR(VLOOKUP(D373,Teams!$B$2:$I$21,7,FALSE),1)</f>
        <v>1</v>
      </c>
      <c r="AI373" s="12">
        <f t="shared" si="34"/>
        <v>6.0081391379341341E-2</v>
      </c>
      <c r="AJ373" s="12">
        <f t="shared" si="35"/>
        <v>5.9588191961478354E-2</v>
      </c>
      <c r="AK373" s="6" t="s">
        <v>66</v>
      </c>
      <c r="AL373" s="18"/>
      <c r="AM373" s="23"/>
      <c r="AN373" s="24">
        <v>2E-3</v>
      </c>
      <c r="AO373" s="25" t="b">
        <v>1</v>
      </c>
      <c r="AP373" s="23" t="s">
        <v>1074</v>
      </c>
      <c r="AQ373" s="25" t="b">
        <v>0</v>
      </c>
      <c r="AR373" s="23"/>
      <c r="AS373" s="23" t="s">
        <v>68</v>
      </c>
    </row>
    <row r="374" spans="1:45" ht="60">
      <c r="A374" s="6">
        <v>366</v>
      </c>
      <c r="B374" s="6" t="s">
        <v>1075</v>
      </c>
      <c r="C374" s="6" t="s">
        <v>1076</v>
      </c>
      <c r="D374" s="6" t="s">
        <v>1037</v>
      </c>
      <c r="E374" s="6" t="s">
        <v>11</v>
      </c>
      <c r="F374" s="9">
        <v>7.5</v>
      </c>
      <c r="G374" s="9">
        <v>7.5</v>
      </c>
      <c r="H374" s="10">
        <v>2374</v>
      </c>
      <c r="I374" s="11">
        <v>6.83</v>
      </c>
      <c r="J374" s="11">
        <v>5.14</v>
      </c>
      <c r="K374" s="12">
        <f t="shared" si="30"/>
        <v>0.25893007582139849</v>
      </c>
      <c r="L374" s="12">
        <f t="shared" si="31"/>
        <v>0.1948609941027801</v>
      </c>
      <c r="M374" s="10">
        <v>5</v>
      </c>
      <c r="N374" s="10">
        <v>4</v>
      </c>
      <c r="O374" s="10">
        <v>125</v>
      </c>
      <c r="P374" s="10">
        <v>3.8</v>
      </c>
      <c r="Q374" s="10">
        <v>27</v>
      </c>
      <c r="R374" s="11">
        <v>6.67</v>
      </c>
      <c r="S374" s="6">
        <v>4</v>
      </c>
      <c r="T374" s="6">
        <v>2</v>
      </c>
      <c r="U374" s="6">
        <v>6</v>
      </c>
      <c r="V374" s="7" t="b">
        <v>0</v>
      </c>
      <c r="W374" s="8">
        <f>IFERROR(VLOOKUP(D374,Teams!$B$2:$I$21,6,FALSE),"")</f>
        <v>0</v>
      </c>
      <c r="X374" s="2" t="s">
        <v>65</v>
      </c>
      <c r="Y374" s="13"/>
      <c r="Z374" s="14"/>
      <c r="AA374" s="15">
        <f>IFERROR(H374/(H374+Priors!$G$3),0)</f>
        <v>0.70361588618850035</v>
      </c>
      <c r="AB374" s="16">
        <f>VLOOKUP(E374,Priors!$A$3:$C$6,2,FALSE)</f>
        <v>0.15714383234350468</v>
      </c>
      <c r="AC374" s="16">
        <f>VLOOKUP(E374,Priors!$A$3:$C$6,3,FALSE)</f>
        <v>0.13222062939449797</v>
      </c>
      <c r="AD374" s="12">
        <f t="shared" si="32"/>
        <v>0.22876225025000141</v>
      </c>
      <c r="AE374" s="12">
        <f t="shared" si="33"/>
        <v>0.17629538511988674</v>
      </c>
      <c r="AF374" s="17">
        <v>1</v>
      </c>
      <c r="AG374" s="17">
        <v>1</v>
      </c>
      <c r="AH374" s="16">
        <f>IFERROR(VLOOKUP(D374,Teams!$B$2:$I$21,7,FALSE),1)</f>
        <v>1</v>
      </c>
      <c r="AI374" s="12">
        <f t="shared" si="34"/>
        <v>0.22876225025000141</v>
      </c>
      <c r="AJ374" s="12">
        <f t="shared" si="35"/>
        <v>0.17629538511988674</v>
      </c>
      <c r="AK374" s="6" t="s">
        <v>66</v>
      </c>
      <c r="AL374" s="18"/>
      <c r="AM374" s="23"/>
      <c r="AN374" s="24">
        <v>0.11800000000000001</v>
      </c>
      <c r="AO374" s="25" t="b">
        <v>1</v>
      </c>
      <c r="AP374" s="23" t="s">
        <v>1077</v>
      </c>
      <c r="AQ374" s="25" t="b">
        <v>0</v>
      </c>
      <c r="AR374" s="23"/>
      <c r="AS374" s="23" t="s">
        <v>68</v>
      </c>
    </row>
    <row r="375" spans="1:45" ht="60">
      <c r="A375" s="6">
        <v>367</v>
      </c>
      <c r="B375" s="6" t="s">
        <v>1078</v>
      </c>
      <c r="C375" s="6" t="s">
        <v>1079</v>
      </c>
      <c r="D375" s="6" t="s">
        <v>1037</v>
      </c>
      <c r="E375" s="6" t="s">
        <v>11</v>
      </c>
      <c r="F375" s="9">
        <v>7</v>
      </c>
      <c r="G375" s="9">
        <v>7</v>
      </c>
      <c r="H375" s="10">
        <v>2736</v>
      </c>
      <c r="I375" s="11">
        <v>8.35</v>
      </c>
      <c r="J375" s="11">
        <v>4.67</v>
      </c>
      <c r="K375" s="12">
        <f t="shared" si="30"/>
        <v>0.27467105263157893</v>
      </c>
      <c r="L375" s="12">
        <f t="shared" si="31"/>
        <v>0.15361842105263157</v>
      </c>
      <c r="M375" s="10">
        <v>7</v>
      </c>
      <c r="N375" s="10">
        <v>5</v>
      </c>
      <c r="O375" s="10">
        <v>131</v>
      </c>
      <c r="P375" s="10">
        <v>3.6</v>
      </c>
      <c r="Q375" s="10">
        <v>32</v>
      </c>
      <c r="R375" s="11">
        <v>5</v>
      </c>
      <c r="S375" s="6">
        <v>3</v>
      </c>
      <c r="T375" s="6"/>
      <c r="U375" s="6">
        <v>5</v>
      </c>
      <c r="V375" s="7" t="b">
        <v>0</v>
      </c>
      <c r="W375" s="8">
        <f>IFERROR(VLOOKUP(D375,Teams!$B$2:$I$21,6,FALSE),"")</f>
        <v>0</v>
      </c>
      <c r="X375" s="2" t="s">
        <v>65</v>
      </c>
      <c r="Y375" s="13"/>
      <c r="Z375" s="14"/>
      <c r="AA375" s="15">
        <f>IFERROR(H375/(H375+Priors!$G$3),0)</f>
        <v>0.73233404710920769</v>
      </c>
      <c r="AB375" s="16">
        <f>VLOOKUP(E375,Priors!$A$3:$C$6,2,FALSE)</f>
        <v>0.15714383234350468</v>
      </c>
      <c r="AC375" s="16">
        <f>VLOOKUP(E375,Priors!$A$3:$C$6,3,FALSE)</f>
        <v>0.13222062939449797</v>
      </c>
      <c r="AD375" s="12">
        <f t="shared" si="32"/>
        <v>0.2432130172225655</v>
      </c>
      <c r="AE375" s="12">
        <f t="shared" si="33"/>
        <v>0.14789096075869859</v>
      </c>
      <c r="AF375" s="17">
        <v>1</v>
      </c>
      <c r="AG375" s="17">
        <v>1</v>
      </c>
      <c r="AH375" s="16">
        <f>IFERROR(VLOOKUP(D375,Teams!$B$2:$I$21,7,FALSE),1)</f>
        <v>1</v>
      </c>
      <c r="AI375" s="12">
        <f t="shared" si="34"/>
        <v>0.2432130172225655</v>
      </c>
      <c r="AJ375" s="12">
        <f t="shared" si="35"/>
        <v>0.14789096075869859</v>
      </c>
      <c r="AK375" s="6" t="s">
        <v>66</v>
      </c>
      <c r="AL375" s="18"/>
      <c r="AM375" s="23"/>
      <c r="AN375" s="24">
        <v>3.5000000000000003E-2</v>
      </c>
      <c r="AO375" s="25" t="b">
        <v>1</v>
      </c>
      <c r="AP375" s="23" t="s">
        <v>438</v>
      </c>
      <c r="AQ375" s="25" t="b">
        <v>0</v>
      </c>
      <c r="AR375" s="23"/>
      <c r="AS375" s="23" t="s">
        <v>68</v>
      </c>
    </row>
    <row r="376" spans="1:45" ht="60">
      <c r="A376" s="6">
        <v>368</v>
      </c>
      <c r="B376" s="6" t="s">
        <v>1080</v>
      </c>
      <c r="C376" s="6" t="s">
        <v>1081</v>
      </c>
      <c r="D376" s="6" t="s">
        <v>1037</v>
      </c>
      <c r="E376" s="6" t="s">
        <v>11</v>
      </c>
      <c r="F376" s="9">
        <v>7</v>
      </c>
      <c r="G376" s="9">
        <v>7</v>
      </c>
      <c r="H376" s="10">
        <v>3232</v>
      </c>
      <c r="I376" s="11">
        <v>4.76</v>
      </c>
      <c r="J376" s="11">
        <v>6.83</v>
      </c>
      <c r="K376" s="12">
        <f t="shared" si="30"/>
        <v>0.13254950495049506</v>
      </c>
      <c r="L376" s="12">
        <f t="shared" si="31"/>
        <v>0.19019183168316833</v>
      </c>
      <c r="M376" s="10">
        <v>6</v>
      </c>
      <c r="N376" s="10">
        <v>7</v>
      </c>
      <c r="O376" s="10">
        <v>160</v>
      </c>
      <c r="P376" s="10">
        <v>4.4000000000000004</v>
      </c>
      <c r="Q376" s="10">
        <v>36</v>
      </c>
      <c r="R376" s="11">
        <v>9.41</v>
      </c>
      <c r="S376" s="6">
        <v>2</v>
      </c>
      <c r="T376" s="6">
        <v>1</v>
      </c>
      <c r="U376" s="6">
        <v>4</v>
      </c>
      <c r="V376" s="7" t="b">
        <v>0</v>
      </c>
      <c r="W376" s="8">
        <f>IFERROR(VLOOKUP(D376,Teams!$B$2:$I$21,6,FALSE),"")</f>
        <v>0</v>
      </c>
      <c r="X376" s="2" t="s">
        <v>65</v>
      </c>
      <c r="Y376" s="13"/>
      <c r="Z376" s="14"/>
      <c r="AA376" s="15">
        <f>IFERROR(H376/(H376+Priors!$G$3),0)</f>
        <v>0.76370510396975422</v>
      </c>
      <c r="AB376" s="16">
        <f>VLOOKUP(E376,Priors!$A$3:$C$6,2,FALSE)</f>
        <v>0.15714383234350468</v>
      </c>
      <c r="AC376" s="16">
        <f>VLOOKUP(E376,Priors!$A$3:$C$6,3,FALSE)</f>
        <v>0.13222062939449797</v>
      </c>
      <c r="AD376" s="12">
        <f t="shared" si="32"/>
        <v>0.13836101898476008</v>
      </c>
      <c r="AE376" s="12">
        <f t="shared" si="33"/>
        <v>0.17649353246561864</v>
      </c>
      <c r="AF376" s="17">
        <v>1</v>
      </c>
      <c r="AG376" s="17">
        <v>1</v>
      </c>
      <c r="AH376" s="16">
        <f>IFERROR(VLOOKUP(D376,Teams!$B$2:$I$21,7,FALSE),1)</f>
        <v>1</v>
      </c>
      <c r="AI376" s="12">
        <f t="shared" si="34"/>
        <v>0.13836101898476008</v>
      </c>
      <c r="AJ376" s="12">
        <f t="shared" si="35"/>
        <v>0.17649353246561864</v>
      </c>
      <c r="AK376" s="6" t="s">
        <v>66</v>
      </c>
      <c r="AL376" s="18"/>
      <c r="AM376" s="23"/>
      <c r="AN376" s="24">
        <v>0.47600000000000003</v>
      </c>
      <c r="AO376" s="25" t="b">
        <v>1</v>
      </c>
      <c r="AP376" s="23" t="s">
        <v>1082</v>
      </c>
      <c r="AQ376" s="25" t="b">
        <v>0</v>
      </c>
      <c r="AR376" s="23"/>
      <c r="AS376" s="23" t="s">
        <v>68</v>
      </c>
    </row>
    <row r="377" spans="1:45" ht="60">
      <c r="A377" s="6">
        <v>369</v>
      </c>
      <c r="B377" s="6" t="s">
        <v>1083</v>
      </c>
      <c r="C377" s="6" t="s">
        <v>1084</v>
      </c>
      <c r="D377" s="6" t="s">
        <v>1037</v>
      </c>
      <c r="E377" s="6" t="s">
        <v>11</v>
      </c>
      <c r="F377" s="9">
        <v>6</v>
      </c>
      <c r="G377" s="9">
        <v>6</v>
      </c>
      <c r="H377" s="10">
        <v>547</v>
      </c>
      <c r="I377" s="11">
        <v>1.34</v>
      </c>
      <c r="J377" s="11">
        <v>2.0099999999999998</v>
      </c>
      <c r="K377" s="12">
        <f t="shared" si="30"/>
        <v>0.22047531992687389</v>
      </c>
      <c r="L377" s="12">
        <f t="shared" si="31"/>
        <v>0.33071297989031073</v>
      </c>
      <c r="M377" s="10">
        <v>2</v>
      </c>
      <c r="N377" s="10">
        <v>1</v>
      </c>
      <c r="O377" s="10">
        <v>43</v>
      </c>
      <c r="P377" s="10">
        <v>2.2999999999999998</v>
      </c>
      <c r="Q377" s="10">
        <v>5</v>
      </c>
      <c r="R377" s="11">
        <v>4.9400000000000004</v>
      </c>
      <c r="S377" s="6"/>
      <c r="T377" s="6"/>
      <c r="U377" s="6"/>
      <c r="V377" s="7" t="b">
        <v>0</v>
      </c>
      <c r="W377" s="8">
        <f>IFERROR(VLOOKUP(D377,Teams!$B$2:$I$21,6,FALSE),"")</f>
        <v>0</v>
      </c>
      <c r="X377" s="2" t="s">
        <v>65</v>
      </c>
      <c r="Y377" s="13"/>
      <c r="Z377" s="14"/>
      <c r="AA377" s="15">
        <f>IFERROR(H377/(H377+Priors!$G$3),0)</f>
        <v>0.35358758888170655</v>
      </c>
      <c r="AB377" s="16">
        <f>VLOOKUP(E377,Priors!$A$3:$C$6,2,FALSE)</f>
        <v>0.15714383234350468</v>
      </c>
      <c r="AC377" s="16">
        <f>VLOOKUP(E377,Priors!$A$3:$C$6,3,FALSE)</f>
        <v>0.13222062939449797</v>
      </c>
      <c r="AD377" s="12">
        <f t="shared" si="32"/>
        <v>0.17953706033839995</v>
      </c>
      <c r="AE377" s="12">
        <f t="shared" si="33"/>
        <v>0.202405061017775</v>
      </c>
      <c r="AF377" s="17">
        <v>1</v>
      </c>
      <c r="AG377" s="17">
        <v>1</v>
      </c>
      <c r="AH377" s="16">
        <f>IFERROR(VLOOKUP(D377,Teams!$B$2:$I$21,7,FALSE),1)</f>
        <v>1</v>
      </c>
      <c r="AI377" s="12">
        <f t="shared" si="34"/>
        <v>0.17953706033839995</v>
      </c>
      <c r="AJ377" s="12">
        <f t="shared" si="35"/>
        <v>0.202405061017775</v>
      </c>
      <c r="AK377" s="6" t="s">
        <v>66</v>
      </c>
      <c r="AL377" s="18"/>
      <c r="AM377" s="23"/>
      <c r="AN377" s="24">
        <v>1.7000000000000001E-2</v>
      </c>
      <c r="AO377" s="25" t="b">
        <v>1</v>
      </c>
      <c r="AP377" s="23" t="s">
        <v>1085</v>
      </c>
      <c r="AQ377" s="25" t="b">
        <v>0</v>
      </c>
      <c r="AR377" s="23"/>
      <c r="AS377" s="23" t="s">
        <v>68</v>
      </c>
    </row>
    <row r="378" spans="1:45" ht="60">
      <c r="A378" s="6">
        <v>370</v>
      </c>
      <c r="B378" s="6" t="s">
        <v>1086</v>
      </c>
      <c r="C378" s="6" t="s">
        <v>1087</v>
      </c>
      <c r="D378" s="6" t="s">
        <v>1037</v>
      </c>
      <c r="E378" s="6" t="s">
        <v>11</v>
      </c>
      <c r="F378" s="9">
        <v>5.5</v>
      </c>
      <c r="G378" s="9">
        <v>5.5</v>
      </c>
      <c r="H378" s="10">
        <v>317</v>
      </c>
      <c r="I378" s="11">
        <v>1.45</v>
      </c>
      <c r="J378" s="11">
        <v>0.61</v>
      </c>
      <c r="K378" s="12">
        <f t="shared" si="30"/>
        <v>0.41167192429022081</v>
      </c>
      <c r="L378" s="12">
        <f t="shared" si="31"/>
        <v>0.17318611987381702</v>
      </c>
      <c r="M378" s="10">
        <v>2</v>
      </c>
      <c r="N378" s="10">
        <v>1</v>
      </c>
      <c r="O378" s="10">
        <v>37</v>
      </c>
      <c r="P378" s="10">
        <v>1.4</v>
      </c>
      <c r="Q378" s="10">
        <v>1</v>
      </c>
      <c r="R378" s="11">
        <v>8.52</v>
      </c>
      <c r="S378" s="6"/>
      <c r="T378" s="6"/>
      <c r="U378" s="6"/>
      <c r="V378" s="7" t="b">
        <v>0</v>
      </c>
      <c r="W378" s="8">
        <f>IFERROR(VLOOKUP(D378,Teams!$B$2:$I$21,6,FALSE),"")</f>
        <v>0</v>
      </c>
      <c r="X378" s="2" t="s">
        <v>65</v>
      </c>
      <c r="Y378" s="13"/>
      <c r="Z378" s="14"/>
      <c r="AA378" s="15">
        <f>IFERROR(H378/(H378+Priors!$G$3),0)</f>
        <v>0.24069855732725892</v>
      </c>
      <c r="AB378" s="16">
        <f>VLOOKUP(E378,Priors!$A$3:$C$6,2,FALSE)</f>
        <v>0.15714383234350468</v>
      </c>
      <c r="AC378" s="16">
        <f>VLOOKUP(E378,Priors!$A$3:$C$6,3,FALSE)</f>
        <v>0.13222062939449797</v>
      </c>
      <c r="AD378" s="12">
        <f t="shared" si="32"/>
        <v>0.21840837687433917</v>
      </c>
      <c r="AE378" s="12">
        <f t="shared" si="33"/>
        <v>0.14208096385307364</v>
      </c>
      <c r="AF378" s="17">
        <v>1</v>
      </c>
      <c r="AG378" s="17">
        <v>1</v>
      </c>
      <c r="AH378" s="16">
        <f>IFERROR(VLOOKUP(D378,Teams!$B$2:$I$21,7,FALSE),1)</f>
        <v>1</v>
      </c>
      <c r="AI378" s="12">
        <f t="shared" si="34"/>
        <v>0.21840837687433917</v>
      </c>
      <c r="AJ378" s="12">
        <f t="shared" si="35"/>
        <v>0.14208096385307364</v>
      </c>
      <c r="AK378" s="6" t="s">
        <v>66</v>
      </c>
      <c r="AL378" s="18"/>
      <c r="AM378" s="23"/>
      <c r="AN378" s="24">
        <v>2E-3</v>
      </c>
      <c r="AO378" s="25" t="b">
        <v>1</v>
      </c>
      <c r="AP378" s="23" t="s">
        <v>1088</v>
      </c>
      <c r="AQ378" s="25" t="b">
        <v>0</v>
      </c>
      <c r="AR378" s="23"/>
      <c r="AS378" s="23" t="s">
        <v>68</v>
      </c>
    </row>
    <row r="379" spans="1:45" ht="60">
      <c r="A379" s="6">
        <v>371</v>
      </c>
      <c r="B379" s="6" t="s">
        <v>1089</v>
      </c>
      <c r="C379" s="6" t="s">
        <v>1090</v>
      </c>
      <c r="D379" s="6" t="s">
        <v>1037</v>
      </c>
      <c r="E379" s="6" t="s">
        <v>11</v>
      </c>
      <c r="F379" s="9">
        <v>6</v>
      </c>
      <c r="G379" s="9">
        <v>6</v>
      </c>
      <c r="H379" s="10">
        <v>2991</v>
      </c>
      <c r="I379" s="11">
        <v>1.89</v>
      </c>
      <c r="J379" s="11">
        <v>2.2599999999999998</v>
      </c>
      <c r="K379" s="12">
        <f t="shared" si="30"/>
        <v>5.687061183550652E-2</v>
      </c>
      <c r="L379" s="12">
        <f t="shared" si="31"/>
        <v>6.8004012036108313E-2</v>
      </c>
      <c r="M379" s="10">
        <v>5</v>
      </c>
      <c r="N379" s="10">
        <v>5</v>
      </c>
      <c r="O379" s="10">
        <v>144</v>
      </c>
      <c r="P379" s="10">
        <v>4</v>
      </c>
      <c r="Q379" s="10">
        <v>34</v>
      </c>
      <c r="R379" s="11">
        <v>8.9700000000000006</v>
      </c>
      <c r="S379" s="6"/>
      <c r="T379" s="6"/>
      <c r="U379" s="6"/>
      <c r="V379" s="7" t="b">
        <v>0</v>
      </c>
      <c r="W379" s="8">
        <f>IFERROR(VLOOKUP(D379,Teams!$B$2:$I$21,6,FALSE),"")</f>
        <v>0</v>
      </c>
      <c r="X379" s="2" t="s">
        <v>65</v>
      </c>
      <c r="Y379" s="13"/>
      <c r="Z379" s="14"/>
      <c r="AA379" s="15">
        <f>IFERROR(H379/(H379+Priors!$G$3),0)</f>
        <v>0.74943623152092209</v>
      </c>
      <c r="AB379" s="16">
        <f>VLOOKUP(E379,Priors!$A$3:$C$6,2,FALSE)</f>
        <v>0.15714383234350468</v>
      </c>
      <c r="AC379" s="16">
        <f>VLOOKUP(E379,Priors!$A$3:$C$6,3,FALSE)</f>
        <v>0.13222062939449797</v>
      </c>
      <c r="AD379" s="12">
        <f t="shared" si="32"/>
        <v>8.1995447843524097E-2</v>
      </c>
      <c r="AE379" s="12">
        <f t="shared" si="33"/>
        <v>8.4094369680405401E-2</v>
      </c>
      <c r="AF379" s="17">
        <v>1</v>
      </c>
      <c r="AG379" s="17">
        <v>1</v>
      </c>
      <c r="AH379" s="16">
        <f>IFERROR(VLOOKUP(D379,Teams!$B$2:$I$21,7,FALSE),1)</f>
        <v>1</v>
      </c>
      <c r="AI379" s="12">
        <f t="shared" si="34"/>
        <v>8.1995447843524097E-2</v>
      </c>
      <c r="AJ379" s="12">
        <f t="shared" si="35"/>
        <v>8.4094369680405401E-2</v>
      </c>
      <c r="AK379" s="6" t="s">
        <v>66</v>
      </c>
      <c r="AL379" s="18"/>
      <c r="AM379" s="23"/>
      <c r="AN379" s="24">
        <v>1.9E-2</v>
      </c>
      <c r="AO379" s="25" t="b">
        <v>1</v>
      </c>
      <c r="AP379" s="23" t="s">
        <v>521</v>
      </c>
      <c r="AQ379" s="25" t="b">
        <v>0</v>
      </c>
      <c r="AR379" s="23"/>
      <c r="AS379" s="23" t="s">
        <v>68</v>
      </c>
    </row>
    <row r="380" spans="1:45" ht="60">
      <c r="A380" s="6">
        <v>372</v>
      </c>
      <c r="B380" s="6" t="s">
        <v>1091</v>
      </c>
      <c r="C380" s="6" t="s">
        <v>1092</v>
      </c>
      <c r="D380" s="6" t="s">
        <v>1037</v>
      </c>
      <c r="E380" s="6" t="s">
        <v>11</v>
      </c>
      <c r="F380" s="9">
        <v>5.5</v>
      </c>
      <c r="G380" s="9">
        <v>5.5</v>
      </c>
      <c r="H380" s="10">
        <v>2654</v>
      </c>
      <c r="I380" s="11">
        <v>3.89</v>
      </c>
      <c r="J380" s="11">
        <v>1.69</v>
      </c>
      <c r="K380" s="12">
        <f t="shared" si="30"/>
        <v>0.13191409193669934</v>
      </c>
      <c r="L380" s="12">
        <f t="shared" si="31"/>
        <v>5.7309721175584021E-2</v>
      </c>
      <c r="M380" s="10">
        <v>2</v>
      </c>
      <c r="N380" s="10">
        <v>5</v>
      </c>
      <c r="O380" s="10">
        <v>108</v>
      </c>
      <c r="P380" s="10">
        <v>2.9</v>
      </c>
      <c r="Q380" s="10">
        <v>31</v>
      </c>
      <c r="R380" s="11">
        <v>7.77</v>
      </c>
      <c r="S380" s="6">
        <v>5</v>
      </c>
      <c r="T380" s="6"/>
      <c r="U380" s="6"/>
      <c r="V380" s="7" t="b">
        <v>0</v>
      </c>
      <c r="W380" s="8">
        <f>IFERROR(VLOOKUP(D380,Teams!$B$2:$I$21,6,FALSE),"")</f>
        <v>0</v>
      </c>
      <c r="X380" s="2" t="s">
        <v>65</v>
      </c>
      <c r="Y380" s="13"/>
      <c r="Z380" s="14"/>
      <c r="AA380" s="15">
        <f>IFERROR(H380/(H380+Priors!$G$3),0)</f>
        <v>0.72632731253420912</v>
      </c>
      <c r="AB380" s="16">
        <f>VLOOKUP(E380,Priors!$A$3:$C$6,2,FALSE)</f>
        <v>0.15714383234350468</v>
      </c>
      <c r="AC380" s="16">
        <f>VLOOKUP(E380,Priors!$A$3:$C$6,3,FALSE)</f>
        <v>0.13222062939449797</v>
      </c>
      <c r="AD380" s="12">
        <f t="shared" si="32"/>
        <v>0.138818782797894</v>
      </c>
      <c r="AE380" s="12">
        <f t="shared" si="33"/>
        <v>7.7810790748357395E-2</v>
      </c>
      <c r="AF380" s="17">
        <v>1</v>
      </c>
      <c r="AG380" s="17">
        <v>1</v>
      </c>
      <c r="AH380" s="16">
        <f>IFERROR(VLOOKUP(D380,Teams!$B$2:$I$21,7,FALSE),1)</f>
        <v>1</v>
      </c>
      <c r="AI380" s="12">
        <f t="shared" si="34"/>
        <v>0.138818782797894</v>
      </c>
      <c r="AJ380" s="12">
        <f t="shared" si="35"/>
        <v>7.7810790748357395E-2</v>
      </c>
      <c r="AK380" s="6" t="s">
        <v>66</v>
      </c>
      <c r="AL380" s="18"/>
      <c r="AM380" s="23"/>
      <c r="AN380" s="24">
        <v>1.9E-2</v>
      </c>
      <c r="AO380" s="25" t="b">
        <v>1</v>
      </c>
      <c r="AP380" s="23" t="s">
        <v>1093</v>
      </c>
      <c r="AQ380" s="25" t="b">
        <v>0</v>
      </c>
      <c r="AR380" s="23"/>
      <c r="AS380" s="23" t="s">
        <v>68</v>
      </c>
    </row>
    <row r="381" spans="1:45" ht="60">
      <c r="A381" s="6">
        <v>373</v>
      </c>
      <c r="B381" s="6" t="s">
        <v>1094</v>
      </c>
      <c r="C381" s="6" t="s">
        <v>1095</v>
      </c>
      <c r="D381" s="6" t="s">
        <v>1037</v>
      </c>
      <c r="E381" s="6" t="s">
        <v>11</v>
      </c>
      <c r="F381" s="9">
        <v>5.5</v>
      </c>
      <c r="G381" s="9">
        <v>5.5</v>
      </c>
      <c r="H381" s="10">
        <v>1923</v>
      </c>
      <c r="I381" s="11">
        <v>2.21</v>
      </c>
      <c r="J381" s="11">
        <v>2.77</v>
      </c>
      <c r="K381" s="12">
        <f t="shared" si="30"/>
        <v>0.10343213728549143</v>
      </c>
      <c r="L381" s="12">
        <f t="shared" si="31"/>
        <v>0.12964118564742591</v>
      </c>
      <c r="M381" s="10">
        <v>1</v>
      </c>
      <c r="N381" s="10">
        <v>3</v>
      </c>
      <c r="O381" s="10">
        <v>81</v>
      </c>
      <c r="P381" s="10">
        <v>2.4</v>
      </c>
      <c r="Q381" s="10">
        <v>18</v>
      </c>
      <c r="R381" s="11">
        <v>11.09</v>
      </c>
      <c r="S381" s="6"/>
      <c r="T381" s="6"/>
      <c r="U381" s="6"/>
      <c r="V381" s="7" t="b">
        <v>0</v>
      </c>
      <c r="W381" s="8">
        <f>IFERROR(VLOOKUP(D381,Teams!$B$2:$I$21,6,FALSE),"")</f>
        <v>0</v>
      </c>
      <c r="X381" s="2" t="s">
        <v>65</v>
      </c>
      <c r="Y381" s="13"/>
      <c r="Z381" s="14"/>
      <c r="AA381" s="15">
        <f>IFERROR(H381/(H381+Priors!$G$3),0)</f>
        <v>0.65788573383510096</v>
      </c>
      <c r="AB381" s="16">
        <f>VLOOKUP(E381,Priors!$A$3:$C$6,2,FALSE)</f>
        <v>0.15714383234350468</v>
      </c>
      <c r="AC381" s="16">
        <f>VLOOKUP(E381,Priors!$A$3:$C$6,3,FALSE)</f>
        <v>0.13222062939449797</v>
      </c>
      <c r="AD381" s="12">
        <f t="shared" si="32"/>
        <v>0.12180767442473647</v>
      </c>
      <c r="AE381" s="12">
        <f t="shared" si="33"/>
        <v>0.1305236501520691</v>
      </c>
      <c r="AF381" s="17">
        <v>1</v>
      </c>
      <c r="AG381" s="17">
        <v>1</v>
      </c>
      <c r="AH381" s="16">
        <f>IFERROR(VLOOKUP(D381,Teams!$B$2:$I$21,7,FALSE),1)</f>
        <v>1</v>
      </c>
      <c r="AI381" s="12">
        <f t="shared" si="34"/>
        <v>0.12180767442473647</v>
      </c>
      <c r="AJ381" s="12">
        <f t="shared" si="35"/>
        <v>0.1305236501520691</v>
      </c>
      <c r="AK381" s="6" t="s">
        <v>66</v>
      </c>
      <c r="AL381" s="18"/>
      <c r="AM381" s="23"/>
      <c r="AN381" s="24">
        <v>1E-3</v>
      </c>
      <c r="AO381" s="25" t="b">
        <v>1</v>
      </c>
      <c r="AP381" s="23" t="s">
        <v>1096</v>
      </c>
      <c r="AQ381" s="25" t="b">
        <v>0</v>
      </c>
      <c r="AR381" s="23"/>
      <c r="AS381" s="23" t="s">
        <v>68</v>
      </c>
    </row>
    <row r="382" spans="1:45" ht="60">
      <c r="A382" s="6">
        <v>374</v>
      </c>
      <c r="B382" s="6" t="s">
        <v>1097</v>
      </c>
      <c r="C382" s="6" t="s">
        <v>1098</v>
      </c>
      <c r="D382" s="6" t="s">
        <v>1037</v>
      </c>
      <c r="E382" s="6" t="s">
        <v>11</v>
      </c>
      <c r="F382" s="9">
        <v>5</v>
      </c>
      <c r="G382" s="9">
        <v>5</v>
      </c>
      <c r="H382" s="10">
        <v>170</v>
      </c>
      <c r="I382" s="11">
        <v>0.04</v>
      </c>
      <c r="J382" s="11">
        <v>0.05</v>
      </c>
      <c r="K382" s="12">
        <f t="shared" si="30"/>
        <v>2.1176470588235293E-2</v>
      </c>
      <c r="L382" s="12">
        <f t="shared" si="31"/>
        <v>2.6470588235294117E-2</v>
      </c>
      <c r="M382" s="10">
        <v>0</v>
      </c>
      <c r="N382" s="10">
        <v>1</v>
      </c>
      <c r="O382" s="10">
        <v>12</v>
      </c>
      <c r="P382" s="10">
        <v>1.5</v>
      </c>
      <c r="Q382" s="10">
        <v>1</v>
      </c>
      <c r="R382" s="11">
        <v>12.18</v>
      </c>
      <c r="S382" s="6"/>
      <c r="T382" s="6"/>
      <c r="U382" s="6"/>
      <c r="V382" s="7" t="b">
        <v>0</v>
      </c>
      <c r="W382" s="8">
        <f>IFERROR(VLOOKUP(D382,Teams!$B$2:$I$21,6,FALSE),"")</f>
        <v>0</v>
      </c>
      <c r="X382" s="2" t="s">
        <v>65</v>
      </c>
      <c r="Y382" s="13"/>
      <c r="Z382" s="14"/>
      <c r="AA382" s="15">
        <f>IFERROR(H382/(H382+Priors!$G$3),0)</f>
        <v>0.14529914529914531</v>
      </c>
      <c r="AB382" s="16">
        <f>VLOOKUP(E382,Priors!$A$3:$C$6,2,FALSE)</f>
        <v>0.15714383234350468</v>
      </c>
      <c r="AC382" s="16">
        <f>VLOOKUP(E382,Priors!$A$3:$C$6,3,FALSE)</f>
        <v>0.13222062939449797</v>
      </c>
      <c r="AD382" s="12">
        <f t="shared" si="32"/>
        <v>0.13738789089188436</v>
      </c>
      <c r="AE382" s="12">
        <f t="shared" si="33"/>
        <v>0.1168552387987162</v>
      </c>
      <c r="AF382" s="17">
        <v>1</v>
      </c>
      <c r="AG382" s="17">
        <v>1</v>
      </c>
      <c r="AH382" s="16">
        <f>IFERROR(VLOOKUP(D382,Teams!$B$2:$I$21,7,FALSE),1)</f>
        <v>1</v>
      </c>
      <c r="AI382" s="12">
        <f t="shared" si="34"/>
        <v>0.13738789089188436</v>
      </c>
      <c r="AJ382" s="12">
        <f t="shared" si="35"/>
        <v>0.1168552387987162</v>
      </c>
      <c r="AK382" s="6" t="s">
        <v>204</v>
      </c>
      <c r="AL382" s="18">
        <v>75</v>
      </c>
      <c r="AM382" s="23" t="s">
        <v>667</v>
      </c>
      <c r="AN382" s="24">
        <v>0</v>
      </c>
      <c r="AO382" s="25" t="b">
        <v>1</v>
      </c>
      <c r="AP382" s="23" t="s">
        <v>537</v>
      </c>
      <c r="AQ382" s="25" t="b">
        <v>0</v>
      </c>
      <c r="AR382" s="23"/>
      <c r="AS382" s="23" t="s">
        <v>68</v>
      </c>
    </row>
    <row r="383" spans="1:45" ht="60">
      <c r="A383" s="6">
        <v>375</v>
      </c>
      <c r="B383" s="6" t="s">
        <v>1099</v>
      </c>
      <c r="C383" s="6" t="s">
        <v>1100</v>
      </c>
      <c r="D383" s="6" t="s">
        <v>1037</v>
      </c>
      <c r="E383" s="6" t="s">
        <v>11</v>
      </c>
      <c r="F383" s="9">
        <v>5</v>
      </c>
      <c r="G383" s="9">
        <v>5</v>
      </c>
      <c r="H383" s="10">
        <v>21</v>
      </c>
      <c r="I383" s="11">
        <v>0.37</v>
      </c>
      <c r="J383" s="11">
        <v>0.02</v>
      </c>
      <c r="K383" s="12">
        <f t="shared" si="30"/>
        <v>1.5857142857142856</v>
      </c>
      <c r="L383" s="12">
        <f t="shared" si="31"/>
        <v>8.5714285714285715E-2</v>
      </c>
      <c r="M383" s="10">
        <v>0</v>
      </c>
      <c r="N383" s="10">
        <v>0</v>
      </c>
      <c r="O383" s="10">
        <v>6</v>
      </c>
      <c r="P383" s="10">
        <v>1</v>
      </c>
      <c r="Q383" s="10">
        <v>0</v>
      </c>
      <c r="R383" s="11">
        <v>21.43</v>
      </c>
      <c r="S383" s="6"/>
      <c r="T383" s="6"/>
      <c r="U383" s="6"/>
      <c r="V383" s="7" t="b">
        <v>0</v>
      </c>
      <c r="W383" s="8">
        <f>IFERROR(VLOOKUP(D383,Teams!$B$2:$I$21,6,FALSE),"")</f>
        <v>0</v>
      </c>
      <c r="X383" s="2" t="s">
        <v>65</v>
      </c>
      <c r="Y383" s="13"/>
      <c r="Z383" s="14"/>
      <c r="AA383" s="15">
        <f>IFERROR(H383/(H383+Priors!$G$3),0)</f>
        <v>2.0568070519098921E-2</v>
      </c>
      <c r="AB383" s="16">
        <f>VLOOKUP(E383,Priors!$A$3:$C$6,2,FALSE)</f>
        <v>0.15714383234350468</v>
      </c>
      <c r="AC383" s="16">
        <f>VLOOKUP(E383,Priors!$A$3:$C$6,3,FALSE)</f>
        <v>0.13222062939449797</v>
      </c>
      <c r="AD383" s="12">
        <f t="shared" si="32"/>
        <v>0.18652677016993602</v>
      </c>
      <c r="AE383" s="12">
        <f t="shared" si="33"/>
        <v>0.13126408363809791</v>
      </c>
      <c r="AF383" s="17">
        <v>1</v>
      </c>
      <c r="AG383" s="17">
        <v>1</v>
      </c>
      <c r="AH383" s="16">
        <f>IFERROR(VLOOKUP(D383,Teams!$B$2:$I$21,7,FALSE),1)</f>
        <v>1</v>
      </c>
      <c r="AI383" s="12">
        <f t="shared" si="34"/>
        <v>0.18652677016993602</v>
      </c>
      <c r="AJ383" s="12">
        <f t="shared" si="35"/>
        <v>0.13126408363809791</v>
      </c>
      <c r="AK383" s="6" t="s">
        <v>66</v>
      </c>
      <c r="AL383" s="18"/>
      <c r="AM383" s="23"/>
      <c r="AN383" s="24">
        <v>1E-3</v>
      </c>
      <c r="AO383" s="25" t="b">
        <v>1</v>
      </c>
      <c r="AP383" s="23" t="s">
        <v>1101</v>
      </c>
      <c r="AQ383" s="25" t="b">
        <v>0</v>
      </c>
      <c r="AR383" s="23"/>
      <c r="AS383" s="23" t="s">
        <v>68</v>
      </c>
    </row>
    <row r="384" spans="1:45" ht="60">
      <c r="A384" s="6">
        <v>376</v>
      </c>
      <c r="B384" s="6" t="s">
        <v>1102</v>
      </c>
      <c r="C384" s="6" t="s">
        <v>1103</v>
      </c>
      <c r="D384" s="6" t="s">
        <v>1037</v>
      </c>
      <c r="E384" s="6" t="s">
        <v>11</v>
      </c>
      <c r="F384" s="9">
        <v>5</v>
      </c>
      <c r="G384" s="9">
        <v>5</v>
      </c>
      <c r="H384" s="10">
        <v>0</v>
      </c>
      <c r="I384" s="11">
        <v>0</v>
      </c>
      <c r="J384" s="11">
        <v>0</v>
      </c>
      <c r="K384" s="12">
        <f t="shared" si="30"/>
        <v>0</v>
      </c>
      <c r="L384" s="12">
        <f t="shared" si="31"/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1">
        <v>0</v>
      </c>
      <c r="S384" s="6"/>
      <c r="T384" s="6"/>
      <c r="U384" s="6"/>
      <c r="V384" s="7" t="b">
        <v>0</v>
      </c>
      <c r="W384" s="8">
        <f>IFERROR(VLOOKUP(D384,Teams!$B$2:$I$21,6,FALSE),"")</f>
        <v>0</v>
      </c>
      <c r="X384" s="2" t="s">
        <v>65</v>
      </c>
      <c r="Y384" s="13"/>
      <c r="Z384" s="14"/>
      <c r="AA384" s="15">
        <f>IFERROR(H384/(H384+Priors!$G$3),0)</f>
        <v>0</v>
      </c>
      <c r="AB384" s="16">
        <f>VLOOKUP(E384,Priors!$A$3:$C$6,2,FALSE)</f>
        <v>0.15714383234350468</v>
      </c>
      <c r="AC384" s="16">
        <f>VLOOKUP(E384,Priors!$A$3:$C$6,3,FALSE)</f>
        <v>0.13222062939449797</v>
      </c>
      <c r="AD384" s="12">
        <f t="shared" si="32"/>
        <v>0.15714383234350468</v>
      </c>
      <c r="AE384" s="12">
        <f t="shared" si="33"/>
        <v>0.13222062939449797</v>
      </c>
      <c r="AF384" s="17">
        <v>1</v>
      </c>
      <c r="AG384" s="17">
        <v>1</v>
      </c>
      <c r="AH384" s="16">
        <f>IFERROR(VLOOKUP(D384,Teams!$B$2:$I$21,7,FALSE),1)</f>
        <v>1</v>
      </c>
      <c r="AI384" s="12">
        <f t="shared" si="34"/>
        <v>0.15714383234350468</v>
      </c>
      <c r="AJ384" s="12">
        <f t="shared" si="35"/>
        <v>0.13222062939449797</v>
      </c>
      <c r="AK384" s="6" t="s">
        <v>80</v>
      </c>
      <c r="AL384" s="18">
        <v>0</v>
      </c>
      <c r="AM384" s="23" t="s">
        <v>1104</v>
      </c>
      <c r="AN384" s="24">
        <v>0</v>
      </c>
      <c r="AO384" s="25" t="b">
        <v>1</v>
      </c>
      <c r="AP384" s="23" t="s">
        <v>688</v>
      </c>
      <c r="AQ384" s="25" t="b">
        <v>0</v>
      </c>
      <c r="AR384" s="23"/>
      <c r="AS384" s="23" t="s">
        <v>68</v>
      </c>
    </row>
    <row r="385" spans="1:45" ht="60">
      <c r="A385" s="6">
        <v>377</v>
      </c>
      <c r="B385" s="6" t="s">
        <v>1105</v>
      </c>
      <c r="C385" s="6" t="s">
        <v>1106</v>
      </c>
      <c r="D385" s="6" t="s">
        <v>1037</v>
      </c>
      <c r="E385" s="6" t="s">
        <v>11</v>
      </c>
      <c r="F385" s="9">
        <v>6.5</v>
      </c>
      <c r="G385" s="9">
        <v>6.5</v>
      </c>
      <c r="H385" s="10">
        <v>0</v>
      </c>
      <c r="I385" s="11">
        <v>0</v>
      </c>
      <c r="J385" s="11">
        <v>0</v>
      </c>
      <c r="K385" s="12">
        <f t="shared" si="30"/>
        <v>0</v>
      </c>
      <c r="L385" s="12">
        <f t="shared" si="31"/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1">
        <v>0</v>
      </c>
      <c r="S385" s="6"/>
      <c r="T385" s="6"/>
      <c r="U385" s="6"/>
      <c r="V385" s="7" t="b">
        <v>1</v>
      </c>
      <c r="W385" s="8">
        <f>IFERROR(VLOOKUP(D385,Teams!$B$2:$I$21,6,FALSE),"")</f>
        <v>0</v>
      </c>
      <c r="X385" s="2" t="s">
        <v>65</v>
      </c>
      <c r="Y385" s="13"/>
      <c r="Z385" s="14"/>
      <c r="AA385" s="15">
        <f>IFERROR(H385/(H385+Priors!$G$3),0)</f>
        <v>0</v>
      </c>
      <c r="AB385" s="16">
        <f>VLOOKUP(E385,Priors!$A$3:$C$6,2,FALSE)</f>
        <v>0.15714383234350468</v>
      </c>
      <c r="AC385" s="16">
        <f>VLOOKUP(E385,Priors!$A$3:$C$6,3,FALSE)</f>
        <v>0.13222062939449797</v>
      </c>
      <c r="AD385" s="12">
        <f t="shared" si="32"/>
        <v>0.15714383234350468</v>
      </c>
      <c r="AE385" s="12">
        <f t="shared" si="33"/>
        <v>0.13222062939449797</v>
      </c>
      <c r="AF385" s="17">
        <v>1</v>
      </c>
      <c r="AG385" s="17">
        <v>1</v>
      </c>
      <c r="AH385" s="16">
        <f>IFERROR(VLOOKUP(D385,Teams!$B$2:$I$21,7,FALSE),1)</f>
        <v>1</v>
      </c>
      <c r="AI385" s="12">
        <f t="shared" si="34"/>
        <v>0.15714383234350468</v>
      </c>
      <c r="AJ385" s="12">
        <f t="shared" si="35"/>
        <v>0.13222062939449797</v>
      </c>
      <c r="AK385" s="6" t="s">
        <v>66</v>
      </c>
      <c r="AL385" s="18"/>
      <c r="AM385" s="23"/>
      <c r="AN385" s="24">
        <v>8.0000000000000002E-3</v>
      </c>
      <c r="AO385" s="25" t="b">
        <v>1</v>
      </c>
      <c r="AP385" s="23" t="s">
        <v>1107</v>
      </c>
      <c r="AQ385" s="25" t="b">
        <v>0</v>
      </c>
      <c r="AR385" s="23"/>
      <c r="AS385" s="23" t="s">
        <v>68</v>
      </c>
    </row>
    <row r="386" spans="1:45" ht="60">
      <c r="A386" s="6">
        <v>378</v>
      </c>
      <c r="B386" s="6" t="s">
        <v>1108</v>
      </c>
      <c r="C386" s="6" t="s">
        <v>1109</v>
      </c>
      <c r="D386" s="6" t="s">
        <v>1037</v>
      </c>
      <c r="E386" s="6" t="s">
        <v>11</v>
      </c>
      <c r="F386" s="9">
        <v>4.5</v>
      </c>
      <c r="G386" s="9">
        <v>4.5</v>
      </c>
      <c r="H386" s="10">
        <v>0</v>
      </c>
      <c r="I386" s="11">
        <v>0</v>
      </c>
      <c r="J386" s="11">
        <v>0</v>
      </c>
      <c r="K386" s="12">
        <f t="shared" ref="K386:K449" si="36">IFERROR(I386*90/H386,0)</f>
        <v>0</v>
      </c>
      <c r="L386" s="12">
        <f t="shared" ref="L386:L449" si="37">IFERROR(J386*90/H386,0)</f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1">
        <v>0</v>
      </c>
      <c r="S386" s="6"/>
      <c r="T386" s="6"/>
      <c r="U386" s="6"/>
      <c r="V386" s="7" t="b">
        <v>0</v>
      </c>
      <c r="W386" s="8">
        <f>IFERROR(VLOOKUP(D386,Teams!$B$2:$I$21,6,FALSE),"")</f>
        <v>0</v>
      </c>
      <c r="X386" s="2" t="s">
        <v>65</v>
      </c>
      <c r="Y386" s="13"/>
      <c r="Z386" s="14"/>
      <c r="AA386" s="15">
        <f>IFERROR(H386/(H386+Priors!$G$3),0)</f>
        <v>0</v>
      </c>
      <c r="AB386" s="16">
        <f>VLOOKUP(E386,Priors!$A$3:$C$6,2,FALSE)</f>
        <v>0.15714383234350468</v>
      </c>
      <c r="AC386" s="16">
        <f>VLOOKUP(E386,Priors!$A$3:$C$6,3,FALSE)</f>
        <v>0.13222062939449797</v>
      </c>
      <c r="AD386" s="12">
        <f t="shared" ref="AD386:AD449" si="38">AA386*K386+(1-AA386)*AB386</f>
        <v>0.15714383234350468</v>
      </c>
      <c r="AE386" s="12">
        <f t="shared" ref="AE386:AE449" si="39">AA386*L386+(1-AA386)*AC386</f>
        <v>0.13222062939449797</v>
      </c>
      <c r="AF386" s="17">
        <v>1</v>
      </c>
      <c r="AG386" s="17">
        <v>1</v>
      </c>
      <c r="AH386" s="16">
        <f>IFERROR(VLOOKUP(D386,Teams!$B$2:$I$21,7,FALSE),1)</f>
        <v>1</v>
      </c>
      <c r="AI386" s="12">
        <f t="shared" ref="AI386:AI449" si="40">AD386*AF386*AG386*AH386</f>
        <v>0.15714383234350468</v>
      </c>
      <c r="AJ386" s="12">
        <f t="shared" ref="AJ386:AJ449" si="41">AE386*AF386*AG386*AH386</f>
        <v>0.13222062939449797</v>
      </c>
      <c r="AK386" s="6" t="s">
        <v>66</v>
      </c>
      <c r="AL386" s="18"/>
      <c r="AM386" s="23"/>
      <c r="AN386" s="24">
        <v>2E-3</v>
      </c>
      <c r="AO386" s="25" t="b">
        <v>1</v>
      </c>
      <c r="AP386" s="23" t="s">
        <v>589</v>
      </c>
      <c r="AQ386" s="25" t="b">
        <v>0</v>
      </c>
      <c r="AR386" s="23"/>
      <c r="AS386" s="23" t="s">
        <v>68</v>
      </c>
    </row>
    <row r="387" spans="1:45" ht="60">
      <c r="A387" s="6">
        <v>379</v>
      </c>
      <c r="B387" s="6" t="s">
        <v>1110</v>
      </c>
      <c r="C387" s="6" t="s">
        <v>1111</v>
      </c>
      <c r="D387" s="6" t="s">
        <v>1037</v>
      </c>
      <c r="E387" s="6" t="s">
        <v>14</v>
      </c>
      <c r="F387" s="9">
        <v>9</v>
      </c>
      <c r="G387" s="9">
        <v>9</v>
      </c>
      <c r="H387" s="10">
        <v>694</v>
      </c>
      <c r="I387" s="11">
        <v>2.59</v>
      </c>
      <c r="J387" s="11">
        <v>0.08</v>
      </c>
      <c r="K387" s="12">
        <f t="shared" si="36"/>
        <v>0.33587896253602306</v>
      </c>
      <c r="L387" s="12">
        <f t="shared" si="37"/>
        <v>1.0374639769452449E-2</v>
      </c>
      <c r="M387" s="10">
        <v>3</v>
      </c>
      <c r="N387" s="10">
        <v>1</v>
      </c>
      <c r="O387" s="10">
        <v>41</v>
      </c>
      <c r="P387" s="10">
        <v>2.9</v>
      </c>
      <c r="Q387" s="10">
        <v>8</v>
      </c>
      <c r="R387" s="11">
        <v>3.89</v>
      </c>
      <c r="S387" s="6">
        <v>1</v>
      </c>
      <c r="T387" s="6"/>
      <c r="U387" s="6"/>
      <c r="V387" s="7" t="b">
        <v>0</v>
      </c>
      <c r="W387" s="8">
        <f>IFERROR(VLOOKUP(D387,Teams!$B$2:$I$21,6,FALSE),"")</f>
        <v>0</v>
      </c>
      <c r="X387" s="2" t="s">
        <v>65</v>
      </c>
      <c r="Y387" s="13"/>
      <c r="Z387" s="14"/>
      <c r="AA387" s="15">
        <f>IFERROR(H387/(H387+Priors!$G$3),0)</f>
        <v>0.40968122786304606</v>
      </c>
      <c r="AB387" s="16">
        <f>VLOOKUP(E387,Priors!$A$3:$C$6,2,FALSE)</f>
        <v>0.44625207326425426</v>
      </c>
      <c r="AC387" s="16">
        <f>VLOOKUP(E387,Priors!$A$3:$C$6,3,FALSE)</f>
        <v>5.8217260259314105E-2</v>
      </c>
      <c r="AD387" s="12">
        <f t="shared" si="38"/>
        <v>0.40103428173804856</v>
      </c>
      <c r="AE387" s="12">
        <f t="shared" si="39"/>
        <v>3.8617036752841852E-2</v>
      </c>
      <c r="AF387" s="17">
        <v>1</v>
      </c>
      <c r="AG387" s="17">
        <v>1</v>
      </c>
      <c r="AH387" s="16">
        <f>IFERROR(VLOOKUP(D387,Teams!$B$2:$I$21,7,FALSE),1)</f>
        <v>1</v>
      </c>
      <c r="AI387" s="12">
        <f t="shared" si="40"/>
        <v>0.40103428173804856</v>
      </c>
      <c r="AJ387" s="12">
        <f t="shared" si="41"/>
        <v>3.8617036752841852E-2</v>
      </c>
      <c r="AK387" s="6" t="s">
        <v>66</v>
      </c>
      <c r="AL387" s="18"/>
      <c r="AM387" s="23"/>
      <c r="AN387" s="24">
        <v>0.113</v>
      </c>
      <c r="AO387" s="25" t="b">
        <v>1</v>
      </c>
      <c r="AP387" s="23" t="s">
        <v>181</v>
      </c>
      <c r="AQ387" s="25" t="b">
        <v>1</v>
      </c>
      <c r="AR387" s="23"/>
      <c r="AS387" s="23" t="s">
        <v>68</v>
      </c>
    </row>
    <row r="388" spans="1:45" ht="60">
      <c r="A388" s="6">
        <v>380</v>
      </c>
      <c r="B388" s="6" t="s">
        <v>1112</v>
      </c>
      <c r="C388" s="6" t="s">
        <v>1113</v>
      </c>
      <c r="D388" s="6" t="s">
        <v>1037</v>
      </c>
      <c r="E388" s="6" t="s">
        <v>14</v>
      </c>
      <c r="F388" s="9">
        <v>7.5</v>
      </c>
      <c r="G388" s="9">
        <v>7.5</v>
      </c>
      <c r="H388" s="10">
        <v>1797</v>
      </c>
      <c r="I388" s="11">
        <v>10.1</v>
      </c>
      <c r="J388" s="11">
        <v>2.4500000000000002</v>
      </c>
      <c r="K388" s="12">
        <f t="shared" si="36"/>
        <v>0.50584307178631049</v>
      </c>
      <c r="L388" s="12">
        <f t="shared" si="37"/>
        <v>0.12270450751252088</v>
      </c>
      <c r="M388" s="10">
        <v>11</v>
      </c>
      <c r="N388" s="10">
        <v>4</v>
      </c>
      <c r="O388" s="10">
        <v>125</v>
      </c>
      <c r="P388" s="10">
        <v>4.5</v>
      </c>
      <c r="Q388" s="10">
        <v>21</v>
      </c>
      <c r="R388" s="11">
        <v>4.26</v>
      </c>
      <c r="S388" s="6"/>
      <c r="T388" s="6"/>
      <c r="U388" s="6"/>
      <c r="V388" s="7" t="b">
        <v>0</v>
      </c>
      <c r="W388" s="8">
        <f>IFERROR(VLOOKUP(D388,Teams!$B$2:$I$21,6,FALSE),"")</f>
        <v>0</v>
      </c>
      <c r="X388" s="2" t="s">
        <v>65</v>
      </c>
      <c r="Y388" s="13"/>
      <c r="Z388" s="14"/>
      <c r="AA388" s="15">
        <f>IFERROR(H388/(H388+Priors!$G$3),0)</f>
        <v>0.6424740793707544</v>
      </c>
      <c r="AB388" s="16">
        <f>VLOOKUP(E388,Priors!$A$3:$C$6,2,FALSE)</f>
        <v>0.44625207326425426</v>
      </c>
      <c r="AC388" s="16">
        <f>VLOOKUP(E388,Priors!$A$3:$C$6,3,FALSE)</f>
        <v>5.8217260259314105E-2</v>
      </c>
      <c r="AD388" s="12">
        <f t="shared" si="38"/>
        <v>0.48453774517849635</v>
      </c>
      <c r="AE388" s="12">
        <f t="shared" si="39"/>
        <v>9.9648645069472339E-2</v>
      </c>
      <c r="AF388" s="17">
        <v>1</v>
      </c>
      <c r="AG388" s="17">
        <v>1</v>
      </c>
      <c r="AH388" s="16">
        <f>IFERROR(VLOOKUP(D388,Teams!$B$2:$I$21,7,FALSE),1)</f>
        <v>1</v>
      </c>
      <c r="AI388" s="12">
        <f t="shared" si="40"/>
        <v>0.48453774517849635</v>
      </c>
      <c r="AJ388" s="12">
        <f t="shared" si="41"/>
        <v>9.9648645069472339E-2</v>
      </c>
      <c r="AK388" s="6" t="s">
        <v>80</v>
      </c>
      <c r="AL388" s="18">
        <v>0</v>
      </c>
      <c r="AM388" s="23" t="s">
        <v>1114</v>
      </c>
      <c r="AN388" s="24">
        <v>2E-3</v>
      </c>
      <c r="AO388" s="25" t="b">
        <v>1</v>
      </c>
      <c r="AP388" s="23" t="s">
        <v>1115</v>
      </c>
      <c r="AQ388" s="25" t="b">
        <v>0</v>
      </c>
      <c r="AR388" s="23"/>
      <c r="AS388" s="23" t="s">
        <v>68</v>
      </c>
    </row>
    <row r="389" spans="1:45" ht="60">
      <c r="A389" s="6">
        <v>381</v>
      </c>
      <c r="B389" s="6" t="s">
        <v>1116</v>
      </c>
      <c r="C389" s="6" t="s">
        <v>1117</v>
      </c>
      <c r="D389" s="6" t="s">
        <v>1037</v>
      </c>
      <c r="E389" s="6" t="s">
        <v>11</v>
      </c>
      <c r="F389" s="9">
        <v>5</v>
      </c>
      <c r="G389" s="9">
        <v>5</v>
      </c>
      <c r="H389" s="10">
        <v>0</v>
      </c>
      <c r="I389" s="11">
        <v>0</v>
      </c>
      <c r="J389" s="11">
        <v>0</v>
      </c>
      <c r="K389" s="12">
        <f t="shared" si="36"/>
        <v>0</v>
      </c>
      <c r="L389" s="12">
        <f t="shared" si="37"/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1">
        <v>0</v>
      </c>
      <c r="S389" s="6"/>
      <c r="T389" s="6"/>
      <c r="U389" s="6"/>
      <c r="V389" s="7" t="b">
        <v>0</v>
      </c>
      <c r="W389" s="8">
        <f>IFERROR(VLOOKUP(D389,Teams!$B$2:$I$21,6,FALSE),"")</f>
        <v>0</v>
      </c>
      <c r="X389" s="2" t="s">
        <v>65</v>
      </c>
      <c r="Y389" s="13"/>
      <c r="Z389" s="14"/>
      <c r="AA389" s="15">
        <f>IFERROR(H389/(H389+Priors!$G$3),0)</f>
        <v>0</v>
      </c>
      <c r="AB389" s="16">
        <f>VLOOKUP(E389,Priors!$A$3:$C$6,2,FALSE)</f>
        <v>0.15714383234350468</v>
      </c>
      <c r="AC389" s="16">
        <f>VLOOKUP(E389,Priors!$A$3:$C$6,3,FALSE)</f>
        <v>0.13222062939449797</v>
      </c>
      <c r="AD389" s="12">
        <f t="shared" si="38"/>
        <v>0.15714383234350468</v>
      </c>
      <c r="AE389" s="12">
        <f t="shared" si="39"/>
        <v>0.13222062939449797</v>
      </c>
      <c r="AF389" s="17">
        <v>1</v>
      </c>
      <c r="AG389" s="17">
        <v>1</v>
      </c>
      <c r="AH389" s="16">
        <f>IFERROR(VLOOKUP(D389,Teams!$B$2:$I$21,7,FALSE),1)</f>
        <v>1</v>
      </c>
      <c r="AI389" s="12">
        <f t="shared" si="40"/>
        <v>0.15714383234350468</v>
      </c>
      <c r="AJ389" s="12">
        <f t="shared" si="41"/>
        <v>0.13222062939449797</v>
      </c>
      <c r="AK389" s="6" t="s">
        <v>66</v>
      </c>
      <c r="AL389" s="18"/>
      <c r="AM389" s="23"/>
      <c r="AN389" s="24">
        <v>0</v>
      </c>
      <c r="AO389" s="25" t="b">
        <v>1</v>
      </c>
      <c r="AP389" s="23" t="s">
        <v>589</v>
      </c>
      <c r="AQ389" s="25" t="b">
        <v>0</v>
      </c>
      <c r="AR389" s="23"/>
      <c r="AS389" s="23" t="s">
        <v>68</v>
      </c>
    </row>
    <row r="390" spans="1:45" ht="60">
      <c r="A390" s="6">
        <v>382</v>
      </c>
      <c r="B390" s="6" t="s">
        <v>1118</v>
      </c>
      <c r="C390" s="6" t="s">
        <v>1119</v>
      </c>
      <c r="D390" s="6" t="s">
        <v>1037</v>
      </c>
      <c r="E390" s="6" t="s">
        <v>14</v>
      </c>
      <c r="F390" s="9">
        <v>4.5</v>
      </c>
      <c r="G390" s="9">
        <v>4.5</v>
      </c>
      <c r="H390" s="10">
        <v>0</v>
      </c>
      <c r="I390" s="11">
        <v>0</v>
      </c>
      <c r="J390" s="11">
        <v>0</v>
      </c>
      <c r="K390" s="12">
        <f t="shared" si="36"/>
        <v>0</v>
      </c>
      <c r="L390" s="12">
        <f t="shared" si="37"/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1">
        <v>0</v>
      </c>
      <c r="S390" s="6"/>
      <c r="T390" s="6"/>
      <c r="U390" s="6"/>
      <c r="V390" s="7" t="b">
        <v>1</v>
      </c>
      <c r="W390" s="8">
        <f>IFERROR(VLOOKUP(D390,Teams!$B$2:$I$21,6,FALSE),"")</f>
        <v>0</v>
      </c>
      <c r="X390" s="2" t="s">
        <v>65</v>
      </c>
      <c r="Y390" s="13"/>
      <c r="Z390" s="14"/>
      <c r="AA390" s="15">
        <f>IFERROR(H390/(H390+Priors!$G$3),0)</f>
        <v>0</v>
      </c>
      <c r="AB390" s="16">
        <f>VLOOKUP(E390,Priors!$A$3:$C$6,2,FALSE)</f>
        <v>0.44625207326425426</v>
      </c>
      <c r="AC390" s="16">
        <f>VLOOKUP(E390,Priors!$A$3:$C$6,3,FALSE)</f>
        <v>5.8217260259314105E-2</v>
      </c>
      <c r="AD390" s="12">
        <f t="shared" si="38"/>
        <v>0.44625207326425426</v>
      </c>
      <c r="AE390" s="12">
        <f t="shared" si="39"/>
        <v>5.8217260259314105E-2</v>
      </c>
      <c r="AF390" s="17">
        <v>1</v>
      </c>
      <c r="AG390" s="17">
        <v>1</v>
      </c>
      <c r="AH390" s="16">
        <f>IFERROR(VLOOKUP(D390,Teams!$B$2:$I$21,7,FALSE),1)</f>
        <v>1</v>
      </c>
      <c r="AI390" s="12">
        <f t="shared" si="40"/>
        <v>0.44625207326425426</v>
      </c>
      <c r="AJ390" s="12">
        <f t="shared" si="41"/>
        <v>5.8217260259314105E-2</v>
      </c>
      <c r="AK390" s="6" t="s">
        <v>80</v>
      </c>
      <c r="AL390" s="18">
        <v>0</v>
      </c>
      <c r="AM390" s="23" t="s">
        <v>1120</v>
      </c>
      <c r="AN390" s="24">
        <v>1E-3</v>
      </c>
      <c r="AO390" s="25" t="b">
        <v>1</v>
      </c>
      <c r="AP390" s="23" t="s">
        <v>65</v>
      </c>
      <c r="AQ390" s="25" t="b">
        <v>0</v>
      </c>
      <c r="AR390" s="23"/>
      <c r="AS390" s="23" t="s">
        <v>68</v>
      </c>
    </row>
    <row r="391" spans="1:45" ht="60">
      <c r="A391" s="6">
        <v>383</v>
      </c>
      <c r="B391" s="6" t="s">
        <v>1121</v>
      </c>
      <c r="C391" s="6" t="s">
        <v>1122</v>
      </c>
      <c r="D391" s="6" t="s">
        <v>1037</v>
      </c>
      <c r="E391" s="6" t="s">
        <v>11</v>
      </c>
      <c r="F391" s="9">
        <v>5.5</v>
      </c>
      <c r="G391" s="9">
        <v>5.5</v>
      </c>
      <c r="H391" s="10">
        <v>110</v>
      </c>
      <c r="I391" s="11">
        <v>0.28999999999999998</v>
      </c>
      <c r="J391" s="11">
        <v>0.08</v>
      </c>
      <c r="K391" s="12">
        <f t="shared" si="36"/>
        <v>0.23727272727272725</v>
      </c>
      <c r="L391" s="12">
        <f t="shared" si="37"/>
        <v>6.545454545454546E-2</v>
      </c>
      <c r="M391" s="10">
        <v>0</v>
      </c>
      <c r="N391" s="10">
        <v>0</v>
      </c>
      <c r="O391" s="10">
        <v>5</v>
      </c>
      <c r="P391" s="10">
        <v>1</v>
      </c>
      <c r="Q391" s="10">
        <v>1</v>
      </c>
      <c r="R391" s="11">
        <v>4.91</v>
      </c>
      <c r="S391" s="6"/>
      <c r="T391" s="6"/>
      <c r="U391" s="6"/>
      <c r="V391" s="7" t="b">
        <v>0</v>
      </c>
      <c r="W391" s="8">
        <f>IFERROR(VLOOKUP(D391,Teams!$B$2:$I$21,6,FALSE),"")</f>
        <v>0</v>
      </c>
      <c r="X391" s="2" t="s">
        <v>65</v>
      </c>
      <c r="Y391" s="13"/>
      <c r="Z391" s="14"/>
      <c r="AA391" s="15">
        <f>IFERROR(H391/(H391+Priors!$G$3),0)</f>
        <v>9.90990990990991E-2</v>
      </c>
      <c r="AB391" s="16">
        <f>VLOOKUP(E391,Priors!$A$3:$C$6,2,FALSE)</f>
        <v>0.15714383234350468</v>
      </c>
      <c r="AC391" s="16">
        <f>VLOOKUP(E391,Priors!$A$3:$C$6,3,FALSE)</f>
        <v>0.13222062939449797</v>
      </c>
      <c r="AD391" s="12">
        <f t="shared" si="38"/>
        <v>0.16508453364279702</v>
      </c>
      <c r="AE391" s="12">
        <f t="shared" si="39"/>
        <v>0.12560417062567383</v>
      </c>
      <c r="AF391" s="17">
        <v>1</v>
      </c>
      <c r="AG391" s="17">
        <v>1</v>
      </c>
      <c r="AH391" s="16">
        <f>IFERROR(VLOOKUP(D391,Teams!$B$2:$I$21,7,FALSE),1)</f>
        <v>1</v>
      </c>
      <c r="AI391" s="12">
        <f t="shared" si="40"/>
        <v>0.16508453364279702</v>
      </c>
      <c r="AJ391" s="12">
        <f t="shared" si="41"/>
        <v>0.12560417062567383</v>
      </c>
      <c r="AK391" s="6" t="s">
        <v>66</v>
      </c>
      <c r="AL391" s="18"/>
      <c r="AM391" s="23"/>
      <c r="AN391" s="24">
        <v>1E-3</v>
      </c>
      <c r="AO391" s="25" t="b">
        <v>1</v>
      </c>
      <c r="AP391" s="23" t="s">
        <v>1123</v>
      </c>
      <c r="AQ391" s="25" t="b">
        <v>0</v>
      </c>
      <c r="AR391" s="23"/>
      <c r="AS391" s="23" t="s">
        <v>68</v>
      </c>
    </row>
    <row r="392" spans="1:45" ht="60">
      <c r="A392" s="6">
        <v>238</v>
      </c>
      <c r="B392" s="6" t="s">
        <v>1124</v>
      </c>
      <c r="C392" s="6" t="s">
        <v>1125</v>
      </c>
      <c r="D392" s="6" t="s">
        <v>1126</v>
      </c>
      <c r="E392" s="6" t="s">
        <v>11</v>
      </c>
      <c r="F392" s="9">
        <v>6.5</v>
      </c>
      <c r="G392" s="9">
        <v>6.5</v>
      </c>
      <c r="H392" s="10">
        <v>1627</v>
      </c>
      <c r="I392" s="11">
        <v>2.0499999999999998</v>
      </c>
      <c r="J392" s="11">
        <v>3.37</v>
      </c>
      <c r="K392" s="12">
        <f t="shared" si="36"/>
        <v>0.11339889366933004</v>
      </c>
      <c r="L392" s="12">
        <f t="shared" si="37"/>
        <v>0.18641671788567918</v>
      </c>
      <c r="M392" s="10">
        <v>2</v>
      </c>
      <c r="N392" s="10">
        <v>6</v>
      </c>
      <c r="O392" s="10">
        <v>79</v>
      </c>
      <c r="P392" s="10">
        <v>4</v>
      </c>
      <c r="Q392" s="10">
        <v>18</v>
      </c>
      <c r="R392" s="11">
        <v>7.47</v>
      </c>
      <c r="S392" s="6"/>
      <c r="T392" s="6"/>
      <c r="U392" s="6"/>
      <c r="V392" s="7" t="b">
        <v>0</v>
      </c>
      <c r="W392" s="8">
        <f>IFERROR(VLOOKUP(D392,Teams!$B$2:$I$21,6,FALSE),"")</f>
        <v>0</v>
      </c>
      <c r="X392" s="2" t="s">
        <v>65</v>
      </c>
      <c r="Y392" s="13"/>
      <c r="Z392" s="14"/>
      <c r="AA392" s="15">
        <f>IFERROR(H392/(H392+Priors!$G$3),0)</f>
        <v>0.61933764750666154</v>
      </c>
      <c r="AB392" s="16">
        <f>VLOOKUP(E392,Priors!$A$3:$C$6,2,FALSE)</f>
        <v>0.15714383234350468</v>
      </c>
      <c r="AC392" s="16">
        <f>VLOOKUP(E392,Priors!$A$3:$C$6,3,FALSE)</f>
        <v>0.13222062939449797</v>
      </c>
      <c r="AD392" s="12">
        <f t="shared" si="38"/>
        <v>0.13005094493471819</v>
      </c>
      <c r="AE392" s="12">
        <f t="shared" si="39"/>
        <v>0.16578630734468899</v>
      </c>
      <c r="AF392" s="17">
        <v>1</v>
      </c>
      <c r="AG392" s="17">
        <v>1</v>
      </c>
      <c r="AH392" s="16">
        <f>IFERROR(VLOOKUP(D392,Teams!$B$2:$I$21,7,FALSE),1)</f>
        <v>1</v>
      </c>
      <c r="AI392" s="12">
        <f t="shared" si="40"/>
        <v>0.13005094493471819</v>
      </c>
      <c r="AJ392" s="12">
        <f t="shared" si="41"/>
        <v>0.16578630734468899</v>
      </c>
      <c r="AK392" s="6" t="s">
        <v>204</v>
      </c>
      <c r="AL392" s="18">
        <v>75</v>
      </c>
      <c r="AM392" s="23" t="s">
        <v>1127</v>
      </c>
      <c r="AN392" s="24">
        <v>2E-3</v>
      </c>
      <c r="AO392" s="25" t="b">
        <v>1</v>
      </c>
      <c r="AP392" s="23" t="s">
        <v>1128</v>
      </c>
      <c r="AQ392" s="25" t="b">
        <v>0</v>
      </c>
      <c r="AR392" s="23"/>
      <c r="AS392" s="23" t="s">
        <v>68</v>
      </c>
    </row>
    <row r="393" spans="1:45" ht="60">
      <c r="A393" s="6">
        <v>384</v>
      </c>
      <c r="B393" s="6" t="s">
        <v>1129</v>
      </c>
      <c r="C393" s="6" t="s">
        <v>1130</v>
      </c>
      <c r="D393" s="6" t="s">
        <v>1126</v>
      </c>
      <c r="E393" s="6" t="s">
        <v>7</v>
      </c>
      <c r="F393" s="9">
        <v>5.5</v>
      </c>
      <c r="G393" s="9">
        <v>5.5</v>
      </c>
      <c r="H393" s="10">
        <v>3060</v>
      </c>
      <c r="I393" s="11">
        <v>0</v>
      </c>
      <c r="J393" s="11">
        <v>0.13</v>
      </c>
      <c r="K393" s="12">
        <f t="shared" si="36"/>
        <v>0</v>
      </c>
      <c r="L393" s="12">
        <f t="shared" si="37"/>
        <v>3.8235294117647061E-3</v>
      </c>
      <c r="M393" s="10">
        <v>0</v>
      </c>
      <c r="N393" s="10">
        <v>0</v>
      </c>
      <c r="O393" s="10">
        <v>135</v>
      </c>
      <c r="P393" s="10">
        <v>4</v>
      </c>
      <c r="Q393" s="10">
        <v>34</v>
      </c>
      <c r="R393" s="11">
        <v>0</v>
      </c>
      <c r="S393" s="6"/>
      <c r="T393" s="6"/>
      <c r="U393" s="6"/>
      <c r="V393" s="7" t="b">
        <v>0</v>
      </c>
      <c r="W393" s="8">
        <f>IFERROR(VLOOKUP(D393,Teams!$B$2:$I$21,6,FALSE),"")</f>
        <v>0</v>
      </c>
      <c r="X393" s="2" t="s">
        <v>65</v>
      </c>
      <c r="Y393" s="13"/>
      <c r="Z393" s="14"/>
      <c r="AA393" s="15">
        <f>IFERROR(H393/(H393+Priors!$G$3),0)</f>
        <v>0.75369458128078815</v>
      </c>
      <c r="AB393" s="16">
        <f>VLOOKUP(E393,Priors!$A$3:$C$6,2,FALSE)</f>
        <v>2.4013207263995197E-4</v>
      </c>
      <c r="AC393" s="16">
        <f>VLOOKUP(E393,Priors!$A$3:$C$6,3,FALSE)</f>
        <v>1.9810895992796044E-3</v>
      </c>
      <c r="AD393" s="12">
        <f t="shared" si="38"/>
        <v>5.9145830699495564E-5</v>
      </c>
      <c r="AE393" s="12">
        <f t="shared" si="39"/>
        <v>3.3697265022856171E-3</v>
      </c>
      <c r="AF393" s="17">
        <v>1</v>
      </c>
      <c r="AG393" s="17">
        <v>1</v>
      </c>
      <c r="AH393" s="16">
        <f>IFERROR(VLOOKUP(D393,Teams!$B$2:$I$21,7,FALSE),1)</f>
        <v>1</v>
      </c>
      <c r="AI393" s="12">
        <f t="shared" si="40"/>
        <v>5.9145830699495564E-5</v>
      </c>
      <c r="AJ393" s="12">
        <f t="shared" si="41"/>
        <v>3.3697265022856171E-3</v>
      </c>
      <c r="AK393" s="6" t="s">
        <v>66</v>
      </c>
      <c r="AL393" s="18"/>
      <c r="AM393" s="23"/>
      <c r="AN393" s="24">
        <v>0.111</v>
      </c>
      <c r="AO393" s="25" t="b">
        <v>1</v>
      </c>
      <c r="AP393" s="23" t="s">
        <v>181</v>
      </c>
      <c r="AQ393" s="25" t="b">
        <v>1</v>
      </c>
      <c r="AR393" s="23"/>
      <c r="AS393" s="23" t="s">
        <v>68</v>
      </c>
    </row>
    <row r="394" spans="1:45" ht="60">
      <c r="A394" s="6">
        <v>385</v>
      </c>
      <c r="B394" s="6" t="s">
        <v>1131</v>
      </c>
      <c r="C394" s="6" t="s">
        <v>1132</v>
      </c>
      <c r="D394" s="6" t="s">
        <v>1126</v>
      </c>
      <c r="E394" s="6" t="s">
        <v>7</v>
      </c>
      <c r="F394" s="9">
        <v>5</v>
      </c>
      <c r="G394" s="9">
        <v>5</v>
      </c>
      <c r="H394" s="10">
        <v>360</v>
      </c>
      <c r="I394" s="11">
        <v>0</v>
      </c>
      <c r="J394" s="11">
        <v>0</v>
      </c>
      <c r="K394" s="12">
        <f t="shared" si="36"/>
        <v>0</v>
      </c>
      <c r="L394" s="12">
        <f t="shared" si="37"/>
        <v>0</v>
      </c>
      <c r="M394" s="10">
        <v>0</v>
      </c>
      <c r="N394" s="10">
        <v>0</v>
      </c>
      <c r="O394" s="10">
        <v>13</v>
      </c>
      <c r="P394" s="10">
        <v>3.2</v>
      </c>
      <c r="Q394" s="10">
        <v>4</v>
      </c>
      <c r="R394" s="11">
        <v>0</v>
      </c>
      <c r="S394" s="6"/>
      <c r="T394" s="6"/>
      <c r="U394" s="6"/>
      <c r="V394" s="7" t="b">
        <v>0</v>
      </c>
      <c r="W394" s="8">
        <f>IFERROR(VLOOKUP(D394,Teams!$B$2:$I$21,6,FALSE),"")</f>
        <v>0</v>
      </c>
      <c r="X394" s="2" t="s">
        <v>65</v>
      </c>
      <c r="Y394" s="13"/>
      <c r="Z394" s="14"/>
      <c r="AA394" s="15">
        <f>IFERROR(H394/(H394+Priors!$G$3),0)</f>
        <v>0.26470588235294118</v>
      </c>
      <c r="AB394" s="16">
        <f>VLOOKUP(E394,Priors!$A$3:$C$6,2,FALSE)</f>
        <v>2.4013207263995197E-4</v>
      </c>
      <c r="AC394" s="16">
        <f>VLOOKUP(E394,Priors!$A$3:$C$6,3,FALSE)</f>
        <v>1.9810895992796044E-3</v>
      </c>
      <c r="AD394" s="12">
        <f t="shared" si="38"/>
        <v>1.7656770047055293E-4</v>
      </c>
      <c r="AE394" s="12">
        <f t="shared" si="39"/>
        <v>1.4566835288820621E-3</v>
      </c>
      <c r="AF394" s="17">
        <v>1</v>
      </c>
      <c r="AG394" s="17">
        <v>1</v>
      </c>
      <c r="AH394" s="16">
        <f>IFERROR(VLOOKUP(D394,Teams!$B$2:$I$21,7,FALSE),1)</f>
        <v>1</v>
      </c>
      <c r="AI394" s="12">
        <f t="shared" si="40"/>
        <v>1.7656770047055293E-4</v>
      </c>
      <c r="AJ394" s="12">
        <f t="shared" si="41"/>
        <v>1.4566835288820621E-3</v>
      </c>
      <c r="AK394" s="6" t="s">
        <v>66</v>
      </c>
      <c r="AL394" s="18"/>
      <c r="AM394" s="23"/>
      <c r="AN394" s="24">
        <v>1.3999999999999999E-2</v>
      </c>
      <c r="AO394" s="25" t="b">
        <v>1</v>
      </c>
      <c r="AP394" s="23" t="s">
        <v>739</v>
      </c>
      <c r="AQ394" s="25" t="b">
        <v>0</v>
      </c>
      <c r="AR394" s="23"/>
      <c r="AS394" s="23" t="s">
        <v>68</v>
      </c>
    </row>
    <row r="395" spans="1:45" ht="60">
      <c r="A395" s="6">
        <v>386</v>
      </c>
      <c r="B395" s="6" t="s">
        <v>1133</v>
      </c>
      <c r="C395" s="6" t="s">
        <v>1134</v>
      </c>
      <c r="D395" s="6" t="s">
        <v>1126</v>
      </c>
      <c r="E395" s="6" t="s">
        <v>7</v>
      </c>
      <c r="F395" s="9">
        <v>4.5</v>
      </c>
      <c r="G395" s="9">
        <v>4.5</v>
      </c>
      <c r="H395" s="10">
        <v>0</v>
      </c>
      <c r="I395" s="11">
        <v>0</v>
      </c>
      <c r="J395" s="11">
        <v>0</v>
      </c>
      <c r="K395" s="12">
        <f t="shared" si="36"/>
        <v>0</v>
      </c>
      <c r="L395" s="12">
        <f t="shared" si="37"/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1">
        <v>0</v>
      </c>
      <c r="S395" s="6"/>
      <c r="T395" s="6"/>
      <c r="U395" s="6"/>
      <c r="V395" s="7" t="b">
        <v>0</v>
      </c>
      <c r="W395" s="8">
        <f>IFERROR(VLOOKUP(D395,Teams!$B$2:$I$21,6,FALSE),"")</f>
        <v>0</v>
      </c>
      <c r="X395" s="2" t="s">
        <v>65</v>
      </c>
      <c r="Y395" s="13"/>
      <c r="Z395" s="14"/>
      <c r="AA395" s="15">
        <f>IFERROR(H395/(H395+Priors!$G$3),0)</f>
        <v>0</v>
      </c>
      <c r="AB395" s="16">
        <f>VLOOKUP(E395,Priors!$A$3:$C$6,2,FALSE)</f>
        <v>2.4013207263995197E-4</v>
      </c>
      <c r="AC395" s="16">
        <f>VLOOKUP(E395,Priors!$A$3:$C$6,3,FALSE)</f>
        <v>1.9810895992796044E-3</v>
      </c>
      <c r="AD395" s="12">
        <f t="shared" si="38"/>
        <v>2.4013207263995197E-4</v>
      </c>
      <c r="AE395" s="12">
        <f t="shared" si="39"/>
        <v>1.9810895992796044E-3</v>
      </c>
      <c r="AF395" s="17">
        <v>1</v>
      </c>
      <c r="AG395" s="17">
        <v>1</v>
      </c>
      <c r="AH395" s="16">
        <f>IFERROR(VLOOKUP(D395,Teams!$B$2:$I$21,7,FALSE),1)</f>
        <v>1</v>
      </c>
      <c r="AI395" s="12">
        <f t="shared" si="40"/>
        <v>2.4013207263995197E-4</v>
      </c>
      <c r="AJ395" s="12">
        <f t="shared" si="41"/>
        <v>1.9810895992796044E-3</v>
      </c>
      <c r="AK395" s="6" t="s">
        <v>66</v>
      </c>
      <c r="AL395" s="18"/>
      <c r="AM395" s="23"/>
      <c r="AN395" s="24">
        <v>0</v>
      </c>
      <c r="AO395" s="25" t="b">
        <v>1</v>
      </c>
      <c r="AP395" s="23" t="s">
        <v>1135</v>
      </c>
      <c r="AQ395" s="25" t="b">
        <v>0</v>
      </c>
      <c r="AR395" s="23"/>
      <c r="AS395" s="23" t="s">
        <v>68</v>
      </c>
    </row>
    <row r="396" spans="1:45" ht="60">
      <c r="A396" s="6">
        <v>387</v>
      </c>
      <c r="B396" s="6" t="s">
        <v>1136</v>
      </c>
      <c r="C396" s="6" t="s">
        <v>1137</v>
      </c>
      <c r="D396" s="6" t="s">
        <v>1126</v>
      </c>
      <c r="E396" s="6" t="s">
        <v>9</v>
      </c>
      <c r="F396" s="9">
        <v>6.5</v>
      </c>
      <c r="G396" s="9">
        <v>6.5</v>
      </c>
      <c r="H396" s="10">
        <v>2643</v>
      </c>
      <c r="I396" s="11">
        <v>6.12</v>
      </c>
      <c r="J396" s="11">
        <v>2.67</v>
      </c>
      <c r="K396" s="12">
        <f t="shared" si="36"/>
        <v>0.20839954597048807</v>
      </c>
      <c r="L396" s="12">
        <f t="shared" si="37"/>
        <v>9.0919409761634498E-2</v>
      </c>
      <c r="M396" s="10">
        <v>5</v>
      </c>
      <c r="N396" s="10">
        <v>4</v>
      </c>
      <c r="O396" s="10">
        <v>160</v>
      </c>
      <c r="P396" s="10">
        <v>4.7</v>
      </c>
      <c r="Q396" s="10">
        <v>29</v>
      </c>
      <c r="R396" s="11">
        <v>5.86</v>
      </c>
      <c r="S396" s="6"/>
      <c r="T396" s="6"/>
      <c r="U396" s="6"/>
      <c r="V396" s="7" t="b">
        <v>0</v>
      </c>
      <c r="W396" s="8">
        <f>IFERROR(VLOOKUP(D396,Teams!$B$2:$I$21,6,FALSE),"")</f>
        <v>0</v>
      </c>
      <c r="X396" s="2" t="s">
        <v>65</v>
      </c>
      <c r="Y396" s="13"/>
      <c r="Z396" s="14"/>
      <c r="AA396" s="15">
        <f>IFERROR(H396/(H396+Priors!$G$3),0)</f>
        <v>0.72550096074663739</v>
      </c>
      <c r="AB396" s="16">
        <f>VLOOKUP(E396,Priors!$A$3:$C$6,2,FALSE)</f>
        <v>6.0081391379341341E-2</v>
      </c>
      <c r="AC396" s="16">
        <f>VLOOKUP(E396,Priors!$A$3:$C$6,3,FALSE)</f>
        <v>5.9588191961478354E-2</v>
      </c>
      <c r="AD396" s="12">
        <f t="shared" si="38"/>
        <v>0.16768635503138657</v>
      </c>
      <c r="AE396" s="12">
        <f t="shared" si="39"/>
        <v>8.231902057685378E-2</v>
      </c>
      <c r="AF396" s="17">
        <v>1</v>
      </c>
      <c r="AG396" s="17">
        <v>1</v>
      </c>
      <c r="AH396" s="16">
        <f>IFERROR(VLOOKUP(D396,Teams!$B$2:$I$21,7,FALSE),1)</f>
        <v>1</v>
      </c>
      <c r="AI396" s="12">
        <f t="shared" si="40"/>
        <v>0.16768635503138657</v>
      </c>
      <c r="AJ396" s="12">
        <f t="shared" si="41"/>
        <v>8.231902057685378E-2</v>
      </c>
      <c r="AK396" s="6" t="s">
        <v>66</v>
      </c>
      <c r="AL396" s="18"/>
      <c r="AM396" s="23"/>
      <c r="AN396" s="24">
        <v>0.22899999999999998</v>
      </c>
      <c r="AO396" s="25" t="b">
        <v>1</v>
      </c>
      <c r="AP396" s="23" t="s">
        <v>1138</v>
      </c>
      <c r="AQ396" s="25" t="b">
        <v>0</v>
      </c>
      <c r="AR396" s="23"/>
      <c r="AS396" s="23" t="s">
        <v>68</v>
      </c>
    </row>
    <row r="397" spans="1:45" ht="60">
      <c r="A397" s="6">
        <v>388</v>
      </c>
      <c r="B397" s="6" t="s">
        <v>1139</v>
      </c>
      <c r="C397" s="6" t="s">
        <v>1140</v>
      </c>
      <c r="D397" s="6" t="s">
        <v>1126</v>
      </c>
      <c r="E397" s="6" t="s">
        <v>9</v>
      </c>
      <c r="F397" s="9">
        <v>6</v>
      </c>
      <c r="G397" s="9">
        <v>6</v>
      </c>
      <c r="H397" s="10">
        <v>3150</v>
      </c>
      <c r="I397" s="11">
        <v>4.05</v>
      </c>
      <c r="J397" s="11">
        <v>2.37</v>
      </c>
      <c r="K397" s="12">
        <f t="shared" si="36"/>
        <v>0.11571428571428571</v>
      </c>
      <c r="L397" s="12">
        <f t="shared" si="37"/>
        <v>6.7714285714285713E-2</v>
      </c>
      <c r="M397" s="10">
        <v>3</v>
      </c>
      <c r="N397" s="10">
        <v>5</v>
      </c>
      <c r="O397" s="10">
        <v>179</v>
      </c>
      <c r="P397" s="10">
        <v>5.0999999999999996</v>
      </c>
      <c r="Q397" s="10">
        <v>35</v>
      </c>
      <c r="R397" s="11">
        <v>7.94</v>
      </c>
      <c r="S397" s="6"/>
      <c r="T397" s="6"/>
      <c r="U397" s="6"/>
      <c r="V397" s="7" t="b">
        <v>0</v>
      </c>
      <c r="W397" s="8">
        <f>IFERROR(VLOOKUP(D397,Teams!$B$2:$I$21,6,FALSE),"")</f>
        <v>0</v>
      </c>
      <c r="X397" s="2" t="s">
        <v>65</v>
      </c>
      <c r="Y397" s="13"/>
      <c r="Z397" s="14"/>
      <c r="AA397" s="15">
        <f>IFERROR(H397/(H397+Priors!$G$3),0)</f>
        <v>0.75903614457831325</v>
      </c>
      <c r="AB397" s="16">
        <f>VLOOKUP(E397,Priors!$A$3:$C$6,2,FALSE)</f>
        <v>6.0081391379341341E-2</v>
      </c>
      <c r="AC397" s="16">
        <f>VLOOKUP(E397,Priors!$A$3:$C$6,3,FALSE)</f>
        <v>5.9588191961478354E-2</v>
      </c>
      <c r="AD397" s="12">
        <f t="shared" si="38"/>
        <v>0.1023087690070702</v>
      </c>
      <c r="AE397" s="12">
        <f t="shared" si="39"/>
        <v>6.5756190834091177E-2</v>
      </c>
      <c r="AF397" s="17">
        <v>1</v>
      </c>
      <c r="AG397" s="17">
        <v>1</v>
      </c>
      <c r="AH397" s="16">
        <f>IFERROR(VLOOKUP(D397,Teams!$B$2:$I$21,7,FALSE),1)</f>
        <v>1</v>
      </c>
      <c r="AI397" s="12">
        <f t="shared" si="40"/>
        <v>0.1023087690070702</v>
      </c>
      <c r="AJ397" s="12">
        <f t="shared" si="41"/>
        <v>6.5756190834091177E-2</v>
      </c>
      <c r="AK397" s="6" t="s">
        <v>66</v>
      </c>
      <c r="AL397" s="18"/>
      <c r="AM397" s="23"/>
      <c r="AN397" s="24">
        <v>0.24</v>
      </c>
      <c r="AO397" s="25" t="b">
        <v>1</v>
      </c>
      <c r="AP397" s="23" t="s">
        <v>1141</v>
      </c>
      <c r="AQ397" s="25" t="b">
        <v>0</v>
      </c>
      <c r="AR397" s="23"/>
      <c r="AS397" s="23" t="s">
        <v>68</v>
      </c>
    </row>
    <row r="398" spans="1:45" ht="60">
      <c r="A398" s="6">
        <v>389</v>
      </c>
      <c r="B398" s="6" t="s">
        <v>1142</v>
      </c>
      <c r="C398" s="6" t="s">
        <v>1143</v>
      </c>
      <c r="D398" s="6" t="s">
        <v>1126</v>
      </c>
      <c r="E398" s="6" t="s">
        <v>9</v>
      </c>
      <c r="F398" s="9">
        <v>6</v>
      </c>
      <c r="G398" s="9">
        <v>6</v>
      </c>
      <c r="H398" s="10">
        <v>2861</v>
      </c>
      <c r="I398" s="11">
        <v>0.34</v>
      </c>
      <c r="J398" s="11">
        <v>2.23</v>
      </c>
      <c r="K398" s="12">
        <f t="shared" si="36"/>
        <v>1.0695560992659909E-2</v>
      </c>
      <c r="L398" s="12">
        <f t="shared" si="37"/>
        <v>7.0150297098916459E-2</v>
      </c>
      <c r="M398" s="10">
        <v>1</v>
      </c>
      <c r="N398" s="10">
        <v>8</v>
      </c>
      <c r="O398" s="10">
        <v>154</v>
      </c>
      <c r="P398" s="10">
        <v>4.5</v>
      </c>
      <c r="Q398" s="10">
        <v>32</v>
      </c>
      <c r="R398" s="11">
        <v>6.13</v>
      </c>
      <c r="S398" s="6">
        <v>5</v>
      </c>
      <c r="T398" s="6"/>
      <c r="U398" s="6"/>
      <c r="V398" s="7" t="b">
        <v>0</v>
      </c>
      <c r="W398" s="8">
        <f>IFERROR(VLOOKUP(D398,Teams!$B$2:$I$21,6,FALSE),"")</f>
        <v>0</v>
      </c>
      <c r="X398" s="2" t="s">
        <v>65</v>
      </c>
      <c r="Y398" s="13"/>
      <c r="Z398" s="14"/>
      <c r="AA398" s="15">
        <f>IFERROR(H398/(H398+Priors!$G$3),0)</f>
        <v>0.74099974099974097</v>
      </c>
      <c r="AB398" s="16">
        <f>VLOOKUP(E398,Priors!$A$3:$C$6,2,FALSE)</f>
        <v>6.0081391379341341E-2</v>
      </c>
      <c r="AC398" s="16">
        <f>VLOOKUP(E398,Priors!$A$3:$C$6,3,FALSE)</f>
        <v>5.9588191961478354E-2</v>
      </c>
      <c r="AD398" s="12">
        <f t="shared" si="38"/>
        <v>2.3486503853753261E-2</v>
      </c>
      <c r="AE398" s="12">
        <f t="shared" si="39"/>
        <v>6.7414709132732023E-2</v>
      </c>
      <c r="AF398" s="17">
        <v>1</v>
      </c>
      <c r="AG398" s="17">
        <v>1</v>
      </c>
      <c r="AH398" s="16">
        <f>IFERROR(VLOOKUP(D398,Teams!$B$2:$I$21,7,FALSE),1)</f>
        <v>1</v>
      </c>
      <c r="AI398" s="12">
        <f t="shared" si="40"/>
        <v>2.3486503853753261E-2</v>
      </c>
      <c r="AJ398" s="12">
        <f t="shared" si="41"/>
        <v>6.7414709132732023E-2</v>
      </c>
      <c r="AK398" s="6" t="s">
        <v>66</v>
      </c>
      <c r="AL398" s="18"/>
      <c r="AM398" s="23"/>
      <c r="AN398" s="24">
        <v>0.05</v>
      </c>
      <c r="AO398" s="25" t="b">
        <v>1</v>
      </c>
      <c r="AP398" s="23" t="s">
        <v>521</v>
      </c>
      <c r="AQ398" s="25" t="b">
        <v>0</v>
      </c>
      <c r="AR398" s="23"/>
      <c r="AS398" s="23" t="s">
        <v>68</v>
      </c>
    </row>
    <row r="399" spans="1:45" ht="60">
      <c r="A399" s="6">
        <v>390</v>
      </c>
      <c r="B399" s="6" t="s">
        <v>1144</v>
      </c>
      <c r="C399" s="6" t="s">
        <v>1145</v>
      </c>
      <c r="D399" s="6" t="s">
        <v>1126</v>
      </c>
      <c r="E399" s="6" t="s">
        <v>9</v>
      </c>
      <c r="F399" s="9">
        <v>5.5</v>
      </c>
      <c r="G399" s="9">
        <v>5.5</v>
      </c>
      <c r="H399" s="10">
        <v>2139</v>
      </c>
      <c r="I399" s="11">
        <v>0.56999999999999995</v>
      </c>
      <c r="J399" s="11">
        <v>0.65</v>
      </c>
      <c r="K399" s="12">
        <f t="shared" si="36"/>
        <v>2.3983169705469844E-2</v>
      </c>
      <c r="L399" s="12">
        <f t="shared" si="37"/>
        <v>2.7349228611500701E-2</v>
      </c>
      <c r="M399" s="10">
        <v>2</v>
      </c>
      <c r="N399" s="10">
        <v>0</v>
      </c>
      <c r="O399" s="10">
        <v>113</v>
      </c>
      <c r="P399" s="10">
        <v>4.3</v>
      </c>
      <c r="Q399" s="10">
        <v>24</v>
      </c>
      <c r="R399" s="11">
        <v>7.03</v>
      </c>
      <c r="S399" s="6"/>
      <c r="T399" s="6"/>
      <c r="U399" s="6"/>
      <c r="V399" s="7" t="b">
        <v>0</v>
      </c>
      <c r="W399" s="8">
        <f>IFERROR(VLOOKUP(D399,Teams!$B$2:$I$21,6,FALSE),"")</f>
        <v>0</v>
      </c>
      <c r="X399" s="2" t="s">
        <v>65</v>
      </c>
      <c r="Y399" s="13"/>
      <c r="Z399" s="14"/>
      <c r="AA399" s="15">
        <f>IFERROR(H399/(H399+Priors!$G$3),0)</f>
        <v>0.68142720611659768</v>
      </c>
      <c r="AB399" s="16">
        <f>VLOOKUP(E399,Priors!$A$3:$C$6,2,FALSE)</f>
        <v>6.0081391379341341E-2</v>
      </c>
      <c r="AC399" s="16">
        <f>VLOOKUP(E399,Priors!$A$3:$C$6,3,FALSE)</f>
        <v>5.9588191961478354E-2</v>
      </c>
      <c r="AD399" s="12">
        <f t="shared" si="38"/>
        <v>3.5483081038337472E-2</v>
      </c>
      <c r="AE399" s="12">
        <f t="shared" si="39"/>
        <v>3.761968523780769E-2</v>
      </c>
      <c r="AF399" s="17">
        <v>1</v>
      </c>
      <c r="AG399" s="17">
        <v>1</v>
      </c>
      <c r="AH399" s="16">
        <f>IFERROR(VLOOKUP(D399,Teams!$B$2:$I$21,7,FALSE),1)</f>
        <v>1</v>
      </c>
      <c r="AI399" s="12">
        <f t="shared" si="40"/>
        <v>3.5483081038337472E-2</v>
      </c>
      <c r="AJ399" s="12">
        <f t="shared" si="41"/>
        <v>3.761968523780769E-2</v>
      </c>
      <c r="AK399" s="6" t="s">
        <v>66</v>
      </c>
      <c r="AL399" s="18"/>
      <c r="AM399" s="23"/>
      <c r="AN399" s="24">
        <v>1.3999999999999999E-2</v>
      </c>
      <c r="AO399" s="25" t="b">
        <v>1</v>
      </c>
      <c r="AP399" s="23" t="s">
        <v>1146</v>
      </c>
      <c r="AQ399" s="25" t="b">
        <v>0</v>
      </c>
      <c r="AR399" s="23"/>
      <c r="AS399" s="23" t="s">
        <v>68</v>
      </c>
    </row>
    <row r="400" spans="1:45" ht="60">
      <c r="A400" s="6">
        <v>391</v>
      </c>
      <c r="B400" s="6" t="s">
        <v>1147</v>
      </c>
      <c r="C400" s="6" t="s">
        <v>1148</v>
      </c>
      <c r="D400" s="6" t="s">
        <v>1126</v>
      </c>
      <c r="E400" s="6" t="s">
        <v>9</v>
      </c>
      <c r="F400" s="9">
        <v>5.5</v>
      </c>
      <c r="G400" s="9">
        <v>5.5</v>
      </c>
      <c r="H400" s="10">
        <v>1370</v>
      </c>
      <c r="I400" s="11">
        <v>2.25</v>
      </c>
      <c r="J400" s="11">
        <v>0.7</v>
      </c>
      <c r="K400" s="12">
        <f t="shared" si="36"/>
        <v>0.1478102189781022</v>
      </c>
      <c r="L400" s="12">
        <f t="shared" si="37"/>
        <v>4.5985401459854011E-2</v>
      </c>
      <c r="M400" s="10">
        <v>2</v>
      </c>
      <c r="N400" s="10">
        <v>2</v>
      </c>
      <c r="O400" s="10">
        <v>79</v>
      </c>
      <c r="P400" s="10">
        <v>4.4000000000000004</v>
      </c>
      <c r="Q400" s="10">
        <v>16</v>
      </c>
      <c r="R400" s="11">
        <v>6.77</v>
      </c>
      <c r="S400" s="6"/>
      <c r="T400" s="6"/>
      <c r="U400" s="6"/>
      <c r="V400" s="7" t="b">
        <v>0</v>
      </c>
      <c r="W400" s="8">
        <f>IFERROR(VLOOKUP(D400,Teams!$B$2:$I$21,6,FALSE),"")</f>
        <v>0</v>
      </c>
      <c r="X400" s="2" t="s">
        <v>65</v>
      </c>
      <c r="Y400" s="13"/>
      <c r="Z400" s="14"/>
      <c r="AA400" s="15">
        <f>IFERROR(H400/(H400+Priors!$G$3),0)</f>
        <v>0.57805907172995785</v>
      </c>
      <c r="AB400" s="16">
        <f>VLOOKUP(E400,Priors!$A$3:$C$6,2,FALSE)</f>
        <v>6.0081391379341341E-2</v>
      </c>
      <c r="AC400" s="16">
        <f>VLOOKUP(E400,Priors!$A$3:$C$6,3,FALSE)</f>
        <v>5.9588191961478354E-2</v>
      </c>
      <c r="AD400" s="12">
        <f t="shared" si="38"/>
        <v>0.11079383602503855</v>
      </c>
      <c r="AE400" s="12">
        <f t="shared" si="39"/>
        <v>5.1724975511172298E-2</v>
      </c>
      <c r="AF400" s="17">
        <v>1</v>
      </c>
      <c r="AG400" s="17">
        <v>1</v>
      </c>
      <c r="AH400" s="16">
        <f>IFERROR(VLOOKUP(D400,Teams!$B$2:$I$21,7,FALSE),1)</f>
        <v>1</v>
      </c>
      <c r="AI400" s="12">
        <f t="shared" si="40"/>
        <v>0.11079383602503855</v>
      </c>
      <c r="AJ400" s="12">
        <f t="shared" si="41"/>
        <v>5.1724975511172298E-2</v>
      </c>
      <c r="AK400" s="6" t="s">
        <v>66</v>
      </c>
      <c r="AL400" s="18"/>
      <c r="AM400" s="23"/>
      <c r="AN400" s="24">
        <v>0.107</v>
      </c>
      <c r="AO400" s="25" t="b">
        <v>1</v>
      </c>
      <c r="AP400" s="23" t="s">
        <v>480</v>
      </c>
      <c r="AQ400" s="25" t="b">
        <v>1</v>
      </c>
      <c r="AR400" s="23"/>
      <c r="AS400" s="23" t="s">
        <v>68</v>
      </c>
    </row>
    <row r="401" spans="1:45" ht="60">
      <c r="A401" s="6">
        <v>392</v>
      </c>
      <c r="B401" s="6" t="s">
        <v>1149</v>
      </c>
      <c r="C401" s="6" t="s">
        <v>1150</v>
      </c>
      <c r="D401" s="6" t="s">
        <v>1126</v>
      </c>
      <c r="E401" s="6" t="s">
        <v>9</v>
      </c>
      <c r="F401" s="9">
        <v>5.5</v>
      </c>
      <c r="G401" s="9">
        <v>5.5</v>
      </c>
      <c r="H401" s="10">
        <v>971</v>
      </c>
      <c r="I401" s="11">
        <v>0.53</v>
      </c>
      <c r="J401" s="11">
        <v>2.0099999999999998</v>
      </c>
      <c r="K401" s="12">
        <f t="shared" si="36"/>
        <v>4.9124613800205975E-2</v>
      </c>
      <c r="L401" s="12">
        <f t="shared" si="37"/>
        <v>0.18630278063851696</v>
      </c>
      <c r="M401" s="10">
        <v>0</v>
      </c>
      <c r="N401" s="10">
        <v>2</v>
      </c>
      <c r="O401" s="10">
        <v>60</v>
      </c>
      <c r="P401" s="10">
        <v>3.5</v>
      </c>
      <c r="Q401" s="10">
        <v>12</v>
      </c>
      <c r="R401" s="11">
        <v>6.21</v>
      </c>
      <c r="S401" s="6"/>
      <c r="T401" s="6"/>
      <c r="U401" s="6"/>
      <c r="V401" s="7" t="b">
        <v>0</v>
      </c>
      <c r="W401" s="8">
        <f>IFERROR(VLOOKUP(D401,Teams!$B$2:$I$21,6,FALSE),"")</f>
        <v>0</v>
      </c>
      <c r="X401" s="2" t="s">
        <v>65</v>
      </c>
      <c r="Y401" s="13"/>
      <c r="Z401" s="14"/>
      <c r="AA401" s="15">
        <f>IFERROR(H401/(H401+Priors!$G$3),0)</f>
        <v>0.49264332825976659</v>
      </c>
      <c r="AB401" s="16">
        <f>VLOOKUP(E401,Priors!$A$3:$C$6,2,FALSE)</f>
        <v>6.0081391379341341E-2</v>
      </c>
      <c r="AC401" s="16">
        <f>VLOOKUP(E401,Priors!$A$3:$C$6,3,FALSE)</f>
        <v>5.9588191961478354E-2</v>
      </c>
      <c r="AD401" s="12">
        <f t="shared" si="38"/>
        <v>5.46836080057541E-2</v>
      </c>
      <c r="AE401" s="12">
        <f t="shared" si="39"/>
        <v>0.12201328866640199</v>
      </c>
      <c r="AF401" s="17">
        <v>1</v>
      </c>
      <c r="AG401" s="17">
        <v>1</v>
      </c>
      <c r="AH401" s="16">
        <f>IFERROR(VLOOKUP(D401,Teams!$B$2:$I$21,7,FALSE),1)</f>
        <v>1</v>
      </c>
      <c r="AI401" s="12">
        <f t="shared" si="40"/>
        <v>5.46836080057541E-2</v>
      </c>
      <c r="AJ401" s="12">
        <f t="shared" si="41"/>
        <v>0.12201328866640199</v>
      </c>
      <c r="AK401" s="6" t="s">
        <v>66</v>
      </c>
      <c r="AL401" s="18"/>
      <c r="AM401" s="23"/>
      <c r="AN401" s="24">
        <v>9.0000000000000011E-3</v>
      </c>
      <c r="AO401" s="25" t="b">
        <v>1</v>
      </c>
      <c r="AP401" s="23" t="s">
        <v>510</v>
      </c>
      <c r="AQ401" s="25" t="b">
        <v>0</v>
      </c>
      <c r="AR401" s="23"/>
      <c r="AS401" s="23" t="s">
        <v>68</v>
      </c>
    </row>
    <row r="402" spans="1:45" ht="60">
      <c r="A402" s="6">
        <v>393</v>
      </c>
      <c r="B402" s="6" t="s">
        <v>1151</v>
      </c>
      <c r="C402" s="6" t="s">
        <v>1152</v>
      </c>
      <c r="D402" s="6" t="s">
        <v>1126</v>
      </c>
      <c r="E402" s="6" t="s">
        <v>9</v>
      </c>
      <c r="F402" s="9">
        <v>5.5</v>
      </c>
      <c r="G402" s="9">
        <v>5.5</v>
      </c>
      <c r="H402" s="10">
        <v>1427</v>
      </c>
      <c r="I402" s="11">
        <v>0.65</v>
      </c>
      <c r="J402" s="11">
        <v>1.21</v>
      </c>
      <c r="K402" s="12">
        <f t="shared" si="36"/>
        <v>4.0995094604064468E-2</v>
      </c>
      <c r="L402" s="12">
        <f t="shared" si="37"/>
        <v>7.6313945339873859E-2</v>
      </c>
      <c r="M402" s="10">
        <v>0</v>
      </c>
      <c r="N402" s="10">
        <v>0</v>
      </c>
      <c r="O402" s="10">
        <v>67</v>
      </c>
      <c r="P402" s="10">
        <v>3.2</v>
      </c>
      <c r="Q402" s="10">
        <v>15</v>
      </c>
      <c r="R402" s="11">
        <v>7.76</v>
      </c>
      <c r="S402" s="6"/>
      <c r="T402" s="6"/>
      <c r="U402" s="6"/>
      <c r="V402" s="7" t="b">
        <v>0</v>
      </c>
      <c r="W402" s="8">
        <f>IFERROR(VLOOKUP(D402,Teams!$B$2:$I$21,6,FALSE),"")</f>
        <v>0</v>
      </c>
      <c r="X402" s="2" t="s">
        <v>65</v>
      </c>
      <c r="Y402" s="13"/>
      <c r="Z402" s="14"/>
      <c r="AA402" s="15">
        <f>IFERROR(H402/(H402+Priors!$G$3),0)</f>
        <v>0.58796868562010718</v>
      </c>
      <c r="AB402" s="16">
        <f>VLOOKUP(E402,Priors!$A$3:$C$6,2,FALSE)</f>
        <v>6.0081391379341341E-2</v>
      </c>
      <c r="AC402" s="16">
        <f>VLOOKUP(E402,Priors!$A$3:$C$6,3,FALSE)</f>
        <v>5.9588191961478354E-2</v>
      </c>
      <c r="AD402" s="12">
        <f t="shared" si="38"/>
        <v>4.8859246551026511E-2</v>
      </c>
      <c r="AE402" s="12">
        <f t="shared" si="39"/>
        <v>6.9422411191379624E-2</v>
      </c>
      <c r="AF402" s="17">
        <v>1</v>
      </c>
      <c r="AG402" s="17">
        <v>1</v>
      </c>
      <c r="AH402" s="16">
        <f>IFERROR(VLOOKUP(D402,Teams!$B$2:$I$21,7,FALSE),1)</f>
        <v>1</v>
      </c>
      <c r="AI402" s="12">
        <f t="shared" si="40"/>
        <v>4.8859246551026511E-2</v>
      </c>
      <c r="AJ402" s="12">
        <f t="shared" si="41"/>
        <v>6.9422411191379624E-2</v>
      </c>
      <c r="AK402" s="6" t="s">
        <v>66</v>
      </c>
      <c r="AL402" s="18"/>
      <c r="AM402" s="23"/>
      <c r="AN402" s="24">
        <v>0.02</v>
      </c>
      <c r="AO402" s="25" t="b">
        <v>1</v>
      </c>
      <c r="AP402" s="23" t="s">
        <v>1153</v>
      </c>
      <c r="AQ402" s="25" t="b">
        <v>0</v>
      </c>
      <c r="AR402" s="23"/>
      <c r="AS402" s="23" t="s">
        <v>68</v>
      </c>
    </row>
    <row r="403" spans="1:45" ht="60">
      <c r="A403" s="6">
        <v>394</v>
      </c>
      <c r="B403" s="6" t="s">
        <v>1154</v>
      </c>
      <c r="C403" s="6" t="s">
        <v>1155</v>
      </c>
      <c r="D403" s="6" t="s">
        <v>1126</v>
      </c>
      <c r="E403" s="6" t="s">
        <v>9</v>
      </c>
      <c r="F403" s="9">
        <v>5</v>
      </c>
      <c r="G403" s="9">
        <v>5</v>
      </c>
      <c r="H403" s="10">
        <v>135</v>
      </c>
      <c r="I403" s="11">
        <v>0.26</v>
      </c>
      <c r="J403" s="11">
        <v>0.06</v>
      </c>
      <c r="K403" s="12">
        <f t="shared" si="36"/>
        <v>0.17333333333333334</v>
      </c>
      <c r="L403" s="12">
        <f t="shared" si="37"/>
        <v>3.9999999999999994E-2</v>
      </c>
      <c r="M403" s="10">
        <v>0</v>
      </c>
      <c r="N403" s="10">
        <v>0</v>
      </c>
      <c r="O403" s="10">
        <v>5</v>
      </c>
      <c r="P403" s="10">
        <v>2.5</v>
      </c>
      <c r="Q403" s="10">
        <v>2</v>
      </c>
      <c r="R403" s="11">
        <v>7.33</v>
      </c>
      <c r="S403" s="6"/>
      <c r="T403" s="6"/>
      <c r="U403" s="6"/>
      <c r="V403" s="7" t="b">
        <v>0</v>
      </c>
      <c r="W403" s="8">
        <f>IFERROR(VLOOKUP(D403,Teams!$B$2:$I$21,6,FALSE),"")</f>
        <v>0</v>
      </c>
      <c r="X403" s="2" t="s">
        <v>65</v>
      </c>
      <c r="Y403" s="13"/>
      <c r="Z403" s="14"/>
      <c r="AA403" s="15">
        <f>IFERROR(H403/(H403+Priors!$G$3),0)</f>
        <v>0.11894273127753303</v>
      </c>
      <c r="AB403" s="16">
        <f>VLOOKUP(E403,Priors!$A$3:$C$6,2,FALSE)</f>
        <v>6.0081391379341341E-2</v>
      </c>
      <c r="AC403" s="16">
        <f>VLOOKUP(E403,Priors!$A$3:$C$6,3,FALSE)</f>
        <v>5.9588191961478354E-2</v>
      </c>
      <c r="AD403" s="12">
        <f t="shared" si="38"/>
        <v>7.3551886677833772E-2</v>
      </c>
      <c r="AE403" s="12">
        <f t="shared" si="39"/>
        <v>5.7258318908791496E-2</v>
      </c>
      <c r="AF403" s="17">
        <v>1</v>
      </c>
      <c r="AG403" s="17">
        <v>1</v>
      </c>
      <c r="AH403" s="16">
        <f>IFERROR(VLOOKUP(D403,Teams!$B$2:$I$21,7,FALSE),1)</f>
        <v>1</v>
      </c>
      <c r="AI403" s="12">
        <f t="shared" si="40"/>
        <v>7.3551886677833772E-2</v>
      </c>
      <c r="AJ403" s="12">
        <f t="shared" si="41"/>
        <v>5.7258318908791496E-2</v>
      </c>
      <c r="AK403" s="6" t="s">
        <v>66</v>
      </c>
      <c r="AL403" s="18"/>
      <c r="AM403" s="23"/>
      <c r="AN403" s="24">
        <v>0</v>
      </c>
      <c r="AO403" s="25" t="b">
        <v>1</v>
      </c>
      <c r="AP403" s="23" t="s">
        <v>1138</v>
      </c>
      <c r="AQ403" s="25" t="b">
        <v>0</v>
      </c>
      <c r="AR403" s="23"/>
      <c r="AS403" s="23" t="s">
        <v>68</v>
      </c>
    </row>
    <row r="404" spans="1:45" ht="60">
      <c r="A404" s="6">
        <v>395</v>
      </c>
      <c r="B404" s="6" t="s">
        <v>1156</v>
      </c>
      <c r="C404" s="6" t="s">
        <v>1157</v>
      </c>
      <c r="D404" s="6" t="s">
        <v>1126</v>
      </c>
      <c r="E404" s="6" t="s">
        <v>9</v>
      </c>
      <c r="F404" s="9">
        <v>4.5</v>
      </c>
      <c r="G404" s="9">
        <v>4.5</v>
      </c>
      <c r="H404" s="10">
        <v>401</v>
      </c>
      <c r="I404" s="11">
        <v>0.19</v>
      </c>
      <c r="J404" s="11">
        <v>1.39</v>
      </c>
      <c r="K404" s="12">
        <f t="shared" si="36"/>
        <v>4.2643391521197012E-2</v>
      </c>
      <c r="L404" s="12">
        <f t="shared" si="37"/>
        <v>0.31197007481296757</v>
      </c>
      <c r="M404" s="10">
        <v>0</v>
      </c>
      <c r="N404" s="10">
        <v>1</v>
      </c>
      <c r="O404" s="10">
        <v>19</v>
      </c>
      <c r="P404" s="10">
        <v>1.7</v>
      </c>
      <c r="Q404" s="10">
        <v>4</v>
      </c>
      <c r="R404" s="11">
        <v>4.26</v>
      </c>
      <c r="S404" s="6"/>
      <c r="T404" s="6"/>
      <c r="U404" s="6"/>
      <c r="V404" s="7" t="b">
        <v>0</v>
      </c>
      <c r="W404" s="8">
        <f>IFERROR(VLOOKUP(D404,Teams!$B$2:$I$21,6,FALSE),"")</f>
        <v>0</v>
      </c>
      <c r="X404" s="2" t="s">
        <v>65</v>
      </c>
      <c r="Y404" s="13"/>
      <c r="Z404" s="14"/>
      <c r="AA404" s="15">
        <f>IFERROR(H404/(H404+Priors!$G$3),0)</f>
        <v>0.2862241256245539</v>
      </c>
      <c r="AB404" s="16">
        <f>VLOOKUP(E404,Priors!$A$3:$C$6,2,FALSE)</f>
        <v>6.0081391379341341E-2</v>
      </c>
      <c r="AC404" s="16">
        <f>VLOOKUP(E404,Priors!$A$3:$C$6,3,FALSE)</f>
        <v>5.9588191961478354E-2</v>
      </c>
      <c r="AD404" s="12">
        <f t="shared" si="38"/>
        <v>5.5090215117302888E-2</v>
      </c>
      <c r="AE404" s="12">
        <f t="shared" si="39"/>
        <v>0.13182597570412444</v>
      </c>
      <c r="AF404" s="17">
        <v>1</v>
      </c>
      <c r="AG404" s="17">
        <v>1</v>
      </c>
      <c r="AH404" s="16">
        <f>IFERROR(VLOOKUP(D404,Teams!$B$2:$I$21,7,FALSE),1)</f>
        <v>1</v>
      </c>
      <c r="AI404" s="12">
        <f t="shared" si="40"/>
        <v>5.5090215117302888E-2</v>
      </c>
      <c r="AJ404" s="12">
        <f t="shared" si="41"/>
        <v>0.13182597570412444</v>
      </c>
      <c r="AK404" s="6" t="s">
        <v>66</v>
      </c>
      <c r="AL404" s="18"/>
      <c r="AM404" s="23"/>
      <c r="AN404" s="24">
        <v>2E-3</v>
      </c>
      <c r="AO404" s="25" t="b">
        <v>1</v>
      </c>
      <c r="AP404" s="23" t="s">
        <v>1158</v>
      </c>
      <c r="AQ404" s="25" t="b">
        <v>0</v>
      </c>
      <c r="AR404" s="23"/>
      <c r="AS404" s="23" t="s">
        <v>68</v>
      </c>
    </row>
    <row r="405" spans="1:45" ht="60">
      <c r="A405" s="6">
        <v>396</v>
      </c>
      <c r="B405" s="6" t="s">
        <v>1159</v>
      </c>
      <c r="C405" s="6" t="s">
        <v>1159</v>
      </c>
      <c r="D405" s="6" t="s">
        <v>1126</v>
      </c>
      <c r="E405" s="6" t="s">
        <v>9</v>
      </c>
      <c r="F405" s="9">
        <v>4.5</v>
      </c>
      <c r="G405" s="9">
        <v>4.5</v>
      </c>
      <c r="H405" s="10">
        <v>0</v>
      </c>
      <c r="I405" s="11">
        <v>0</v>
      </c>
      <c r="J405" s="11">
        <v>0</v>
      </c>
      <c r="K405" s="12">
        <f t="shared" si="36"/>
        <v>0</v>
      </c>
      <c r="L405" s="12">
        <f t="shared" si="37"/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1">
        <v>0</v>
      </c>
      <c r="S405" s="6"/>
      <c r="T405" s="6"/>
      <c r="U405" s="6"/>
      <c r="V405" s="7" t="b">
        <v>0</v>
      </c>
      <c r="W405" s="8">
        <f>IFERROR(VLOOKUP(D405,Teams!$B$2:$I$21,6,FALSE),"")</f>
        <v>0</v>
      </c>
      <c r="X405" s="2" t="s">
        <v>65</v>
      </c>
      <c r="Y405" s="13"/>
      <c r="Z405" s="14"/>
      <c r="AA405" s="15">
        <f>IFERROR(H405/(H405+Priors!$G$3),0)</f>
        <v>0</v>
      </c>
      <c r="AB405" s="16">
        <f>VLOOKUP(E405,Priors!$A$3:$C$6,2,FALSE)</f>
        <v>6.0081391379341341E-2</v>
      </c>
      <c r="AC405" s="16">
        <f>VLOOKUP(E405,Priors!$A$3:$C$6,3,FALSE)</f>
        <v>5.9588191961478354E-2</v>
      </c>
      <c r="AD405" s="12">
        <f t="shared" si="38"/>
        <v>6.0081391379341341E-2</v>
      </c>
      <c r="AE405" s="12">
        <f t="shared" si="39"/>
        <v>5.9588191961478354E-2</v>
      </c>
      <c r="AF405" s="17">
        <v>1</v>
      </c>
      <c r="AG405" s="17">
        <v>1</v>
      </c>
      <c r="AH405" s="16">
        <f>IFERROR(VLOOKUP(D405,Teams!$B$2:$I$21,7,FALSE),1)</f>
        <v>1</v>
      </c>
      <c r="AI405" s="12">
        <f t="shared" si="40"/>
        <v>6.0081391379341341E-2</v>
      </c>
      <c r="AJ405" s="12">
        <f t="shared" si="41"/>
        <v>5.9588191961478354E-2</v>
      </c>
      <c r="AK405" s="6" t="s">
        <v>66</v>
      </c>
      <c r="AL405" s="18"/>
      <c r="AM405" s="23"/>
      <c r="AN405" s="24">
        <v>0</v>
      </c>
      <c r="AO405" s="25" t="b">
        <v>1</v>
      </c>
      <c r="AP405" s="23" t="s">
        <v>1160</v>
      </c>
      <c r="AQ405" s="25" t="b">
        <v>0</v>
      </c>
      <c r="AR405" s="23"/>
      <c r="AS405" s="23" t="s">
        <v>68</v>
      </c>
    </row>
    <row r="406" spans="1:45" ht="60">
      <c r="A406" s="6">
        <v>397</v>
      </c>
      <c r="B406" s="6" t="s">
        <v>1161</v>
      </c>
      <c r="C406" s="6" t="s">
        <v>1162</v>
      </c>
      <c r="D406" s="6" t="s">
        <v>1126</v>
      </c>
      <c r="E406" s="6" t="s">
        <v>11</v>
      </c>
      <c r="F406" s="9">
        <v>8.5</v>
      </c>
      <c r="G406" s="9">
        <v>8.5</v>
      </c>
      <c r="H406" s="10">
        <v>3200</v>
      </c>
      <c r="I406" s="11">
        <v>11.1</v>
      </c>
      <c r="J406" s="11">
        <v>3.12</v>
      </c>
      <c r="K406" s="12">
        <f t="shared" si="36"/>
        <v>0.31218750000000001</v>
      </c>
      <c r="L406" s="12">
        <f t="shared" si="37"/>
        <v>8.7750000000000009E-2</v>
      </c>
      <c r="M406" s="10">
        <v>17</v>
      </c>
      <c r="N406" s="10">
        <v>6</v>
      </c>
      <c r="O406" s="10">
        <v>202</v>
      </c>
      <c r="P406" s="10">
        <v>5.5</v>
      </c>
      <c r="Q406" s="10">
        <v>37</v>
      </c>
      <c r="R406" s="11">
        <v>6.64</v>
      </c>
      <c r="S406" s="6">
        <v>3</v>
      </c>
      <c r="T406" s="6"/>
      <c r="U406" s="6"/>
      <c r="V406" s="7" t="b">
        <v>0</v>
      </c>
      <c r="W406" s="8">
        <f>IFERROR(VLOOKUP(D406,Teams!$B$2:$I$21,6,FALSE),"")</f>
        <v>0</v>
      </c>
      <c r="X406" s="2" t="s">
        <v>65</v>
      </c>
      <c r="Y406" s="13"/>
      <c r="Z406" s="14"/>
      <c r="AA406" s="15">
        <f>IFERROR(H406/(H406+Priors!$G$3),0)</f>
        <v>0.76190476190476186</v>
      </c>
      <c r="AB406" s="16">
        <f>VLOOKUP(E406,Priors!$A$3:$C$6,2,FALSE)</f>
        <v>0.15714383234350468</v>
      </c>
      <c r="AC406" s="16">
        <f>VLOOKUP(E406,Priors!$A$3:$C$6,3,FALSE)</f>
        <v>0.13222062939449797</v>
      </c>
      <c r="AD406" s="12">
        <f t="shared" si="38"/>
        <v>0.27527234103416776</v>
      </c>
      <c r="AE406" s="12">
        <f t="shared" si="39"/>
        <v>9.8338245093928106E-2</v>
      </c>
      <c r="AF406" s="17">
        <v>1</v>
      </c>
      <c r="AG406" s="17">
        <v>1</v>
      </c>
      <c r="AH406" s="16">
        <f>IFERROR(VLOOKUP(D406,Teams!$B$2:$I$21,7,FALSE),1)</f>
        <v>1</v>
      </c>
      <c r="AI406" s="12">
        <f t="shared" si="40"/>
        <v>0.27527234103416776</v>
      </c>
      <c r="AJ406" s="12">
        <f t="shared" si="41"/>
        <v>9.8338245093928106E-2</v>
      </c>
      <c r="AK406" s="6" t="s">
        <v>66</v>
      </c>
      <c r="AL406" s="18"/>
      <c r="AM406" s="23"/>
      <c r="AN406" s="24">
        <v>0.22</v>
      </c>
      <c r="AO406" s="25" t="b">
        <v>1</v>
      </c>
      <c r="AP406" s="23" t="s">
        <v>1163</v>
      </c>
      <c r="AQ406" s="25" t="b">
        <v>1</v>
      </c>
      <c r="AR406" s="23"/>
      <c r="AS406" s="23" t="s">
        <v>68</v>
      </c>
    </row>
    <row r="407" spans="1:45" ht="60">
      <c r="A407" s="6">
        <v>398</v>
      </c>
      <c r="B407" s="6" t="s">
        <v>1164</v>
      </c>
      <c r="C407" s="6" t="s">
        <v>1165</v>
      </c>
      <c r="D407" s="6" t="s">
        <v>1126</v>
      </c>
      <c r="E407" s="6" t="s">
        <v>11</v>
      </c>
      <c r="F407" s="9">
        <v>7</v>
      </c>
      <c r="G407" s="9">
        <v>7</v>
      </c>
      <c r="H407" s="10">
        <v>2078</v>
      </c>
      <c r="I407" s="11">
        <v>6.03</v>
      </c>
      <c r="J407" s="11">
        <v>4.76</v>
      </c>
      <c r="K407" s="12">
        <f t="shared" si="36"/>
        <v>0.2611645813282002</v>
      </c>
      <c r="L407" s="12">
        <f t="shared" si="37"/>
        <v>0.20615976900866217</v>
      </c>
      <c r="M407" s="10">
        <v>7</v>
      </c>
      <c r="N407" s="10">
        <v>5</v>
      </c>
      <c r="O407" s="10">
        <v>131</v>
      </c>
      <c r="P407" s="10">
        <v>4</v>
      </c>
      <c r="Q407" s="10">
        <v>23</v>
      </c>
      <c r="R407" s="11">
        <v>6.93</v>
      </c>
      <c r="S407" s="6"/>
      <c r="T407" s="6">
        <v>3</v>
      </c>
      <c r="U407" s="6">
        <v>4</v>
      </c>
      <c r="V407" s="7" t="b">
        <v>0</v>
      </c>
      <c r="W407" s="8">
        <f>IFERROR(VLOOKUP(D407,Teams!$B$2:$I$21,6,FALSE),"")</f>
        <v>0</v>
      </c>
      <c r="X407" s="2" t="s">
        <v>65</v>
      </c>
      <c r="Y407" s="13"/>
      <c r="Z407" s="14"/>
      <c r="AA407" s="15">
        <f>IFERROR(H407/(H407+Priors!$G$3),0)</f>
        <v>0.67511371020142952</v>
      </c>
      <c r="AB407" s="16">
        <f>VLOOKUP(E407,Priors!$A$3:$C$6,2,FALSE)</f>
        <v>0.15714383234350468</v>
      </c>
      <c r="AC407" s="16">
        <f>VLOOKUP(E407,Priors!$A$3:$C$6,3,FALSE)</f>
        <v>0.13222062939449797</v>
      </c>
      <c r="AD407" s="12">
        <f t="shared" si="38"/>
        <v>0.22736966612849407</v>
      </c>
      <c r="AE407" s="12">
        <f t="shared" si="39"/>
        <v>0.18213795626851786</v>
      </c>
      <c r="AF407" s="17">
        <v>1</v>
      </c>
      <c r="AG407" s="17">
        <v>1</v>
      </c>
      <c r="AH407" s="16">
        <f>IFERROR(VLOOKUP(D407,Teams!$B$2:$I$21,7,FALSE),1)</f>
        <v>1</v>
      </c>
      <c r="AI407" s="12">
        <f t="shared" si="40"/>
        <v>0.22736966612849407</v>
      </c>
      <c r="AJ407" s="12">
        <f t="shared" si="41"/>
        <v>0.18213795626851786</v>
      </c>
      <c r="AK407" s="6" t="s">
        <v>66</v>
      </c>
      <c r="AL407" s="18"/>
      <c r="AM407" s="23"/>
      <c r="AN407" s="24">
        <v>7.5999999999999998E-2</v>
      </c>
      <c r="AO407" s="25" t="b">
        <v>1</v>
      </c>
      <c r="AP407" s="23" t="s">
        <v>1166</v>
      </c>
      <c r="AQ407" s="25" t="b">
        <v>0</v>
      </c>
      <c r="AR407" s="23"/>
      <c r="AS407" s="23" t="s">
        <v>68</v>
      </c>
    </row>
    <row r="408" spans="1:45" ht="60">
      <c r="A408" s="6">
        <v>399</v>
      </c>
      <c r="B408" s="6" t="s">
        <v>1167</v>
      </c>
      <c r="C408" s="6" t="s">
        <v>1168</v>
      </c>
      <c r="D408" s="6" t="s">
        <v>1126</v>
      </c>
      <c r="E408" s="6" t="s">
        <v>11</v>
      </c>
      <c r="F408" s="9">
        <v>7.5</v>
      </c>
      <c r="G408" s="9">
        <v>7.5</v>
      </c>
      <c r="H408" s="10">
        <v>1772</v>
      </c>
      <c r="I408" s="11">
        <v>4.28</v>
      </c>
      <c r="J408" s="11">
        <v>8.8699999999999992</v>
      </c>
      <c r="K408" s="12">
        <f t="shared" si="36"/>
        <v>0.21738148984198649</v>
      </c>
      <c r="L408" s="12">
        <f t="shared" si="37"/>
        <v>0.45050790067720087</v>
      </c>
      <c r="M408" s="10">
        <v>4</v>
      </c>
      <c r="N408" s="10">
        <v>13</v>
      </c>
      <c r="O408" s="10">
        <v>135</v>
      </c>
      <c r="P408" s="10">
        <v>4.0999999999999996</v>
      </c>
      <c r="Q408" s="10">
        <v>19</v>
      </c>
      <c r="R408" s="11">
        <v>6.86</v>
      </c>
      <c r="S408" s="6"/>
      <c r="T408" s="6">
        <v>1</v>
      </c>
      <c r="U408" s="6">
        <v>5</v>
      </c>
      <c r="V408" s="7" t="b">
        <v>0</v>
      </c>
      <c r="W408" s="8">
        <f>IFERROR(VLOOKUP(D408,Teams!$B$2:$I$21,6,FALSE),"")</f>
        <v>0</v>
      </c>
      <c r="X408" s="2" t="s">
        <v>65</v>
      </c>
      <c r="Y408" s="13"/>
      <c r="Z408" s="14"/>
      <c r="AA408" s="15">
        <f>IFERROR(H408/(H408+Priors!$G$3),0)</f>
        <v>0.63924963924963929</v>
      </c>
      <c r="AB408" s="16">
        <f>VLOOKUP(E408,Priors!$A$3:$C$6,2,FALSE)</f>
        <v>0.15714383234350468</v>
      </c>
      <c r="AC408" s="16">
        <f>VLOOKUP(E408,Priors!$A$3:$C$6,3,FALSE)</f>
        <v>0.13222062939449797</v>
      </c>
      <c r="AD408" s="12">
        <f t="shared" si="38"/>
        <v>0.1956507331686525</v>
      </c>
      <c r="AE408" s="12">
        <f t="shared" si="39"/>
        <v>0.33568565273971784</v>
      </c>
      <c r="AF408" s="17">
        <v>1</v>
      </c>
      <c r="AG408" s="17">
        <v>1</v>
      </c>
      <c r="AH408" s="16">
        <f>IFERROR(VLOOKUP(D408,Teams!$B$2:$I$21,7,FALSE),1)</f>
        <v>1</v>
      </c>
      <c r="AI408" s="12">
        <f t="shared" si="40"/>
        <v>0.1956507331686525</v>
      </c>
      <c r="AJ408" s="12">
        <f t="shared" si="41"/>
        <v>0.33568565273971784</v>
      </c>
      <c r="AK408" s="6" t="s">
        <v>66</v>
      </c>
      <c r="AL408" s="18"/>
      <c r="AM408" s="23"/>
      <c r="AN408" s="24">
        <v>9.4E-2</v>
      </c>
      <c r="AO408" s="25" t="b">
        <v>1</v>
      </c>
      <c r="AP408" s="23" t="s">
        <v>1135</v>
      </c>
      <c r="AQ408" s="25" t="b">
        <v>0</v>
      </c>
      <c r="AR408" s="23"/>
      <c r="AS408" s="23" t="s">
        <v>68</v>
      </c>
    </row>
    <row r="409" spans="1:45" ht="60">
      <c r="A409" s="6">
        <v>400</v>
      </c>
      <c r="B409" s="6" t="s">
        <v>1169</v>
      </c>
      <c r="C409" s="6" t="s">
        <v>1170</v>
      </c>
      <c r="D409" s="6" t="s">
        <v>1126</v>
      </c>
      <c r="E409" s="6" t="s">
        <v>11</v>
      </c>
      <c r="F409" s="9">
        <v>7.5</v>
      </c>
      <c r="G409" s="9">
        <v>7.5</v>
      </c>
      <c r="H409" s="10">
        <v>1773</v>
      </c>
      <c r="I409" s="11">
        <v>2.87</v>
      </c>
      <c r="J409" s="11">
        <v>5.86</v>
      </c>
      <c r="K409" s="12">
        <f t="shared" si="36"/>
        <v>0.14568527918781726</v>
      </c>
      <c r="L409" s="12">
        <f t="shared" si="37"/>
        <v>0.29746192893401013</v>
      </c>
      <c r="M409" s="10">
        <v>5</v>
      </c>
      <c r="N409" s="10">
        <v>8</v>
      </c>
      <c r="O409" s="10">
        <v>120</v>
      </c>
      <c r="P409" s="10">
        <v>4</v>
      </c>
      <c r="Q409" s="10">
        <v>19</v>
      </c>
      <c r="R409" s="11">
        <v>6.4</v>
      </c>
      <c r="S409" s="6">
        <v>4</v>
      </c>
      <c r="T409" s="6"/>
      <c r="U409" s="6"/>
      <c r="V409" s="7" t="b">
        <v>0</v>
      </c>
      <c r="W409" s="8">
        <f>IFERROR(VLOOKUP(D409,Teams!$B$2:$I$21,6,FALSE),"")</f>
        <v>0</v>
      </c>
      <c r="X409" s="2" t="s">
        <v>65</v>
      </c>
      <c r="Y409" s="13"/>
      <c r="Z409" s="14"/>
      <c r="AA409" s="15">
        <f>IFERROR(H409/(H409+Priors!$G$3),0)</f>
        <v>0.63937973314100249</v>
      </c>
      <c r="AB409" s="16">
        <f>VLOOKUP(E409,Priors!$A$3:$C$6,2,FALSE)</f>
        <v>0.15714383234350468</v>
      </c>
      <c r="AC409" s="16">
        <f>VLOOKUP(E409,Priors!$A$3:$C$6,3,FALSE)</f>
        <v>0.13222062939449797</v>
      </c>
      <c r="AD409" s="12">
        <f t="shared" si="38"/>
        <v>0.14981746568463927</v>
      </c>
      <c r="AE409" s="12">
        <f t="shared" si="39"/>
        <v>0.23787256739794371</v>
      </c>
      <c r="AF409" s="17">
        <v>1</v>
      </c>
      <c r="AG409" s="17">
        <v>1</v>
      </c>
      <c r="AH409" s="16">
        <f>IFERROR(VLOOKUP(D409,Teams!$B$2:$I$21,7,FALSE),1)</f>
        <v>1</v>
      </c>
      <c r="AI409" s="12">
        <f t="shared" si="40"/>
        <v>0.14981746568463927</v>
      </c>
      <c r="AJ409" s="12">
        <f t="shared" si="41"/>
        <v>0.23787256739794371</v>
      </c>
      <c r="AK409" s="6" t="s">
        <v>66</v>
      </c>
      <c r="AL409" s="18"/>
      <c r="AM409" s="23"/>
      <c r="AN409" s="24">
        <v>6.4000000000000001E-2</v>
      </c>
      <c r="AO409" s="25" t="b">
        <v>1</v>
      </c>
      <c r="AP409" s="23" t="s">
        <v>1031</v>
      </c>
      <c r="AQ409" s="25" t="b">
        <v>0</v>
      </c>
      <c r="AR409" s="23"/>
      <c r="AS409" s="23" t="s">
        <v>68</v>
      </c>
    </row>
    <row r="410" spans="1:45" ht="60">
      <c r="A410" s="6">
        <v>401</v>
      </c>
      <c r="B410" s="6" t="s">
        <v>1171</v>
      </c>
      <c r="C410" s="6" t="s">
        <v>1172</v>
      </c>
      <c r="D410" s="6" t="s">
        <v>1126</v>
      </c>
      <c r="E410" s="6" t="s">
        <v>14</v>
      </c>
      <c r="F410" s="9">
        <v>7</v>
      </c>
      <c r="G410" s="9">
        <v>7</v>
      </c>
      <c r="H410" s="10">
        <v>691</v>
      </c>
      <c r="I410" s="11">
        <v>2.78</v>
      </c>
      <c r="J410" s="11">
        <v>0.77</v>
      </c>
      <c r="K410" s="12">
        <f t="shared" si="36"/>
        <v>0.36208393632416785</v>
      </c>
      <c r="L410" s="12">
        <f t="shared" si="37"/>
        <v>0.10028943560057886</v>
      </c>
      <c r="M410" s="10">
        <v>3</v>
      </c>
      <c r="N410" s="10">
        <v>3</v>
      </c>
      <c r="O410" s="10">
        <v>56</v>
      </c>
      <c r="P410" s="10">
        <v>2.7</v>
      </c>
      <c r="Q410" s="10">
        <v>8</v>
      </c>
      <c r="R410" s="11">
        <v>5.08</v>
      </c>
      <c r="S410" s="6">
        <v>2</v>
      </c>
      <c r="T410" s="6">
        <v>2</v>
      </c>
      <c r="U410" s="6"/>
      <c r="V410" s="7" t="b">
        <v>0</v>
      </c>
      <c r="W410" s="8">
        <f>IFERROR(VLOOKUP(D410,Teams!$B$2:$I$21,6,FALSE),"")</f>
        <v>0</v>
      </c>
      <c r="X410" s="2" t="s">
        <v>65</v>
      </c>
      <c r="Y410" s="13"/>
      <c r="Z410" s="14"/>
      <c r="AA410" s="15">
        <f>IFERROR(H410/(H410+Priors!$G$3),0)</f>
        <v>0.40863394441159079</v>
      </c>
      <c r="AB410" s="16">
        <f>VLOOKUP(E410,Priors!$A$3:$C$6,2,FALSE)</f>
        <v>0.44625207326425426</v>
      </c>
      <c r="AC410" s="16">
        <f>VLOOKUP(E410,Priors!$A$3:$C$6,3,FALSE)</f>
        <v>5.8217260259314105E-2</v>
      </c>
      <c r="AD410" s="12">
        <f t="shared" si="38"/>
        <v>0.41185811547265189</v>
      </c>
      <c r="AE410" s="12">
        <f t="shared" si="39"/>
        <v>7.5409379218991185E-2</v>
      </c>
      <c r="AF410" s="17">
        <v>1</v>
      </c>
      <c r="AG410" s="17">
        <v>1</v>
      </c>
      <c r="AH410" s="16">
        <f>IFERROR(VLOOKUP(D410,Teams!$B$2:$I$21,7,FALSE),1)</f>
        <v>1</v>
      </c>
      <c r="AI410" s="12">
        <f t="shared" si="40"/>
        <v>0.41185811547265189</v>
      </c>
      <c r="AJ410" s="12">
        <f t="shared" si="41"/>
        <v>7.5409379218991185E-2</v>
      </c>
      <c r="AK410" s="6" t="s">
        <v>66</v>
      </c>
      <c r="AL410" s="18"/>
      <c r="AM410" s="23"/>
      <c r="AN410" s="24">
        <v>6.9999999999999993E-3</v>
      </c>
      <c r="AO410" s="25" t="b">
        <v>1</v>
      </c>
      <c r="AP410" s="23" t="s">
        <v>878</v>
      </c>
      <c r="AQ410" s="25" t="b">
        <v>0</v>
      </c>
      <c r="AR410" s="23"/>
      <c r="AS410" s="23" t="s">
        <v>68</v>
      </c>
    </row>
    <row r="411" spans="1:45" ht="60">
      <c r="A411" s="6">
        <v>402</v>
      </c>
      <c r="B411" s="6" t="s">
        <v>1173</v>
      </c>
      <c r="C411" s="6" t="s">
        <v>1174</v>
      </c>
      <c r="D411" s="6" t="s">
        <v>1126</v>
      </c>
      <c r="E411" s="6" t="s">
        <v>11</v>
      </c>
      <c r="F411" s="9">
        <v>6.5</v>
      </c>
      <c r="G411" s="9">
        <v>6.5</v>
      </c>
      <c r="H411" s="10">
        <v>1510</v>
      </c>
      <c r="I411" s="11">
        <v>1.1499999999999999</v>
      </c>
      <c r="J411" s="11">
        <v>2.4500000000000002</v>
      </c>
      <c r="K411" s="12">
        <f t="shared" si="36"/>
        <v>6.8543046357615878E-2</v>
      </c>
      <c r="L411" s="12">
        <f t="shared" si="37"/>
        <v>0.14602649006622517</v>
      </c>
      <c r="M411" s="10">
        <v>1</v>
      </c>
      <c r="N411" s="10">
        <v>1</v>
      </c>
      <c r="O411" s="10">
        <v>69</v>
      </c>
      <c r="P411" s="10">
        <v>3.3</v>
      </c>
      <c r="Q411" s="10">
        <v>17</v>
      </c>
      <c r="R411" s="11">
        <v>12.28</v>
      </c>
      <c r="S411" s="6"/>
      <c r="T411" s="6"/>
      <c r="U411" s="6"/>
      <c r="V411" s="7" t="b">
        <v>0</v>
      </c>
      <c r="W411" s="8">
        <f>IFERROR(VLOOKUP(D411,Teams!$B$2:$I$21,6,FALSE),"")</f>
        <v>0</v>
      </c>
      <c r="X411" s="2" t="s">
        <v>65</v>
      </c>
      <c r="Y411" s="13"/>
      <c r="Z411" s="14"/>
      <c r="AA411" s="15">
        <f>IFERROR(H411/(H411+Priors!$G$3),0)</f>
        <v>0.60159362549800799</v>
      </c>
      <c r="AB411" s="16">
        <f>VLOOKUP(E411,Priors!$A$3:$C$6,2,FALSE)</f>
        <v>0.15714383234350468</v>
      </c>
      <c r="AC411" s="16">
        <f>VLOOKUP(E411,Priors!$A$3:$C$6,3,FALSE)</f>
        <v>0.13222062939449797</v>
      </c>
      <c r="AD411" s="12">
        <f t="shared" si="38"/>
        <v>0.10384216428028073</v>
      </c>
      <c r="AE411" s="12">
        <f t="shared" si="39"/>
        <v>0.14052614716912271</v>
      </c>
      <c r="AF411" s="17">
        <v>1</v>
      </c>
      <c r="AG411" s="17">
        <v>1</v>
      </c>
      <c r="AH411" s="16">
        <f>IFERROR(VLOOKUP(D411,Teams!$B$2:$I$21,7,FALSE),1)</f>
        <v>1</v>
      </c>
      <c r="AI411" s="12">
        <f t="shared" si="40"/>
        <v>0.10384216428028073</v>
      </c>
      <c r="AJ411" s="12">
        <f t="shared" si="41"/>
        <v>0.14052614716912271</v>
      </c>
      <c r="AK411" s="6" t="s">
        <v>80</v>
      </c>
      <c r="AL411" s="18">
        <v>0</v>
      </c>
      <c r="AM411" s="23" t="s">
        <v>85</v>
      </c>
      <c r="AN411" s="24">
        <v>1E-3</v>
      </c>
      <c r="AO411" s="25" t="b">
        <v>1</v>
      </c>
      <c r="AP411" s="23" t="s">
        <v>1175</v>
      </c>
      <c r="AQ411" s="25" t="b">
        <v>0</v>
      </c>
      <c r="AR411" s="23"/>
      <c r="AS411" s="23" t="s">
        <v>68</v>
      </c>
    </row>
    <row r="412" spans="1:45" ht="60">
      <c r="A412" s="6">
        <v>403</v>
      </c>
      <c r="B412" s="6" t="s">
        <v>1176</v>
      </c>
      <c r="C412" s="6" t="s">
        <v>1176</v>
      </c>
      <c r="D412" s="6" t="s">
        <v>1126</v>
      </c>
      <c r="E412" s="6" t="s">
        <v>11</v>
      </c>
      <c r="F412" s="9">
        <v>6.5</v>
      </c>
      <c r="G412" s="9">
        <v>6.5</v>
      </c>
      <c r="H412" s="10">
        <v>817</v>
      </c>
      <c r="I412" s="11">
        <v>2.5</v>
      </c>
      <c r="J412" s="11">
        <v>1.59</v>
      </c>
      <c r="K412" s="12">
        <f t="shared" si="36"/>
        <v>0.27539779681762544</v>
      </c>
      <c r="L412" s="12">
        <f t="shared" si="37"/>
        <v>0.17515299877600979</v>
      </c>
      <c r="M412" s="10">
        <v>1</v>
      </c>
      <c r="N412" s="10">
        <v>2</v>
      </c>
      <c r="O412" s="10">
        <v>43</v>
      </c>
      <c r="P412" s="10">
        <v>1.8</v>
      </c>
      <c r="Q412" s="10">
        <v>7</v>
      </c>
      <c r="R412" s="11">
        <v>6.5</v>
      </c>
      <c r="S412" s="6"/>
      <c r="T412" s="6"/>
      <c r="U412" s="6"/>
      <c r="V412" s="7" t="b">
        <v>0</v>
      </c>
      <c r="W412" s="8">
        <f>IFERROR(VLOOKUP(D412,Teams!$B$2:$I$21,6,FALSE),"")</f>
        <v>0</v>
      </c>
      <c r="X412" s="2" t="s">
        <v>65</v>
      </c>
      <c r="Y412" s="13"/>
      <c r="Z412" s="14"/>
      <c r="AA412" s="15">
        <f>IFERROR(H412/(H412+Priors!$G$3),0)</f>
        <v>0.44964226747385799</v>
      </c>
      <c r="AB412" s="16">
        <f>VLOOKUP(E412,Priors!$A$3:$C$6,2,FALSE)</f>
        <v>0.15714383234350468</v>
      </c>
      <c r="AC412" s="16">
        <f>VLOOKUP(E412,Priors!$A$3:$C$6,3,FALSE)</f>
        <v>0.13222062939449797</v>
      </c>
      <c r="AD412" s="12">
        <f t="shared" si="38"/>
        <v>0.21031581306742136</v>
      </c>
      <c r="AE412" s="12">
        <f t="shared" si="39"/>
        <v>0.15152483731122618</v>
      </c>
      <c r="AF412" s="17">
        <v>1</v>
      </c>
      <c r="AG412" s="17">
        <v>1</v>
      </c>
      <c r="AH412" s="16">
        <f>IFERROR(VLOOKUP(D412,Teams!$B$2:$I$21,7,FALSE),1)</f>
        <v>1</v>
      </c>
      <c r="AI412" s="12">
        <f t="shared" si="40"/>
        <v>0.21031581306742136</v>
      </c>
      <c r="AJ412" s="12">
        <f t="shared" si="41"/>
        <v>0.15152483731122618</v>
      </c>
      <c r="AK412" s="6" t="s">
        <v>66</v>
      </c>
      <c r="AL412" s="18"/>
      <c r="AM412" s="23"/>
      <c r="AN412" s="24">
        <v>1E-3</v>
      </c>
      <c r="AO412" s="25" t="b">
        <v>1</v>
      </c>
      <c r="AP412" s="23" t="s">
        <v>1177</v>
      </c>
      <c r="AQ412" s="25" t="b">
        <v>0</v>
      </c>
      <c r="AR412" s="23"/>
      <c r="AS412" s="23" t="s">
        <v>68</v>
      </c>
    </row>
    <row r="413" spans="1:45" ht="60">
      <c r="A413" s="6">
        <v>404</v>
      </c>
      <c r="B413" s="6" t="s">
        <v>1178</v>
      </c>
      <c r="C413" s="6" t="s">
        <v>1179</v>
      </c>
      <c r="D413" s="6" t="s">
        <v>1126</v>
      </c>
      <c r="E413" s="6" t="s">
        <v>11</v>
      </c>
      <c r="F413" s="9">
        <v>6</v>
      </c>
      <c r="G413" s="9">
        <v>6</v>
      </c>
      <c r="H413" s="10">
        <v>1623</v>
      </c>
      <c r="I413" s="11">
        <v>4.6100000000000003</v>
      </c>
      <c r="J413" s="11">
        <v>2.35</v>
      </c>
      <c r="K413" s="12">
        <f t="shared" si="36"/>
        <v>0.25563770794824403</v>
      </c>
      <c r="L413" s="12">
        <f t="shared" si="37"/>
        <v>0.13031423290203328</v>
      </c>
      <c r="M413" s="10">
        <v>5</v>
      </c>
      <c r="N413" s="10">
        <v>3</v>
      </c>
      <c r="O413" s="10">
        <v>92</v>
      </c>
      <c r="P413" s="10">
        <v>3.3</v>
      </c>
      <c r="Q413" s="10">
        <v>19</v>
      </c>
      <c r="R413" s="11">
        <v>5.55</v>
      </c>
      <c r="S413" s="6"/>
      <c r="T413" s="6">
        <v>4</v>
      </c>
      <c r="U413" s="6">
        <v>6</v>
      </c>
      <c r="V413" s="7" t="b">
        <v>0</v>
      </c>
      <c r="W413" s="8">
        <f>IFERROR(VLOOKUP(D413,Teams!$B$2:$I$21,6,FALSE),"")</f>
        <v>0</v>
      </c>
      <c r="X413" s="2" t="s">
        <v>65</v>
      </c>
      <c r="Y413" s="13"/>
      <c r="Z413" s="14"/>
      <c r="AA413" s="15">
        <f>IFERROR(H413/(H413+Priors!$G$3),0)</f>
        <v>0.61875714830346928</v>
      </c>
      <c r="AB413" s="16">
        <f>VLOOKUP(E413,Priors!$A$3:$C$6,2,FALSE)</f>
        <v>0.15714383234350468</v>
      </c>
      <c r="AC413" s="16">
        <f>VLOOKUP(E413,Priors!$A$3:$C$6,3,FALSE)</f>
        <v>0.13222062939449797</v>
      </c>
      <c r="AD413" s="12">
        <f t="shared" si="38"/>
        <v>0.21808762193804984</v>
      </c>
      <c r="AE413" s="12">
        <f t="shared" si="39"/>
        <v>0.13104103293728478</v>
      </c>
      <c r="AF413" s="17">
        <v>1</v>
      </c>
      <c r="AG413" s="17">
        <v>1</v>
      </c>
      <c r="AH413" s="16">
        <f>IFERROR(VLOOKUP(D413,Teams!$B$2:$I$21,7,FALSE),1)</f>
        <v>1</v>
      </c>
      <c r="AI413" s="12">
        <f t="shared" si="40"/>
        <v>0.21808762193804984</v>
      </c>
      <c r="AJ413" s="12">
        <f t="shared" si="41"/>
        <v>0.13104103293728478</v>
      </c>
      <c r="AK413" s="6" t="s">
        <v>66</v>
      </c>
      <c r="AL413" s="18"/>
      <c r="AM413" s="23"/>
      <c r="AN413" s="24">
        <v>4.0000000000000001E-3</v>
      </c>
      <c r="AO413" s="25" t="b">
        <v>1</v>
      </c>
      <c r="AP413" s="23" t="s">
        <v>1135</v>
      </c>
      <c r="AQ413" s="25" t="b">
        <v>0</v>
      </c>
      <c r="AR413" s="23"/>
      <c r="AS413" s="23" t="s">
        <v>68</v>
      </c>
    </row>
    <row r="414" spans="1:45" ht="60">
      <c r="A414" s="6">
        <v>405</v>
      </c>
      <c r="B414" s="6" t="s">
        <v>1180</v>
      </c>
      <c r="C414" s="6" t="s">
        <v>1181</v>
      </c>
      <c r="D414" s="6" t="s">
        <v>1126</v>
      </c>
      <c r="E414" s="6" t="s">
        <v>11</v>
      </c>
      <c r="F414" s="9">
        <v>5.5</v>
      </c>
      <c r="G414" s="9">
        <v>5.5</v>
      </c>
      <c r="H414" s="10">
        <v>1561</v>
      </c>
      <c r="I414" s="11">
        <v>0.68</v>
      </c>
      <c r="J414" s="11">
        <v>1.1200000000000001</v>
      </c>
      <c r="K414" s="12">
        <f t="shared" si="36"/>
        <v>3.9205637411915441E-2</v>
      </c>
      <c r="L414" s="12">
        <f t="shared" si="37"/>
        <v>6.4573991031390138E-2</v>
      </c>
      <c r="M414" s="10">
        <v>1</v>
      </c>
      <c r="N414" s="10">
        <v>0</v>
      </c>
      <c r="O414" s="10">
        <v>63</v>
      </c>
      <c r="P414" s="10">
        <v>2.5</v>
      </c>
      <c r="Q414" s="10">
        <v>17</v>
      </c>
      <c r="R414" s="11">
        <v>11.88</v>
      </c>
      <c r="S414" s="6"/>
      <c r="T414" s="6"/>
      <c r="U414" s="6"/>
      <c r="V414" s="7" t="b">
        <v>0</v>
      </c>
      <c r="W414" s="8">
        <f>IFERROR(VLOOKUP(D414,Teams!$B$2:$I$21,6,FALSE),"")</f>
        <v>0</v>
      </c>
      <c r="X414" s="2" t="s">
        <v>65</v>
      </c>
      <c r="Y414" s="13"/>
      <c r="Z414" s="14"/>
      <c r="AA414" s="15">
        <f>IFERROR(H414/(H414+Priors!$G$3),0)</f>
        <v>0.60952752830925416</v>
      </c>
      <c r="AB414" s="16">
        <f>VLOOKUP(E414,Priors!$A$3:$C$6,2,FALSE)</f>
        <v>0.15714383234350468</v>
      </c>
      <c r="AC414" s="16">
        <f>VLOOKUP(E414,Priors!$A$3:$C$6,3,FALSE)</f>
        <v>0.13222062939449797</v>
      </c>
      <c r="AD414" s="12">
        <f t="shared" si="38"/>
        <v>8.5257255893598088E-2</v>
      </c>
      <c r="AE414" s="12">
        <f t="shared" si="39"/>
        <v>9.0988141114602877E-2</v>
      </c>
      <c r="AF414" s="17">
        <v>1</v>
      </c>
      <c r="AG414" s="17">
        <v>1</v>
      </c>
      <c r="AH414" s="16">
        <f>IFERROR(VLOOKUP(D414,Teams!$B$2:$I$21,7,FALSE),1)</f>
        <v>1</v>
      </c>
      <c r="AI414" s="12">
        <f t="shared" si="40"/>
        <v>8.5257255893598088E-2</v>
      </c>
      <c r="AJ414" s="12">
        <f t="shared" si="41"/>
        <v>9.0988141114602877E-2</v>
      </c>
      <c r="AK414" s="6" t="s">
        <v>66</v>
      </c>
      <c r="AL414" s="18"/>
      <c r="AM414" s="23"/>
      <c r="AN414" s="24">
        <v>1E-3</v>
      </c>
      <c r="AO414" s="25" t="b">
        <v>1</v>
      </c>
      <c r="AP414" s="23" t="s">
        <v>460</v>
      </c>
      <c r="AQ414" s="25" t="b">
        <v>0</v>
      </c>
      <c r="AR414" s="23"/>
      <c r="AS414" s="23" t="s">
        <v>68</v>
      </c>
    </row>
    <row r="415" spans="1:45" ht="60">
      <c r="A415" s="6">
        <v>406</v>
      </c>
      <c r="B415" s="6" t="s">
        <v>1182</v>
      </c>
      <c r="C415" s="6" t="s">
        <v>1183</v>
      </c>
      <c r="D415" s="6" t="s">
        <v>1126</v>
      </c>
      <c r="E415" s="6" t="s">
        <v>11</v>
      </c>
      <c r="F415" s="9">
        <v>5.5</v>
      </c>
      <c r="G415" s="9">
        <v>5.5</v>
      </c>
      <c r="H415" s="10">
        <v>125</v>
      </c>
      <c r="I415" s="11">
        <v>0.13</v>
      </c>
      <c r="J415" s="11">
        <v>0.42</v>
      </c>
      <c r="K415" s="12">
        <f t="shared" si="36"/>
        <v>9.3600000000000003E-2</v>
      </c>
      <c r="L415" s="12">
        <f t="shared" si="37"/>
        <v>0.3024</v>
      </c>
      <c r="M415" s="10">
        <v>0</v>
      </c>
      <c r="N415" s="10">
        <v>1</v>
      </c>
      <c r="O415" s="10">
        <v>9</v>
      </c>
      <c r="P415" s="10">
        <v>1.5</v>
      </c>
      <c r="Q415" s="10">
        <v>1</v>
      </c>
      <c r="R415" s="11">
        <v>12.96</v>
      </c>
      <c r="S415" s="6"/>
      <c r="T415" s="6"/>
      <c r="U415" s="6"/>
      <c r="V415" s="7" t="b">
        <v>0</v>
      </c>
      <c r="W415" s="8">
        <f>IFERROR(VLOOKUP(D415,Teams!$B$2:$I$21,6,FALSE),"")</f>
        <v>0</v>
      </c>
      <c r="X415" s="2" t="s">
        <v>65</v>
      </c>
      <c r="Y415" s="13"/>
      <c r="Z415" s="14"/>
      <c r="AA415" s="15">
        <f>IFERROR(H415/(H415+Priors!$G$3),0)</f>
        <v>0.1111111111111111</v>
      </c>
      <c r="AB415" s="16">
        <f>VLOOKUP(E415,Priors!$A$3:$C$6,2,FALSE)</f>
        <v>0.15714383234350468</v>
      </c>
      <c r="AC415" s="16">
        <f>VLOOKUP(E415,Priors!$A$3:$C$6,3,FALSE)</f>
        <v>0.13222062939449797</v>
      </c>
      <c r="AD415" s="12">
        <f t="shared" si="38"/>
        <v>0.15008340652755969</v>
      </c>
      <c r="AE415" s="12">
        <f t="shared" si="39"/>
        <v>0.15112944835066486</v>
      </c>
      <c r="AF415" s="17">
        <v>1</v>
      </c>
      <c r="AG415" s="17">
        <v>1</v>
      </c>
      <c r="AH415" s="16">
        <f>IFERROR(VLOOKUP(D415,Teams!$B$2:$I$21,7,FALSE),1)</f>
        <v>1</v>
      </c>
      <c r="AI415" s="12">
        <f t="shared" si="40"/>
        <v>0.15008340652755969</v>
      </c>
      <c r="AJ415" s="12">
        <f t="shared" si="41"/>
        <v>0.15112944835066486</v>
      </c>
      <c r="AK415" s="6" t="s">
        <v>66</v>
      </c>
      <c r="AL415" s="18"/>
      <c r="AM415" s="23"/>
      <c r="AN415" s="24">
        <v>0</v>
      </c>
      <c r="AO415" s="25" t="b">
        <v>1</v>
      </c>
      <c r="AP415" s="23" t="s">
        <v>1184</v>
      </c>
      <c r="AQ415" s="25" t="b">
        <v>0</v>
      </c>
      <c r="AR415" s="23"/>
      <c r="AS415" s="23" t="s">
        <v>68</v>
      </c>
    </row>
    <row r="416" spans="1:45" ht="60">
      <c r="A416" s="6">
        <v>407</v>
      </c>
      <c r="B416" s="6" t="s">
        <v>1185</v>
      </c>
      <c r="C416" s="6" t="s">
        <v>1186</v>
      </c>
      <c r="D416" s="6" t="s">
        <v>1126</v>
      </c>
      <c r="E416" s="6" t="s">
        <v>11</v>
      </c>
      <c r="F416" s="9">
        <v>5</v>
      </c>
      <c r="G416" s="9">
        <v>5</v>
      </c>
      <c r="H416" s="10">
        <v>0</v>
      </c>
      <c r="I416" s="11">
        <v>0</v>
      </c>
      <c r="J416" s="11">
        <v>0</v>
      </c>
      <c r="K416" s="12">
        <f t="shared" si="36"/>
        <v>0</v>
      </c>
      <c r="L416" s="12">
        <f t="shared" si="37"/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1">
        <v>0</v>
      </c>
      <c r="S416" s="6"/>
      <c r="T416" s="6"/>
      <c r="U416" s="6"/>
      <c r="V416" s="7" t="b">
        <v>0</v>
      </c>
      <c r="W416" s="8">
        <f>IFERROR(VLOOKUP(D416,Teams!$B$2:$I$21,6,FALSE),"")</f>
        <v>0</v>
      </c>
      <c r="X416" s="2" t="s">
        <v>65</v>
      </c>
      <c r="Y416" s="13"/>
      <c r="Z416" s="14"/>
      <c r="AA416" s="15">
        <f>IFERROR(H416/(H416+Priors!$G$3),0)</f>
        <v>0</v>
      </c>
      <c r="AB416" s="16">
        <f>VLOOKUP(E416,Priors!$A$3:$C$6,2,FALSE)</f>
        <v>0.15714383234350468</v>
      </c>
      <c r="AC416" s="16">
        <f>VLOOKUP(E416,Priors!$A$3:$C$6,3,FALSE)</f>
        <v>0.13222062939449797</v>
      </c>
      <c r="AD416" s="12">
        <f t="shared" si="38"/>
        <v>0.15714383234350468</v>
      </c>
      <c r="AE416" s="12">
        <f t="shared" si="39"/>
        <v>0.13222062939449797</v>
      </c>
      <c r="AF416" s="17">
        <v>1</v>
      </c>
      <c r="AG416" s="17">
        <v>1</v>
      </c>
      <c r="AH416" s="16">
        <f>IFERROR(VLOOKUP(D416,Teams!$B$2:$I$21,7,FALSE),1)</f>
        <v>1</v>
      </c>
      <c r="AI416" s="12">
        <f t="shared" si="40"/>
        <v>0.15714383234350468</v>
      </c>
      <c r="AJ416" s="12">
        <f t="shared" si="41"/>
        <v>0.13222062939449797</v>
      </c>
      <c r="AK416" s="6" t="s">
        <v>66</v>
      </c>
      <c r="AL416" s="18"/>
      <c r="AM416" s="23"/>
      <c r="AN416" s="24">
        <v>0</v>
      </c>
      <c r="AO416" s="25" t="b">
        <v>1</v>
      </c>
      <c r="AP416" s="23" t="s">
        <v>1187</v>
      </c>
      <c r="AQ416" s="25" t="b">
        <v>0</v>
      </c>
      <c r="AR416" s="23"/>
      <c r="AS416" s="23" t="s">
        <v>68</v>
      </c>
    </row>
    <row r="417" spans="1:45" ht="60">
      <c r="A417" s="6">
        <v>408</v>
      </c>
      <c r="B417" s="6" t="s">
        <v>829</v>
      </c>
      <c r="C417" s="6" t="s">
        <v>1188</v>
      </c>
      <c r="D417" s="6" t="s">
        <v>1126</v>
      </c>
      <c r="E417" s="6" t="s">
        <v>11</v>
      </c>
      <c r="F417" s="9">
        <v>5</v>
      </c>
      <c r="G417" s="9">
        <v>5</v>
      </c>
      <c r="H417" s="10">
        <v>0</v>
      </c>
      <c r="I417" s="11">
        <v>0</v>
      </c>
      <c r="J417" s="11">
        <v>0</v>
      </c>
      <c r="K417" s="12">
        <f t="shared" si="36"/>
        <v>0</v>
      </c>
      <c r="L417" s="12">
        <f t="shared" si="37"/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1">
        <v>0</v>
      </c>
      <c r="S417" s="6"/>
      <c r="T417" s="6"/>
      <c r="U417" s="6"/>
      <c r="V417" s="7" t="b">
        <v>0</v>
      </c>
      <c r="W417" s="8">
        <f>IFERROR(VLOOKUP(D417,Teams!$B$2:$I$21,6,FALSE),"")</f>
        <v>0</v>
      </c>
      <c r="X417" s="2" t="s">
        <v>65</v>
      </c>
      <c r="Y417" s="13"/>
      <c r="Z417" s="14"/>
      <c r="AA417" s="15">
        <f>IFERROR(H417/(H417+Priors!$G$3),0)</f>
        <v>0</v>
      </c>
      <c r="AB417" s="16">
        <f>VLOOKUP(E417,Priors!$A$3:$C$6,2,FALSE)</f>
        <v>0.15714383234350468</v>
      </c>
      <c r="AC417" s="16">
        <f>VLOOKUP(E417,Priors!$A$3:$C$6,3,FALSE)</f>
        <v>0.13222062939449797</v>
      </c>
      <c r="AD417" s="12">
        <f t="shared" si="38"/>
        <v>0.15714383234350468</v>
      </c>
      <c r="AE417" s="12">
        <f t="shared" si="39"/>
        <v>0.13222062939449797</v>
      </c>
      <c r="AF417" s="17">
        <v>1</v>
      </c>
      <c r="AG417" s="17">
        <v>1</v>
      </c>
      <c r="AH417" s="16">
        <f>IFERROR(VLOOKUP(D417,Teams!$B$2:$I$21,7,FALSE),1)</f>
        <v>1</v>
      </c>
      <c r="AI417" s="12">
        <f t="shared" si="40"/>
        <v>0.15714383234350468</v>
      </c>
      <c r="AJ417" s="12">
        <f t="shared" si="41"/>
        <v>0.13222062939449797</v>
      </c>
      <c r="AK417" s="6" t="s">
        <v>66</v>
      </c>
      <c r="AL417" s="18"/>
      <c r="AM417" s="23"/>
      <c r="AN417" s="24">
        <v>0</v>
      </c>
      <c r="AO417" s="25" t="b">
        <v>1</v>
      </c>
      <c r="AP417" s="23" t="s">
        <v>147</v>
      </c>
      <c r="AQ417" s="25" t="b">
        <v>0</v>
      </c>
      <c r="AR417" s="23"/>
      <c r="AS417" s="23" t="s">
        <v>68</v>
      </c>
    </row>
    <row r="418" spans="1:45" ht="60">
      <c r="A418" s="6">
        <v>409</v>
      </c>
      <c r="B418" s="6" t="s">
        <v>1189</v>
      </c>
      <c r="C418" s="6" t="s">
        <v>1190</v>
      </c>
      <c r="D418" s="6" t="s">
        <v>1126</v>
      </c>
      <c r="E418" s="6" t="s">
        <v>11</v>
      </c>
      <c r="F418" s="9">
        <v>4.5</v>
      </c>
      <c r="G418" s="9">
        <v>4.5</v>
      </c>
      <c r="H418" s="10">
        <v>25</v>
      </c>
      <c r="I418" s="11">
        <v>0</v>
      </c>
      <c r="J418" s="11">
        <v>0.21</v>
      </c>
      <c r="K418" s="12">
        <f t="shared" si="36"/>
        <v>0</v>
      </c>
      <c r="L418" s="12">
        <f t="shared" si="37"/>
        <v>0.75599999999999989</v>
      </c>
      <c r="M418" s="10">
        <v>0</v>
      </c>
      <c r="N418" s="10">
        <v>0</v>
      </c>
      <c r="O418" s="10">
        <v>2</v>
      </c>
      <c r="P418" s="10">
        <v>1</v>
      </c>
      <c r="Q418" s="10">
        <v>0</v>
      </c>
      <c r="R418" s="11">
        <v>3.6</v>
      </c>
      <c r="S418" s="6"/>
      <c r="T418" s="6"/>
      <c r="U418" s="6"/>
      <c r="V418" s="7" t="b">
        <v>1</v>
      </c>
      <c r="W418" s="8">
        <f>IFERROR(VLOOKUP(D418,Teams!$B$2:$I$21,6,FALSE),"")</f>
        <v>0</v>
      </c>
      <c r="X418" s="2" t="s">
        <v>65</v>
      </c>
      <c r="Y418" s="13"/>
      <c r="Z418" s="14"/>
      <c r="AA418" s="15">
        <f>IFERROR(H418/(H418+Priors!$G$3),0)</f>
        <v>2.4390243902439025E-2</v>
      </c>
      <c r="AB418" s="16">
        <f>VLOOKUP(E418,Priors!$A$3:$C$6,2,FALSE)</f>
        <v>0.15714383234350468</v>
      </c>
      <c r="AC418" s="16">
        <f>VLOOKUP(E418,Priors!$A$3:$C$6,3,FALSE)</f>
        <v>0.13222062939449797</v>
      </c>
      <c r="AD418" s="12">
        <f t="shared" si="38"/>
        <v>0.15331105594488262</v>
      </c>
      <c r="AE418" s="12">
        <f t="shared" si="39"/>
        <v>0.14743476038487605</v>
      </c>
      <c r="AF418" s="17">
        <v>1</v>
      </c>
      <c r="AG418" s="17">
        <v>1</v>
      </c>
      <c r="AH418" s="16">
        <f>IFERROR(VLOOKUP(D418,Teams!$B$2:$I$21,7,FALSE),1)</f>
        <v>1</v>
      </c>
      <c r="AI418" s="12">
        <f t="shared" si="40"/>
        <v>0.15331105594488262</v>
      </c>
      <c r="AJ418" s="12">
        <f t="shared" si="41"/>
        <v>0.14743476038487605</v>
      </c>
      <c r="AK418" s="6" t="s">
        <v>66</v>
      </c>
      <c r="AL418" s="18"/>
      <c r="AM418" s="23"/>
      <c r="AN418" s="24">
        <v>1E-3</v>
      </c>
      <c r="AO418" s="25" t="b">
        <v>1</v>
      </c>
      <c r="AP418" s="23" t="s">
        <v>65</v>
      </c>
      <c r="AQ418" s="25" t="b">
        <v>0</v>
      </c>
      <c r="AR418" s="23"/>
      <c r="AS418" s="23" t="s">
        <v>68</v>
      </c>
    </row>
    <row r="419" spans="1:45" ht="60">
      <c r="A419" s="6">
        <v>410</v>
      </c>
      <c r="B419" s="6" t="s">
        <v>1191</v>
      </c>
      <c r="C419" s="6" t="s">
        <v>1192</v>
      </c>
      <c r="D419" s="6" t="s">
        <v>1126</v>
      </c>
      <c r="E419" s="6" t="s">
        <v>11</v>
      </c>
      <c r="F419" s="9">
        <v>5</v>
      </c>
      <c r="G419" s="9">
        <v>5</v>
      </c>
      <c r="H419" s="10">
        <v>0</v>
      </c>
      <c r="I419" s="11">
        <v>0</v>
      </c>
      <c r="J419" s="11">
        <v>0</v>
      </c>
      <c r="K419" s="12">
        <f t="shared" si="36"/>
        <v>0</v>
      </c>
      <c r="L419" s="12">
        <f t="shared" si="37"/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1">
        <v>0</v>
      </c>
      <c r="S419" s="6"/>
      <c r="T419" s="6"/>
      <c r="U419" s="6"/>
      <c r="V419" s="7" t="b">
        <v>1</v>
      </c>
      <c r="W419" s="8">
        <f>IFERROR(VLOOKUP(D419,Teams!$B$2:$I$21,6,FALSE),"")</f>
        <v>0</v>
      </c>
      <c r="X419" s="2" t="s">
        <v>65</v>
      </c>
      <c r="Y419" s="13"/>
      <c r="Z419" s="14"/>
      <c r="AA419" s="15">
        <f>IFERROR(H419/(H419+Priors!$G$3),0)</f>
        <v>0</v>
      </c>
      <c r="AB419" s="16">
        <f>VLOOKUP(E419,Priors!$A$3:$C$6,2,FALSE)</f>
        <v>0.15714383234350468</v>
      </c>
      <c r="AC419" s="16">
        <f>VLOOKUP(E419,Priors!$A$3:$C$6,3,FALSE)</f>
        <v>0.13222062939449797</v>
      </c>
      <c r="AD419" s="12">
        <f t="shared" si="38"/>
        <v>0.15714383234350468</v>
      </c>
      <c r="AE419" s="12">
        <f t="shared" si="39"/>
        <v>0.13222062939449797</v>
      </c>
      <c r="AF419" s="17">
        <v>1</v>
      </c>
      <c r="AG419" s="17">
        <v>1</v>
      </c>
      <c r="AH419" s="16">
        <f>IFERROR(VLOOKUP(D419,Teams!$B$2:$I$21,7,FALSE),1)</f>
        <v>1</v>
      </c>
      <c r="AI419" s="12">
        <f t="shared" si="40"/>
        <v>0.15714383234350468</v>
      </c>
      <c r="AJ419" s="12">
        <f t="shared" si="41"/>
        <v>0.13222062939449797</v>
      </c>
      <c r="AK419" s="6" t="s">
        <v>66</v>
      </c>
      <c r="AL419" s="18"/>
      <c r="AM419" s="23"/>
      <c r="AN419" s="24">
        <v>0</v>
      </c>
      <c r="AO419" s="25" t="b">
        <v>1</v>
      </c>
      <c r="AP419" s="23" t="s">
        <v>619</v>
      </c>
      <c r="AQ419" s="25" t="b">
        <v>0</v>
      </c>
      <c r="AR419" s="23"/>
      <c r="AS419" s="23" t="s">
        <v>68</v>
      </c>
    </row>
    <row r="420" spans="1:45" ht="60">
      <c r="A420" s="6">
        <v>411</v>
      </c>
      <c r="B420" s="6" t="s">
        <v>1193</v>
      </c>
      <c r="C420" s="6" t="s">
        <v>1194</v>
      </c>
      <c r="D420" s="6" t="s">
        <v>1126</v>
      </c>
      <c r="E420" s="6" t="s">
        <v>14</v>
      </c>
      <c r="F420" s="9">
        <v>15.5</v>
      </c>
      <c r="G420" s="9">
        <v>15.5</v>
      </c>
      <c r="H420" s="10">
        <v>2953</v>
      </c>
      <c r="I420" s="11">
        <v>25.5</v>
      </c>
      <c r="J420" s="11">
        <v>2.67</v>
      </c>
      <c r="K420" s="12">
        <f t="shared" si="36"/>
        <v>0.77717575347104639</v>
      </c>
      <c r="L420" s="12">
        <f t="shared" si="37"/>
        <v>8.1374873010497797E-2</v>
      </c>
      <c r="M420" s="10">
        <v>27</v>
      </c>
      <c r="N420" s="10">
        <v>8</v>
      </c>
      <c r="O420" s="10">
        <v>239</v>
      </c>
      <c r="P420" s="10">
        <v>6.8</v>
      </c>
      <c r="Q420" s="10">
        <v>34</v>
      </c>
      <c r="R420" s="11">
        <v>3.17</v>
      </c>
      <c r="S420" s="6">
        <v>1</v>
      </c>
      <c r="T420" s="6"/>
      <c r="U420" s="6"/>
      <c r="V420" s="7" t="b">
        <v>0</v>
      </c>
      <c r="W420" s="8">
        <f>IFERROR(VLOOKUP(D420,Teams!$B$2:$I$21,6,FALSE),"")</f>
        <v>0</v>
      </c>
      <c r="X420" s="2" t="s">
        <v>65</v>
      </c>
      <c r="Y420" s="13"/>
      <c r="Z420" s="14"/>
      <c r="AA420" s="15">
        <f>IFERROR(H420/(H420+Priors!$G$3),0)</f>
        <v>0.74702757399443465</v>
      </c>
      <c r="AB420" s="16">
        <f>VLOOKUP(E420,Priors!$A$3:$C$6,2,FALSE)</f>
        <v>0.44625207326425426</v>
      </c>
      <c r="AC420" s="16">
        <f>VLOOKUP(E420,Priors!$A$3:$C$6,3,FALSE)</f>
        <v>5.8217260259314105E-2</v>
      </c>
      <c r="AD420" s="12">
        <f t="shared" si="38"/>
        <v>0.69346118726644423</v>
      </c>
      <c r="AE420" s="12">
        <f t="shared" si="39"/>
        <v>7.551663553233344E-2</v>
      </c>
      <c r="AF420" s="17">
        <v>1</v>
      </c>
      <c r="AG420" s="17">
        <v>1</v>
      </c>
      <c r="AH420" s="16">
        <f>IFERROR(VLOOKUP(D420,Teams!$B$2:$I$21,7,FALSE),1)</f>
        <v>1</v>
      </c>
      <c r="AI420" s="12">
        <f t="shared" si="40"/>
        <v>0.69346118726644423</v>
      </c>
      <c r="AJ420" s="12">
        <f t="shared" si="41"/>
        <v>7.551663553233344E-2</v>
      </c>
      <c r="AK420" s="6" t="s">
        <v>66</v>
      </c>
      <c r="AL420" s="18"/>
      <c r="AM420" s="23"/>
      <c r="AN420" s="24">
        <v>0.75</v>
      </c>
      <c r="AO420" s="25" t="b">
        <v>1</v>
      </c>
      <c r="AP420" s="23" t="s">
        <v>507</v>
      </c>
      <c r="AQ420" s="25" t="b">
        <v>1</v>
      </c>
      <c r="AR420" s="23"/>
      <c r="AS420" s="23" t="s">
        <v>68</v>
      </c>
    </row>
    <row r="421" spans="1:45" ht="60">
      <c r="A421" s="6">
        <v>481</v>
      </c>
      <c r="B421" s="6" t="s">
        <v>1195</v>
      </c>
      <c r="C421" s="6" t="s">
        <v>1196</v>
      </c>
      <c r="D421" s="6" t="s">
        <v>1126</v>
      </c>
      <c r="E421" s="6" t="s">
        <v>11</v>
      </c>
      <c r="F421" s="9">
        <v>6.5</v>
      </c>
      <c r="G421" s="9">
        <v>6.5</v>
      </c>
      <c r="H421" s="10">
        <v>3332</v>
      </c>
      <c r="I421" s="11">
        <v>2.94</v>
      </c>
      <c r="J421" s="11">
        <v>4.79</v>
      </c>
      <c r="K421" s="12">
        <f t="shared" si="36"/>
        <v>7.9411764705882362E-2</v>
      </c>
      <c r="L421" s="12">
        <f t="shared" si="37"/>
        <v>0.12938175270108043</v>
      </c>
      <c r="M421" s="10">
        <v>4</v>
      </c>
      <c r="N421" s="10">
        <v>5</v>
      </c>
      <c r="O421" s="10">
        <v>180</v>
      </c>
      <c r="P421" s="10">
        <v>4.7</v>
      </c>
      <c r="Q421" s="10">
        <v>37</v>
      </c>
      <c r="R421" s="11">
        <v>13.91</v>
      </c>
      <c r="S421" s="6"/>
      <c r="T421" s="6"/>
      <c r="U421" s="6"/>
      <c r="V421" s="7" t="b">
        <v>1</v>
      </c>
      <c r="W421" s="8">
        <f>IFERROR(VLOOKUP(D421,Teams!$B$2:$I$21,6,FALSE),"")</f>
        <v>0</v>
      </c>
      <c r="X421" s="2" t="s">
        <v>65</v>
      </c>
      <c r="Y421" s="13"/>
      <c r="Z421" s="14"/>
      <c r="AA421" s="15">
        <f>IFERROR(H421/(H421+Priors!$G$3),0)</f>
        <v>0.76915974145891042</v>
      </c>
      <c r="AB421" s="16">
        <f>VLOOKUP(E421,Priors!$A$3:$C$6,2,FALSE)</f>
        <v>0.15714383234350468</v>
      </c>
      <c r="AC421" s="16">
        <f>VLOOKUP(E421,Priors!$A$3:$C$6,3,FALSE)</f>
        <v>0.13222062939449797</v>
      </c>
      <c r="AD421" s="12">
        <f t="shared" si="38"/>
        <v>9.735545529628456E-2</v>
      </c>
      <c r="AE421" s="12">
        <f t="shared" si="39"/>
        <v>0.13003707973095521</v>
      </c>
      <c r="AF421" s="17">
        <v>1</v>
      </c>
      <c r="AG421" s="17">
        <v>1</v>
      </c>
      <c r="AH421" s="16">
        <f>IFERROR(VLOOKUP(D421,Teams!$B$2:$I$21,7,FALSE),1)</f>
        <v>1</v>
      </c>
      <c r="AI421" s="12">
        <f t="shared" si="40"/>
        <v>9.735545529628456E-2</v>
      </c>
      <c r="AJ421" s="12">
        <f t="shared" si="41"/>
        <v>0.13003707973095521</v>
      </c>
      <c r="AK421" s="6" t="s">
        <v>66</v>
      </c>
      <c r="AL421" s="18"/>
      <c r="AM421" s="23"/>
      <c r="AN421" s="24">
        <v>0.11800000000000001</v>
      </c>
      <c r="AO421" s="25" t="b">
        <v>1</v>
      </c>
      <c r="AP421" s="23" t="s">
        <v>415</v>
      </c>
      <c r="AQ421" s="25" t="b">
        <v>0</v>
      </c>
      <c r="AR421" s="23"/>
      <c r="AS421" s="23" t="s">
        <v>68</v>
      </c>
    </row>
    <row r="422" spans="1:45" ht="60">
      <c r="A422" s="6">
        <v>43</v>
      </c>
      <c r="B422" s="6" t="s">
        <v>1197</v>
      </c>
      <c r="C422" s="6" t="s">
        <v>1198</v>
      </c>
      <c r="D422" s="6" t="s">
        <v>1199</v>
      </c>
      <c r="E422" s="6" t="s">
        <v>11</v>
      </c>
      <c r="F422" s="9">
        <v>6</v>
      </c>
      <c r="G422" s="9">
        <v>6</v>
      </c>
      <c r="H422" s="10">
        <v>1857</v>
      </c>
      <c r="I422" s="11">
        <v>1.1399999999999999</v>
      </c>
      <c r="J422" s="11">
        <v>3.26</v>
      </c>
      <c r="K422" s="12">
        <f t="shared" si="36"/>
        <v>5.525040387722132E-2</v>
      </c>
      <c r="L422" s="12">
        <f t="shared" si="37"/>
        <v>0.15799676898222939</v>
      </c>
      <c r="M422" s="10">
        <v>0</v>
      </c>
      <c r="N422" s="10">
        <v>4</v>
      </c>
      <c r="O422" s="10">
        <v>68</v>
      </c>
      <c r="P422" s="10">
        <v>2.7</v>
      </c>
      <c r="Q422" s="10">
        <v>21</v>
      </c>
      <c r="R422" s="11">
        <v>9.84</v>
      </c>
      <c r="S422" s="6">
        <v>3</v>
      </c>
      <c r="T422" s="6"/>
      <c r="U422" s="6"/>
      <c r="V422" s="7" t="b">
        <v>1</v>
      </c>
      <c r="W422" s="8">
        <f>IFERROR(VLOOKUP(D422,Teams!$B$2:$I$21,6,FALSE),"")</f>
        <v>0</v>
      </c>
      <c r="X422" s="2" t="s">
        <v>65</v>
      </c>
      <c r="Y422" s="13"/>
      <c r="Z422" s="14"/>
      <c r="AA422" s="15">
        <f>IFERROR(H422/(H422+Priors!$G$3),0)</f>
        <v>0.6499824991249562</v>
      </c>
      <c r="AB422" s="16">
        <f>VLOOKUP(E422,Priors!$A$3:$C$6,2,FALSE)</f>
        <v>0.15714383234350468</v>
      </c>
      <c r="AC422" s="16">
        <f>VLOOKUP(E422,Priors!$A$3:$C$6,3,FALSE)</f>
        <v>0.13222062939449797</v>
      </c>
      <c r="AD422" s="12">
        <f t="shared" si="38"/>
        <v>9.0914887064579869E-2</v>
      </c>
      <c r="AE422" s="12">
        <f t="shared" si="39"/>
        <v>0.14897466902152534</v>
      </c>
      <c r="AF422" s="17">
        <v>1</v>
      </c>
      <c r="AG422" s="17">
        <v>1</v>
      </c>
      <c r="AH422" s="16">
        <f>IFERROR(VLOOKUP(D422,Teams!$B$2:$I$21,7,FALSE),1)</f>
        <v>1</v>
      </c>
      <c r="AI422" s="12">
        <f t="shared" si="40"/>
        <v>9.0914887064579869E-2</v>
      </c>
      <c r="AJ422" s="12">
        <f t="shared" si="41"/>
        <v>0.14897466902152534</v>
      </c>
      <c r="AK422" s="6" t="s">
        <v>204</v>
      </c>
      <c r="AL422" s="18">
        <v>75</v>
      </c>
      <c r="AM422" s="23" t="s">
        <v>556</v>
      </c>
      <c r="AN422" s="24">
        <v>9.0000000000000011E-3</v>
      </c>
      <c r="AO422" s="25" t="b">
        <v>1</v>
      </c>
      <c r="AP422" s="23" t="s">
        <v>306</v>
      </c>
      <c r="AQ422" s="25" t="b">
        <v>0</v>
      </c>
      <c r="AR422" s="23"/>
      <c r="AS422" s="23" t="s">
        <v>68</v>
      </c>
    </row>
    <row r="423" spans="1:45" ht="60">
      <c r="A423" s="6">
        <v>162</v>
      </c>
      <c r="B423" s="6" t="s">
        <v>1200</v>
      </c>
      <c r="C423" s="6" t="s">
        <v>1200</v>
      </c>
      <c r="D423" s="6" t="s">
        <v>1199</v>
      </c>
      <c r="E423" s="6" t="s">
        <v>11</v>
      </c>
      <c r="F423" s="9">
        <v>5</v>
      </c>
      <c r="G423" s="9">
        <v>5</v>
      </c>
      <c r="H423" s="10">
        <v>1247</v>
      </c>
      <c r="I423" s="11">
        <v>2</v>
      </c>
      <c r="J423" s="11">
        <v>0.88</v>
      </c>
      <c r="K423" s="12">
        <f t="shared" si="36"/>
        <v>0.14434643143544507</v>
      </c>
      <c r="L423" s="12">
        <f t="shared" si="37"/>
        <v>6.3512429831595829E-2</v>
      </c>
      <c r="M423" s="10">
        <v>1</v>
      </c>
      <c r="N423" s="10">
        <v>0</v>
      </c>
      <c r="O423" s="10">
        <v>47</v>
      </c>
      <c r="P423" s="10">
        <v>1.7</v>
      </c>
      <c r="Q423" s="10">
        <v>13</v>
      </c>
      <c r="R423" s="11">
        <v>9.31</v>
      </c>
      <c r="S423" s="6"/>
      <c r="T423" s="6"/>
      <c r="U423" s="6"/>
      <c r="V423" s="7" t="b">
        <v>1</v>
      </c>
      <c r="W423" s="8">
        <f>IFERROR(VLOOKUP(D423,Teams!$B$2:$I$21,6,FALSE),"")</f>
        <v>0</v>
      </c>
      <c r="X423" s="2" t="s">
        <v>65</v>
      </c>
      <c r="Y423" s="13"/>
      <c r="Z423" s="14"/>
      <c r="AA423" s="15">
        <f>IFERROR(H423/(H423+Priors!$G$3),0)</f>
        <v>0.55496217178460172</v>
      </c>
      <c r="AB423" s="16">
        <f>VLOOKUP(E423,Priors!$A$3:$C$6,2,FALSE)</f>
        <v>0.15714383234350468</v>
      </c>
      <c r="AC423" s="16">
        <f>VLOOKUP(E423,Priors!$A$3:$C$6,3,FALSE)</f>
        <v>0.13222062939449797</v>
      </c>
      <c r="AD423" s="12">
        <f t="shared" si="38"/>
        <v>0.15004175894236968</v>
      </c>
      <c r="AE423" s="12">
        <f t="shared" si="39"/>
        <v>9.4090177745659975E-2</v>
      </c>
      <c r="AF423" s="17">
        <v>1</v>
      </c>
      <c r="AG423" s="17">
        <v>1</v>
      </c>
      <c r="AH423" s="16">
        <f>IFERROR(VLOOKUP(D423,Teams!$B$2:$I$21,7,FALSE),1)</f>
        <v>1</v>
      </c>
      <c r="AI423" s="12">
        <f t="shared" si="40"/>
        <v>0.15004175894236968</v>
      </c>
      <c r="AJ423" s="12">
        <f t="shared" si="41"/>
        <v>9.4090177745659975E-2</v>
      </c>
      <c r="AK423" s="6" t="s">
        <v>66</v>
      </c>
      <c r="AL423" s="18"/>
      <c r="AM423" s="23"/>
      <c r="AN423" s="24">
        <v>1.4999999999999999E-2</v>
      </c>
      <c r="AO423" s="25" t="b">
        <v>1</v>
      </c>
      <c r="AP423" s="23" t="s">
        <v>1201</v>
      </c>
      <c r="AQ423" s="25" t="b">
        <v>0</v>
      </c>
      <c r="AR423" s="23"/>
      <c r="AS423" s="23" t="s">
        <v>68</v>
      </c>
    </row>
    <row r="424" spans="1:45" ht="60">
      <c r="A424" s="6">
        <v>325</v>
      </c>
      <c r="B424" s="6" t="s">
        <v>1202</v>
      </c>
      <c r="C424" s="6" t="s">
        <v>1203</v>
      </c>
      <c r="D424" s="6" t="s">
        <v>1199</v>
      </c>
      <c r="E424" s="6" t="s">
        <v>7</v>
      </c>
      <c r="F424" s="9">
        <v>4.5</v>
      </c>
      <c r="G424" s="9">
        <v>4.5</v>
      </c>
      <c r="H424" s="10">
        <v>1980</v>
      </c>
      <c r="I424" s="11">
        <v>0</v>
      </c>
      <c r="J424" s="11">
        <v>0.05</v>
      </c>
      <c r="K424" s="12">
        <f t="shared" si="36"/>
        <v>0</v>
      </c>
      <c r="L424" s="12">
        <f t="shared" si="37"/>
        <v>2.2727272727272726E-3</v>
      </c>
      <c r="M424" s="10">
        <v>0</v>
      </c>
      <c r="N424" s="10">
        <v>0</v>
      </c>
      <c r="O424" s="10">
        <v>71</v>
      </c>
      <c r="P424" s="10">
        <v>3.2</v>
      </c>
      <c r="Q424" s="10">
        <v>22</v>
      </c>
      <c r="R424" s="11">
        <v>0</v>
      </c>
      <c r="S424" s="6"/>
      <c r="T424" s="6"/>
      <c r="U424" s="6"/>
      <c r="V424" s="7" t="b">
        <v>1</v>
      </c>
      <c r="W424" s="8">
        <f>IFERROR(VLOOKUP(D424,Teams!$B$2:$I$21,6,FALSE),"")</f>
        <v>0</v>
      </c>
      <c r="X424" s="2" t="s">
        <v>65</v>
      </c>
      <c r="Y424" s="13"/>
      <c r="Z424" s="14"/>
      <c r="AA424" s="15">
        <f>IFERROR(H424/(H424+Priors!$G$3),0)</f>
        <v>0.66442953020134232</v>
      </c>
      <c r="AB424" s="16">
        <f>VLOOKUP(E424,Priors!$A$3:$C$6,2,FALSE)</f>
        <v>2.4013207263995197E-4</v>
      </c>
      <c r="AC424" s="16">
        <f>VLOOKUP(E424,Priors!$A$3:$C$6,3,FALSE)</f>
        <v>1.9810895992796044E-3</v>
      </c>
      <c r="AD424" s="12">
        <f t="shared" si="38"/>
        <v>8.0581232429514078E-5</v>
      </c>
      <c r="AE424" s="12">
        <f t="shared" si="39"/>
        <v>2.1748622816374508E-3</v>
      </c>
      <c r="AF424" s="17">
        <v>1</v>
      </c>
      <c r="AG424" s="17">
        <v>1</v>
      </c>
      <c r="AH424" s="16">
        <f>IFERROR(VLOOKUP(D424,Teams!$B$2:$I$21,7,FALSE),1)</f>
        <v>1</v>
      </c>
      <c r="AI424" s="12">
        <f t="shared" si="40"/>
        <v>8.0581232429514078E-5</v>
      </c>
      <c r="AJ424" s="12">
        <f t="shared" si="41"/>
        <v>2.1748622816374508E-3</v>
      </c>
      <c r="AK424" s="6" t="s">
        <v>204</v>
      </c>
      <c r="AL424" s="18">
        <v>75</v>
      </c>
      <c r="AM424" s="23" t="s">
        <v>543</v>
      </c>
      <c r="AN424" s="24">
        <v>1E-3</v>
      </c>
      <c r="AO424" s="25" t="b">
        <v>1</v>
      </c>
      <c r="AP424" s="23" t="s">
        <v>1204</v>
      </c>
      <c r="AQ424" s="25" t="b">
        <v>0</v>
      </c>
      <c r="AR424" s="23"/>
      <c r="AS424" s="23" t="s">
        <v>68</v>
      </c>
    </row>
    <row r="425" spans="1:45" ht="60">
      <c r="A425" s="6">
        <v>412</v>
      </c>
      <c r="B425" s="6" t="s">
        <v>1205</v>
      </c>
      <c r="C425" s="6" t="s">
        <v>1206</v>
      </c>
      <c r="D425" s="6" t="s">
        <v>1199</v>
      </c>
      <c r="E425" s="6" t="s">
        <v>7</v>
      </c>
      <c r="F425" s="9">
        <v>5</v>
      </c>
      <c r="G425" s="9">
        <v>5</v>
      </c>
      <c r="H425" s="10">
        <v>2880</v>
      </c>
      <c r="I425" s="11">
        <v>0</v>
      </c>
      <c r="J425" s="11">
        <v>0</v>
      </c>
      <c r="K425" s="12">
        <f t="shared" si="36"/>
        <v>0</v>
      </c>
      <c r="L425" s="12">
        <f t="shared" si="37"/>
        <v>0</v>
      </c>
      <c r="M425" s="10">
        <v>0</v>
      </c>
      <c r="N425" s="10">
        <v>0</v>
      </c>
      <c r="O425" s="10">
        <v>109</v>
      </c>
      <c r="P425" s="10">
        <v>3.4</v>
      </c>
      <c r="Q425" s="10">
        <v>32</v>
      </c>
      <c r="R425" s="11">
        <v>0</v>
      </c>
      <c r="S425" s="6"/>
      <c r="T425" s="6"/>
      <c r="U425" s="6"/>
      <c r="V425" s="7" t="b">
        <v>0</v>
      </c>
      <c r="W425" s="8">
        <f>IFERROR(VLOOKUP(D425,Teams!$B$2:$I$21,6,FALSE),"")</f>
        <v>0</v>
      </c>
      <c r="X425" s="2" t="s">
        <v>65</v>
      </c>
      <c r="Y425" s="13"/>
      <c r="Z425" s="14"/>
      <c r="AA425" s="15">
        <f>IFERROR(H425/(H425+Priors!$G$3),0)</f>
        <v>0.74226804123711343</v>
      </c>
      <c r="AB425" s="16">
        <f>VLOOKUP(E425,Priors!$A$3:$C$6,2,FALSE)</f>
        <v>2.4013207263995197E-4</v>
      </c>
      <c r="AC425" s="16">
        <f>VLOOKUP(E425,Priors!$A$3:$C$6,3,FALSE)</f>
        <v>1.9810895992796044E-3</v>
      </c>
      <c r="AD425" s="12">
        <f t="shared" si="38"/>
        <v>6.1889709443286578E-5</v>
      </c>
      <c r="AE425" s="12">
        <f t="shared" si="39"/>
        <v>5.1059010290711447E-4</v>
      </c>
      <c r="AF425" s="17">
        <v>1</v>
      </c>
      <c r="AG425" s="17">
        <v>1</v>
      </c>
      <c r="AH425" s="16">
        <f>IFERROR(VLOOKUP(D425,Teams!$B$2:$I$21,7,FALSE),1)</f>
        <v>1</v>
      </c>
      <c r="AI425" s="12">
        <f t="shared" si="40"/>
        <v>6.1889709443286578E-5</v>
      </c>
      <c r="AJ425" s="12">
        <f t="shared" si="41"/>
        <v>5.1059010290711447E-4</v>
      </c>
      <c r="AK425" s="6" t="s">
        <v>66</v>
      </c>
      <c r="AL425" s="18"/>
      <c r="AM425" s="23"/>
      <c r="AN425" s="24">
        <v>0.20199999999999999</v>
      </c>
      <c r="AO425" s="25" t="b">
        <v>1</v>
      </c>
      <c r="AP425" s="23" t="s">
        <v>181</v>
      </c>
      <c r="AQ425" s="25" t="b">
        <v>0</v>
      </c>
      <c r="AR425" s="23"/>
      <c r="AS425" s="23" t="s">
        <v>68</v>
      </c>
    </row>
    <row r="426" spans="1:45" ht="60">
      <c r="A426" s="6">
        <v>413</v>
      </c>
      <c r="B426" s="6" t="s">
        <v>1207</v>
      </c>
      <c r="C426" s="6" t="s">
        <v>1208</v>
      </c>
      <c r="D426" s="6" t="s">
        <v>1199</v>
      </c>
      <c r="E426" s="6" t="s">
        <v>7</v>
      </c>
      <c r="F426" s="9">
        <v>4.5</v>
      </c>
      <c r="G426" s="9">
        <v>4.5</v>
      </c>
      <c r="H426" s="10">
        <v>540</v>
      </c>
      <c r="I426" s="11">
        <v>0</v>
      </c>
      <c r="J426" s="11">
        <v>0.05</v>
      </c>
      <c r="K426" s="12">
        <f t="shared" si="36"/>
        <v>0</v>
      </c>
      <c r="L426" s="12">
        <f t="shared" si="37"/>
        <v>8.3333333333333332E-3</v>
      </c>
      <c r="M426" s="10">
        <v>0</v>
      </c>
      <c r="N426" s="10">
        <v>0</v>
      </c>
      <c r="O426" s="10">
        <v>11</v>
      </c>
      <c r="P426" s="10">
        <v>1.8</v>
      </c>
      <c r="Q426" s="10">
        <v>6</v>
      </c>
      <c r="R426" s="11">
        <v>0</v>
      </c>
      <c r="S426" s="6"/>
      <c r="T426" s="6"/>
      <c r="U426" s="6"/>
      <c r="V426" s="7" t="b">
        <v>0</v>
      </c>
      <c r="W426" s="8">
        <f>IFERROR(VLOOKUP(D426,Teams!$B$2:$I$21,6,FALSE),"")</f>
        <v>0</v>
      </c>
      <c r="X426" s="2" t="s">
        <v>65</v>
      </c>
      <c r="Y426" s="13"/>
      <c r="Z426" s="14"/>
      <c r="AA426" s="15">
        <f>IFERROR(H426/(H426+Priors!$G$3),0)</f>
        <v>0.35064935064935066</v>
      </c>
      <c r="AB426" s="16">
        <f>VLOOKUP(E426,Priors!$A$3:$C$6,2,FALSE)</f>
        <v>2.4013207263995197E-4</v>
      </c>
      <c r="AC426" s="16">
        <f>VLOOKUP(E426,Priors!$A$3:$C$6,3,FALSE)</f>
        <v>1.9810895992796044E-3</v>
      </c>
      <c r="AD426" s="12">
        <f t="shared" si="38"/>
        <v>1.5592991729867012E-4</v>
      </c>
      <c r="AE426" s="12">
        <f t="shared" si="39"/>
        <v>4.2084997397919509E-3</v>
      </c>
      <c r="AF426" s="17">
        <v>1</v>
      </c>
      <c r="AG426" s="17">
        <v>1</v>
      </c>
      <c r="AH426" s="16">
        <f>IFERROR(VLOOKUP(D426,Teams!$B$2:$I$21,7,FALSE),1)</f>
        <v>1</v>
      </c>
      <c r="AI426" s="12">
        <f t="shared" si="40"/>
        <v>1.5592991729867012E-4</v>
      </c>
      <c r="AJ426" s="12">
        <f t="shared" si="41"/>
        <v>4.2084997397919509E-3</v>
      </c>
      <c r="AK426" s="6" t="s">
        <v>66</v>
      </c>
      <c r="AL426" s="18"/>
      <c r="AM426" s="23"/>
      <c r="AN426" s="24">
        <v>2E-3</v>
      </c>
      <c r="AO426" s="25" t="b">
        <v>1</v>
      </c>
      <c r="AP426" s="23" t="s">
        <v>521</v>
      </c>
      <c r="AQ426" s="25" t="b">
        <v>0</v>
      </c>
      <c r="AR426" s="23"/>
      <c r="AS426" s="23" t="s">
        <v>68</v>
      </c>
    </row>
    <row r="427" spans="1:45" ht="60">
      <c r="A427" s="6">
        <v>414</v>
      </c>
      <c r="B427" s="6" t="s">
        <v>1209</v>
      </c>
      <c r="C427" s="6" t="s">
        <v>1210</v>
      </c>
      <c r="D427" s="6" t="s">
        <v>1199</v>
      </c>
      <c r="E427" s="6" t="s">
        <v>7</v>
      </c>
      <c r="F427" s="9">
        <v>4</v>
      </c>
      <c r="G427" s="9">
        <v>4</v>
      </c>
      <c r="H427" s="10">
        <v>0</v>
      </c>
      <c r="I427" s="11">
        <v>0</v>
      </c>
      <c r="J427" s="11">
        <v>0</v>
      </c>
      <c r="K427" s="12">
        <f t="shared" si="36"/>
        <v>0</v>
      </c>
      <c r="L427" s="12">
        <f t="shared" si="37"/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1">
        <v>0</v>
      </c>
      <c r="S427" s="6"/>
      <c r="T427" s="6"/>
      <c r="U427" s="6"/>
      <c r="V427" s="7" t="b">
        <v>0</v>
      </c>
      <c r="W427" s="8">
        <f>IFERROR(VLOOKUP(D427,Teams!$B$2:$I$21,6,FALSE),"")</f>
        <v>0</v>
      </c>
      <c r="X427" s="2" t="s">
        <v>65</v>
      </c>
      <c r="Y427" s="13"/>
      <c r="Z427" s="14"/>
      <c r="AA427" s="15">
        <f>IFERROR(H427/(H427+Priors!$G$3),0)</f>
        <v>0</v>
      </c>
      <c r="AB427" s="16">
        <f>VLOOKUP(E427,Priors!$A$3:$C$6,2,FALSE)</f>
        <v>2.4013207263995197E-4</v>
      </c>
      <c r="AC427" s="16">
        <f>VLOOKUP(E427,Priors!$A$3:$C$6,3,FALSE)</f>
        <v>1.9810895992796044E-3</v>
      </c>
      <c r="AD427" s="12">
        <f t="shared" si="38"/>
        <v>2.4013207263995197E-4</v>
      </c>
      <c r="AE427" s="12">
        <f t="shared" si="39"/>
        <v>1.9810895992796044E-3</v>
      </c>
      <c r="AF427" s="17">
        <v>1</v>
      </c>
      <c r="AG427" s="17">
        <v>1</v>
      </c>
      <c r="AH427" s="16">
        <f>IFERROR(VLOOKUP(D427,Teams!$B$2:$I$21,7,FALSE),1)</f>
        <v>1</v>
      </c>
      <c r="AI427" s="12">
        <f t="shared" si="40"/>
        <v>2.4013207263995197E-4</v>
      </c>
      <c r="AJ427" s="12">
        <f t="shared" si="41"/>
        <v>1.9810895992796044E-3</v>
      </c>
      <c r="AK427" s="6" t="s">
        <v>66</v>
      </c>
      <c r="AL427" s="18"/>
      <c r="AM427" s="23"/>
      <c r="AN427" s="24">
        <v>3.0000000000000001E-3</v>
      </c>
      <c r="AO427" s="25" t="b">
        <v>1</v>
      </c>
      <c r="AP427" s="23" t="s">
        <v>1019</v>
      </c>
      <c r="AQ427" s="25" t="b">
        <v>0</v>
      </c>
      <c r="AR427" s="23"/>
      <c r="AS427" s="23" t="s">
        <v>68</v>
      </c>
    </row>
    <row r="428" spans="1:45" ht="60">
      <c r="A428" s="6">
        <v>415</v>
      </c>
      <c r="B428" s="6" t="s">
        <v>1211</v>
      </c>
      <c r="C428" s="6" t="s">
        <v>1212</v>
      </c>
      <c r="D428" s="6" t="s">
        <v>1199</v>
      </c>
      <c r="E428" s="6" t="s">
        <v>11</v>
      </c>
      <c r="F428" s="9">
        <v>6</v>
      </c>
      <c r="G428" s="9">
        <v>6</v>
      </c>
      <c r="H428" s="10">
        <v>1440</v>
      </c>
      <c r="I428" s="11">
        <v>2.39</v>
      </c>
      <c r="J428" s="11">
        <v>1.84</v>
      </c>
      <c r="K428" s="12">
        <f t="shared" si="36"/>
        <v>0.14937500000000001</v>
      </c>
      <c r="L428" s="12">
        <f t="shared" si="37"/>
        <v>0.11499999999999999</v>
      </c>
      <c r="M428" s="10">
        <v>4</v>
      </c>
      <c r="N428" s="10">
        <v>4</v>
      </c>
      <c r="O428" s="10">
        <v>95</v>
      </c>
      <c r="P428" s="10">
        <v>3.7</v>
      </c>
      <c r="Q428" s="10">
        <v>15</v>
      </c>
      <c r="R428" s="11">
        <v>6.12</v>
      </c>
      <c r="S428" s="6"/>
      <c r="T428" s="6"/>
      <c r="U428" s="6"/>
      <c r="V428" s="7" t="b">
        <v>0</v>
      </c>
      <c r="W428" s="8">
        <f>IFERROR(VLOOKUP(D428,Teams!$B$2:$I$21,6,FALSE),"")</f>
        <v>0</v>
      </c>
      <c r="X428" s="2" t="s">
        <v>65</v>
      </c>
      <c r="Y428" s="13"/>
      <c r="Z428" s="14"/>
      <c r="AA428" s="15">
        <f>IFERROR(H428/(H428+Priors!$G$3),0)</f>
        <v>0.5901639344262295</v>
      </c>
      <c r="AB428" s="16">
        <f>VLOOKUP(E428,Priors!$A$3:$C$6,2,FALSE)</f>
        <v>0.15714383234350468</v>
      </c>
      <c r="AC428" s="16">
        <f>VLOOKUP(E428,Priors!$A$3:$C$6,3,FALSE)</f>
        <v>0.13222062939449797</v>
      </c>
      <c r="AD428" s="12">
        <f t="shared" si="38"/>
        <v>0.1525589476817642</v>
      </c>
      <c r="AE428" s="12">
        <f t="shared" si="39"/>
        <v>0.12205763499774507</v>
      </c>
      <c r="AF428" s="17">
        <v>1</v>
      </c>
      <c r="AG428" s="17">
        <v>1</v>
      </c>
      <c r="AH428" s="16">
        <f>IFERROR(VLOOKUP(D428,Teams!$B$2:$I$21,7,FALSE),1)</f>
        <v>1</v>
      </c>
      <c r="AI428" s="12">
        <f t="shared" si="40"/>
        <v>0.1525589476817642</v>
      </c>
      <c r="AJ428" s="12">
        <f t="shared" si="41"/>
        <v>0.12205763499774507</v>
      </c>
      <c r="AK428" s="6" t="s">
        <v>66</v>
      </c>
      <c r="AL428" s="18"/>
      <c r="AM428" s="23"/>
      <c r="AN428" s="24">
        <v>1.8000000000000002E-2</v>
      </c>
      <c r="AO428" s="25" t="b">
        <v>1</v>
      </c>
      <c r="AP428" s="23" t="s">
        <v>300</v>
      </c>
      <c r="AQ428" s="25" t="b">
        <v>0</v>
      </c>
      <c r="AR428" s="23"/>
      <c r="AS428" s="23" t="s">
        <v>68</v>
      </c>
    </row>
    <row r="429" spans="1:45" ht="60">
      <c r="A429" s="6">
        <v>416</v>
      </c>
      <c r="B429" s="6" t="s">
        <v>1213</v>
      </c>
      <c r="C429" s="6" t="s">
        <v>1214</v>
      </c>
      <c r="D429" s="6" t="s">
        <v>1199</v>
      </c>
      <c r="E429" s="6" t="s">
        <v>9</v>
      </c>
      <c r="F429" s="9">
        <v>5</v>
      </c>
      <c r="G429" s="9">
        <v>5</v>
      </c>
      <c r="H429" s="10">
        <v>1170</v>
      </c>
      <c r="I429" s="11">
        <v>1.38</v>
      </c>
      <c r="J429" s="11">
        <v>0.83</v>
      </c>
      <c r="K429" s="12">
        <f t="shared" si="36"/>
        <v>0.10615384615384614</v>
      </c>
      <c r="L429" s="12">
        <f t="shared" si="37"/>
        <v>6.3846153846153844E-2</v>
      </c>
      <c r="M429" s="10">
        <v>1</v>
      </c>
      <c r="N429" s="10">
        <v>0</v>
      </c>
      <c r="O429" s="10">
        <v>43</v>
      </c>
      <c r="P429" s="10">
        <v>3.3</v>
      </c>
      <c r="Q429" s="10">
        <v>13</v>
      </c>
      <c r="R429" s="11">
        <v>8.23</v>
      </c>
      <c r="S429" s="6"/>
      <c r="T429" s="6"/>
      <c r="U429" s="6"/>
      <c r="V429" s="7" t="b">
        <v>0</v>
      </c>
      <c r="W429" s="8">
        <f>IFERROR(VLOOKUP(D429,Teams!$B$2:$I$21,6,FALSE),"")</f>
        <v>0</v>
      </c>
      <c r="X429" s="2" t="s">
        <v>65</v>
      </c>
      <c r="Y429" s="13"/>
      <c r="Z429" s="14"/>
      <c r="AA429" s="15">
        <f>IFERROR(H429/(H429+Priors!$G$3),0)</f>
        <v>0.53917050691244239</v>
      </c>
      <c r="AB429" s="16">
        <f>VLOOKUP(E429,Priors!$A$3:$C$6,2,FALSE)</f>
        <v>6.0081391379341341E-2</v>
      </c>
      <c r="AC429" s="16">
        <f>VLOOKUP(E429,Priors!$A$3:$C$6,3,FALSE)</f>
        <v>5.9588191961478354E-2</v>
      </c>
      <c r="AD429" s="12">
        <f t="shared" si="38"/>
        <v>8.4922300174811671E-2</v>
      </c>
      <c r="AE429" s="12">
        <f t="shared" si="39"/>
        <v>6.1883959429252698E-2</v>
      </c>
      <c r="AF429" s="17">
        <v>1</v>
      </c>
      <c r="AG429" s="17">
        <v>1</v>
      </c>
      <c r="AH429" s="16">
        <f>IFERROR(VLOOKUP(D429,Teams!$B$2:$I$21,7,FALSE),1)</f>
        <v>1</v>
      </c>
      <c r="AI429" s="12">
        <f t="shared" si="40"/>
        <v>8.4922300174811671E-2</v>
      </c>
      <c r="AJ429" s="12">
        <f t="shared" si="41"/>
        <v>6.1883959429252698E-2</v>
      </c>
      <c r="AK429" s="6" t="s">
        <v>80</v>
      </c>
      <c r="AL429" s="18">
        <v>0</v>
      </c>
      <c r="AM429" s="23" t="s">
        <v>85</v>
      </c>
      <c r="AN429" s="24">
        <v>0</v>
      </c>
      <c r="AO429" s="25" t="b">
        <v>1</v>
      </c>
      <c r="AP429" s="23" t="s">
        <v>260</v>
      </c>
      <c r="AQ429" s="25" t="b">
        <v>0</v>
      </c>
      <c r="AR429" s="23"/>
      <c r="AS429" s="23" t="s">
        <v>68</v>
      </c>
    </row>
    <row r="430" spans="1:45" ht="60">
      <c r="A430" s="6">
        <v>417</v>
      </c>
      <c r="B430" s="6" t="s">
        <v>1215</v>
      </c>
      <c r="C430" s="6" t="s">
        <v>1216</v>
      </c>
      <c r="D430" s="6" t="s">
        <v>1199</v>
      </c>
      <c r="E430" s="6" t="s">
        <v>9</v>
      </c>
      <c r="F430" s="9">
        <v>5</v>
      </c>
      <c r="G430" s="9">
        <v>5</v>
      </c>
      <c r="H430" s="10">
        <v>2609</v>
      </c>
      <c r="I430" s="11">
        <v>1.93</v>
      </c>
      <c r="J430" s="11">
        <v>2.57</v>
      </c>
      <c r="K430" s="12">
        <f t="shared" si="36"/>
        <v>6.6577232656190102E-2</v>
      </c>
      <c r="L430" s="12">
        <f t="shared" si="37"/>
        <v>8.865465695668838E-2</v>
      </c>
      <c r="M430" s="10">
        <v>1</v>
      </c>
      <c r="N430" s="10">
        <v>6</v>
      </c>
      <c r="O430" s="10">
        <v>111</v>
      </c>
      <c r="P430" s="10">
        <v>3.3</v>
      </c>
      <c r="Q430" s="10">
        <v>29</v>
      </c>
      <c r="R430" s="11">
        <v>6.21</v>
      </c>
      <c r="S430" s="6"/>
      <c r="T430" s="6"/>
      <c r="U430" s="6"/>
      <c r="V430" s="7" t="b">
        <v>0</v>
      </c>
      <c r="W430" s="8">
        <f>IFERROR(VLOOKUP(D430,Teams!$B$2:$I$21,6,FALSE),"")</f>
        <v>0</v>
      </c>
      <c r="X430" s="2" t="s">
        <v>65</v>
      </c>
      <c r="Y430" s="13"/>
      <c r="Z430" s="14"/>
      <c r="AA430" s="15">
        <f>IFERROR(H430/(H430+Priors!$G$3),0)</f>
        <v>0.72291493488500969</v>
      </c>
      <c r="AB430" s="16">
        <f>VLOOKUP(E430,Priors!$A$3:$C$6,2,FALSE)</f>
        <v>6.0081391379341341E-2</v>
      </c>
      <c r="AC430" s="16">
        <f>VLOOKUP(E430,Priors!$A$3:$C$6,3,FALSE)</f>
        <v>5.9588191961478354E-2</v>
      </c>
      <c r="AD430" s="12">
        <f t="shared" si="38"/>
        <v>6.4777332053017819E-2</v>
      </c>
      <c r="AE430" s="12">
        <f t="shared" si="39"/>
        <v>8.0600773610828028E-2</v>
      </c>
      <c r="AF430" s="17">
        <v>1</v>
      </c>
      <c r="AG430" s="17">
        <v>1</v>
      </c>
      <c r="AH430" s="16">
        <f>IFERROR(VLOOKUP(D430,Teams!$B$2:$I$21,7,FALSE),1)</f>
        <v>1</v>
      </c>
      <c r="AI430" s="12">
        <f t="shared" si="40"/>
        <v>6.4777332053017819E-2</v>
      </c>
      <c r="AJ430" s="12">
        <f t="shared" si="41"/>
        <v>8.0600773610828028E-2</v>
      </c>
      <c r="AK430" s="6" t="s">
        <v>66</v>
      </c>
      <c r="AL430" s="18"/>
      <c r="AM430" s="23"/>
      <c r="AN430" s="24">
        <v>3.1E-2</v>
      </c>
      <c r="AO430" s="25" t="b">
        <v>1</v>
      </c>
      <c r="AP430" s="23" t="s">
        <v>1217</v>
      </c>
      <c r="AQ430" s="25" t="b">
        <v>0</v>
      </c>
      <c r="AR430" s="23"/>
      <c r="AS430" s="23" t="s">
        <v>68</v>
      </c>
    </row>
    <row r="431" spans="1:45" ht="60">
      <c r="A431" s="6">
        <v>418</v>
      </c>
      <c r="B431" s="6" t="s">
        <v>1218</v>
      </c>
      <c r="C431" s="6" t="s">
        <v>1219</v>
      </c>
      <c r="D431" s="6" t="s">
        <v>1199</v>
      </c>
      <c r="E431" s="6" t="s">
        <v>9</v>
      </c>
      <c r="F431" s="9">
        <v>5</v>
      </c>
      <c r="G431" s="9">
        <v>5</v>
      </c>
      <c r="H431" s="10">
        <v>1649</v>
      </c>
      <c r="I431" s="11">
        <v>1.1200000000000001</v>
      </c>
      <c r="J431" s="11">
        <v>0.5</v>
      </c>
      <c r="K431" s="12">
        <f t="shared" si="36"/>
        <v>6.112795633717405E-2</v>
      </c>
      <c r="L431" s="12">
        <f t="shared" si="37"/>
        <v>2.7289266221952699E-2</v>
      </c>
      <c r="M431" s="10">
        <v>1</v>
      </c>
      <c r="N431" s="10">
        <v>2</v>
      </c>
      <c r="O431" s="10">
        <v>90</v>
      </c>
      <c r="P431" s="10">
        <v>3.9</v>
      </c>
      <c r="Q431" s="10">
        <v>19</v>
      </c>
      <c r="R431" s="11">
        <v>8.24</v>
      </c>
      <c r="S431" s="6"/>
      <c r="T431" s="6"/>
      <c r="U431" s="6"/>
      <c r="V431" s="7" t="b">
        <v>0</v>
      </c>
      <c r="W431" s="8">
        <f>IFERROR(VLOOKUP(D431,Teams!$B$2:$I$21,6,FALSE),"")</f>
        <v>0</v>
      </c>
      <c r="X431" s="2" t="s">
        <v>65</v>
      </c>
      <c r="Y431" s="13"/>
      <c r="Z431" s="14"/>
      <c r="AA431" s="15">
        <f>IFERROR(H431/(H431+Priors!$G$3),0)</f>
        <v>0.62249905624764057</v>
      </c>
      <c r="AB431" s="16">
        <f>VLOOKUP(E431,Priors!$A$3:$C$6,2,FALSE)</f>
        <v>6.0081391379341341E-2</v>
      </c>
      <c r="AC431" s="16">
        <f>VLOOKUP(E431,Priors!$A$3:$C$6,3,FALSE)</f>
        <v>5.9588191961478354E-2</v>
      </c>
      <c r="AD431" s="12">
        <f t="shared" si="38"/>
        <v>6.0732877077894057E-2</v>
      </c>
      <c r="AE431" s="12">
        <f t="shared" si="39"/>
        <v>3.9482141170811003E-2</v>
      </c>
      <c r="AF431" s="17">
        <v>1</v>
      </c>
      <c r="AG431" s="17">
        <v>1</v>
      </c>
      <c r="AH431" s="16">
        <f>IFERROR(VLOOKUP(D431,Teams!$B$2:$I$21,7,FALSE),1)</f>
        <v>1</v>
      </c>
      <c r="AI431" s="12">
        <f t="shared" si="40"/>
        <v>6.0732877077894057E-2</v>
      </c>
      <c r="AJ431" s="12">
        <f t="shared" si="41"/>
        <v>3.9482141170811003E-2</v>
      </c>
      <c r="AK431" s="6" t="s">
        <v>66</v>
      </c>
      <c r="AL431" s="18"/>
      <c r="AM431" s="23"/>
      <c r="AN431" s="24">
        <v>7.8E-2</v>
      </c>
      <c r="AO431" s="25" t="b">
        <v>1</v>
      </c>
      <c r="AP431" s="23" t="s">
        <v>1220</v>
      </c>
      <c r="AQ431" s="25" t="b">
        <v>0</v>
      </c>
      <c r="AR431" s="23"/>
      <c r="AS431" s="23" t="s">
        <v>68</v>
      </c>
    </row>
    <row r="432" spans="1:45" ht="60">
      <c r="A432" s="6">
        <v>419</v>
      </c>
      <c r="B432" s="6" t="s">
        <v>151</v>
      </c>
      <c r="C432" s="6" t="s">
        <v>1221</v>
      </c>
      <c r="D432" s="6" t="s">
        <v>1199</v>
      </c>
      <c r="E432" s="6" t="s">
        <v>9</v>
      </c>
      <c r="F432" s="9">
        <v>5</v>
      </c>
      <c r="G432" s="9">
        <v>5</v>
      </c>
      <c r="H432" s="10">
        <v>1229</v>
      </c>
      <c r="I432" s="11">
        <v>0.15</v>
      </c>
      <c r="J432" s="11">
        <v>0.6</v>
      </c>
      <c r="K432" s="12">
        <f t="shared" si="36"/>
        <v>1.0984540276647681E-2</v>
      </c>
      <c r="L432" s="12">
        <f t="shared" si="37"/>
        <v>4.3938161106590726E-2</v>
      </c>
      <c r="M432" s="10">
        <v>0</v>
      </c>
      <c r="N432" s="10">
        <v>0</v>
      </c>
      <c r="O432" s="10">
        <v>51</v>
      </c>
      <c r="P432" s="10">
        <v>2.8</v>
      </c>
      <c r="Q432" s="10">
        <v>13</v>
      </c>
      <c r="R432" s="11">
        <v>7.69</v>
      </c>
      <c r="S432" s="6"/>
      <c r="T432" s="6"/>
      <c r="U432" s="6"/>
      <c r="V432" s="7" t="b">
        <v>0</v>
      </c>
      <c r="W432" s="8">
        <f>IFERROR(VLOOKUP(D432,Teams!$B$2:$I$21,6,FALSE),"")</f>
        <v>0</v>
      </c>
      <c r="X432" s="2" t="s">
        <v>65</v>
      </c>
      <c r="Y432" s="13"/>
      <c r="Z432" s="14"/>
      <c r="AA432" s="15">
        <f>IFERROR(H432/(H432+Priors!$G$3),0)</f>
        <v>0.55136832660385826</v>
      </c>
      <c r="AB432" s="16">
        <f>VLOOKUP(E432,Priors!$A$3:$C$6,2,FALSE)</f>
        <v>6.0081391379341341E-2</v>
      </c>
      <c r="AC432" s="16">
        <f>VLOOKUP(E432,Priors!$A$3:$C$6,3,FALSE)</f>
        <v>5.9588191961478354E-2</v>
      </c>
      <c r="AD432" s="12">
        <f t="shared" si="38"/>
        <v>3.3010942745330341E-2</v>
      </c>
      <c r="AE432" s="12">
        <f t="shared" si="39"/>
        <v>5.0959260637720216E-2</v>
      </c>
      <c r="AF432" s="17">
        <v>1</v>
      </c>
      <c r="AG432" s="17">
        <v>1</v>
      </c>
      <c r="AH432" s="16">
        <f>IFERROR(VLOOKUP(D432,Teams!$B$2:$I$21,7,FALSE),1)</f>
        <v>1</v>
      </c>
      <c r="AI432" s="12">
        <f t="shared" si="40"/>
        <v>3.3010942745330341E-2</v>
      </c>
      <c r="AJ432" s="12">
        <f t="shared" si="41"/>
        <v>5.0959260637720216E-2</v>
      </c>
      <c r="AK432" s="6" t="s">
        <v>204</v>
      </c>
      <c r="AL432" s="18">
        <v>75</v>
      </c>
      <c r="AM432" s="23" t="s">
        <v>1222</v>
      </c>
      <c r="AN432" s="24">
        <v>6.9999999999999993E-3</v>
      </c>
      <c r="AO432" s="25" t="b">
        <v>1</v>
      </c>
      <c r="AP432" s="23" t="s">
        <v>1223</v>
      </c>
      <c r="AQ432" s="25" t="b">
        <v>0</v>
      </c>
      <c r="AR432" s="23"/>
      <c r="AS432" s="23" t="s">
        <v>68</v>
      </c>
    </row>
    <row r="433" spans="1:45" ht="60">
      <c r="A433" s="6">
        <v>420</v>
      </c>
      <c r="B433" s="6" t="s">
        <v>1224</v>
      </c>
      <c r="C433" s="6" t="s">
        <v>1225</v>
      </c>
      <c r="D433" s="6" t="s">
        <v>1199</v>
      </c>
      <c r="E433" s="6" t="s">
        <v>9</v>
      </c>
      <c r="F433" s="9">
        <v>5</v>
      </c>
      <c r="G433" s="9">
        <v>5</v>
      </c>
      <c r="H433" s="10">
        <v>1730</v>
      </c>
      <c r="I433" s="11">
        <v>1.34</v>
      </c>
      <c r="J433" s="11">
        <v>0.59</v>
      </c>
      <c r="K433" s="12">
        <f t="shared" si="36"/>
        <v>6.9710982658959544E-2</v>
      </c>
      <c r="L433" s="12">
        <f t="shared" si="37"/>
        <v>3.0693641618497105E-2</v>
      </c>
      <c r="M433" s="10">
        <v>0</v>
      </c>
      <c r="N433" s="10">
        <v>1</v>
      </c>
      <c r="O433" s="10">
        <v>56</v>
      </c>
      <c r="P433" s="10">
        <v>1.8</v>
      </c>
      <c r="Q433" s="10">
        <v>18</v>
      </c>
      <c r="R433" s="11">
        <v>8.1199999999999992</v>
      </c>
      <c r="S433" s="6"/>
      <c r="T433" s="6"/>
      <c r="U433" s="6"/>
      <c r="V433" s="7" t="b">
        <v>0</v>
      </c>
      <c r="W433" s="8">
        <f>IFERROR(VLOOKUP(D433,Teams!$B$2:$I$21,6,FALSE),"")</f>
        <v>0</v>
      </c>
      <c r="X433" s="2" t="s">
        <v>65</v>
      </c>
      <c r="Y433" s="13"/>
      <c r="Z433" s="14"/>
      <c r="AA433" s="15">
        <f>IFERROR(H433/(H433+Priors!$G$3),0)</f>
        <v>0.63369963369963367</v>
      </c>
      <c r="AB433" s="16">
        <f>VLOOKUP(E433,Priors!$A$3:$C$6,2,FALSE)</f>
        <v>6.0081391379341341E-2</v>
      </c>
      <c r="AC433" s="16">
        <f>VLOOKUP(E433,Priors!$A$3:$C$6,3,FALSE)</f>
        <v>5.9588191961478354E-2</v>
      </c>
      <c r="AD433" s="12">
        <f t="shared" si="38"/>
        <v>6.6183659845912582E-2</v>
      </c>
      <c r="AE433" s="12">
        <f t="shared" si="39"/>
        <v>4.1277725993215511E-2</v>
      </c>
      <c r="AF433" s="17">
        <v>1</v>
      </c>
      <c r="AG433" s="17">
        <v>1</v>
      </c>
      <c r="AH433" s="16">
        <f>IFERROR(VLOOKUP(D433,Teams!$B$2:$I$21,7,FALSE),1)</f>
        <v>1</v>
      </c>
      <c r="AI433" s="12">
        <f t="shared" si="40"/>
        <v>6.6183659845912582E-2</v>
      </c>
      <c r="AJ433" s="12">
        <f t="shared" si="41"/>
        <v>4.1277725993215511E-2</v>
      </c>
      <c r="AK433" s="6" t="s">
        <v>66</v>
      </c>
      <c r="AL433" s="18"/>
      <c r="AM433" s="23"/>
      <c r="AN433" s="24">
        <v>6.0000000000000001E-3</v>
      </c>
      <c r="AO433" s="25" t="b">
        <v>1</v>
      </c>
      <c r="AP433" s="23" t="s">
        <v>570</v>
      </c>
      <c r="AQ433" s="25" t="b">
        <v>0</v>
      </c>
      <c r="AR433" s="23"/>
      <c r="AS433" s="23" t="s">
        <v>68</v>
      </c>
    </row>
    <row r="434" spans="1:45" ht="60">
      <c r="A434" s="6">
        <v>421</v>
      </c>
      <c r="B434" s="6" t="s">
        <v>1226</v>
      </c>
      <c r="C434" s="6" t="s">
        <v>1227</v>
      </c>
      <c r="D434" s="6" t="s">
        <v>1199</v>
      </c>
      <c r="E434" s="6" t="s">
        <v>9</v>
      </c>
      <c r="F434" s="9">
        <v>4.5</v>
      </c>
      <c r="G434" s="9">
        <v>4.5</v>
      </c>
      <c r="H434" s="10">
        <v>920</v>
      </c>
      <c r="I434" s="11">
        <v>0.34</v>
      </c>
      <c r="J434" s="11">
        <v>0.18</v>
      </c>
      <c r="K434" s="12">
        <f t="shared" si="36"/>
        <v>3.3260869565217392E-2</v>
      </c>
      <c r="L434" s="12">
        <f t="shared" si="37"/>
        <v>1.7608695652173913E-2</v>
      </c>
      <c r="M434" s="10">
        <v>0</v>
      </c>
      <c r="N434" s="10">
        <v>1</v>
      </c>
      <c r="O434" s="10">
        <v>42</v>
      </c>
      <c r="P434" s="10">
        <v>2.5</v>
      </c>
      <c r="Q434" s="10">
        <v>11</v>
      </c>
      <c r="R434" s="11">
        <v>9.1</v>
      </c>
      <c r="S434" s="6"/>
      <c r="T434" s="6"/>
      <c r="U434" s="6"/>
      <c r="V434" s="7" t="b">
        <v>0</v>
      </c>
      <c r="W434" s="8">
        <f>IFERROR(VLOOKUP(D434,Teams!$B$2:$I$21,6,FALSE),"")</f>
        <v>0</v>
      </c>
      <c r="X434" s="2" t="s">
        <v>65</v>
      </c>
      <c r="Y434" s="13"/>
      <c r="Z434" s="14"/>
      <c r="AA434" s="15">
        <f>IFERROR(H434/(H434+Priors!$G$3),0)</f>
        <v>0.47916666666666669</v>
      </c>
      <c r="AB434" s="16">
        <f>VLOOKUP(E434,Priors!$A$3:$C$6,2,FALSE)</f>
        <v>6.0081391379341341E-2</v>
      </c>
      <c r="AC434" s="16">
        <f>VLOOKUP(E434,Priors!$A$3:$C$6,3,FALSE)</f>
        <v>5.9588191961478354E-2</v>
      </c>
      <c r="AD434" s="12">
        <f t="shared" si="38"/>
        <v>4.7229891343406945E-2</v>
      </c>
      <c r="AE434" s="12">
        <f t="shared" si="39"/>
        <v>3.9473016646603305E-2</v>
      </c>
      <c r="AF434" s="17">
        <v>1</v>
      </c>
      <c r="AG434" s="17">
        <v>1</v>
      </c>
      <c r="AH434" s="16">
        <f>IFERROR(VLOOKUP(D434,Teams!$B$2:$I$21,7,FALSE),1)</f>
        <v>1</v>
      </c>
      <c r="AI434" s="12">
        <f t="shared" si="40"/>
        <v>4.7229891343406945E-2</v>
      </c>
      <c r="AJ434" s="12">
        <f t="shared" si="41"/>
        <v>3.9473016646603305E-2</v>
      </c>
      <c r="AK434" s="6" t="s">
        <v>66</v>
      </c>
      <c r="AL434" s="18"/>
      <c r="AM434" s="23"/>
      <c r="AN434" s="24">
        <v>4.0000000000000001E-3</v>
      </c>
      <c r="AO434" s="25" t="b">
        <v>1</v>
      </c>
      <c r="AP434" s="23" t="s">
        <v>1228</v>
      </c>
      <c r="AQ434" s="25" t="b">
        <v>0</v>
      </c>
      <c r="AR434" s="23"/>
      <c r="AS434" s="23" t="s">
        <v>68</v>
      </c>
    </row>
    <row r="435" spans="1:45" ht="60">
      <c r="A435" s="6">
        <v>422</v>
      </c>
      <c r="B435" s="6" t="s">
        <v>1229</v>
      </c>
      <c r="C435" s="6" t="s">
        <v>1230</v>
      </c>
      <c r="D435" s="6" t="s">
        <v>1199</v>
      </c>
      <c r="E435" s="6" t="s">
        <v>9</v>
      </c>
      <c r="F435" s="9">
        <v>4.5</v>
      </c>
      <c r="G435" s="9">
        <v>4.5</v>
      </c>
      <c r="H435" s="10">
        <v>977</v>
      </c>
      <c r="I435" s="11">
        <v>0.19</v>
      </c>
      <c r="J435" s="11">
        <v>0.35</v>
      </c>
      <c r="K435" s="12">
        <f t="shared" si="36"/>
        <v>1.7502558853633575E-2</v>
      </c>
      <c r="L435" s="12">
        <f t="shared" si="37"/>
        <v>3.2241555783009211E-2</v>
      </c>
      <c r="M435" s="10">
        <v>0</v>
      </c>
      <c r="N435" s="10">
        <v>0</v>
      </c>
      <c r="O435" s="10">
        <v>53</v>
      </c>
      <c r="P435" s="10">
        <v>2.6</v>
      </c>
      <c r="Q435" s="10">
        <v>11</v>
      </c>
      <c r="R435" s="11">
        <v>8.66</v>
      </c>
      <c r="S435" s="6"/>
      <c r="T435" s="6"/>
      <c r="U435" s="6"/>
      <c r="V435" s="7" t="b">
        <v>0</v>
      </c>
      <c r="W435" s="8">
        <f>IFERROR(VLOOKUP(D435,Teams!$B$2:$I$21,6,FALSE),"")</f>
        <v>0</v>
      </c>
      <c r="X435" s="2" t="s">
        <v>65</v>
      </c>
      <c r="Y435" s="13"/>
      <c r="Z435" s="14"/>
      <c r="AA435" s="15">
        <f>IFERROR(H435/(H435+Priors!$G$3),0)</f>
        <v>0.49418310571573093</v>
      </c>
      <c r="AB435" s="16">
        <f>VLOOKUP(E435,Priors!$A$3:$C$6,2,FALSE)</f>
        <v>6.0081391379341341E-2</v>
      </c>
      <c r="AC435" s="16">
        <f>VLOOKUP(E435,Priors!$A$3:$C$6,3,FALSE)</f>
        <v>5.9588191961478354E-2</v>
      </c>
      <c r="AD435" s="12">
        <f t="shared" si="38"/>
        <v>3.9039651684037099E-2</v>
      </c>
      <c r="AE435" s="12">
        <f t="shared" si="39"/>
        <v>4.6073946363924312E-2</v>
      </c>
      <c r="AF435" s="17">
        <v>1</v>
      </c>
      <c r="AG435" s="17">
        <v>1</v>
      </c>
      <c r="AH435" s="16">
        <f>IFERROR(VLOOKUP(D435,Teams!$B$2:$I$21,7,FALSE),1)</f>
        <v>1</v>
      </c>
      <c r="AI435" s="12">
        <f t="shared" si="40"/>
        <v>3.9039651684037099E-2</v>
      </c>
      <c r="AJ435" s="12">
        <f t="shared" si="41"/>
        <v>4.6073946363924312E-2</v>
      </c>
      <c r="AK435" s="6" t="s">
        <v>66</v>
      </c>
      <c r="AL435" s="18"/>
      <c r="AM435" s="23"/>
      <c r="AN435" s="24">
        <v>6.9999999999999993E-3</v>
      </c>
      <c r="AO435" s="25" t="b">
        <v>1</v>
      </c>
      <c r="AP435" s="23" t="s">
        <v>260</v>
      </c>
      <c r="AQ435" s="25" t="b">
        <v>0</v>
      </c>
      <c r="AR435" s="23"/>
      <c r="AS435" s="23" t="s">
        <v>68</v>
      </c>
    </row>
    <row r="436" spans="1:45" ht="60">
      <c r="A436" s="6">
        <v>423</v>
      </c>
      <c r="B436" s="6" t="s">
        <v>1231</v>
      </c>
      <c r="C436" s="6" t="s">
        <v>1232</v>
      </c>
      <c r="D436" s="6" t="s">
        <v>1199</v>
      </c>
      <c r="E436" s="6" t="s">
        <v>9</v>
      </c>
      <c r="F436" s="9">
        <v>4.5</v>
      </c>
      <c r="G436" s="9">
        <v>4.5</v>
      </c>
      <c r="H436" s="10">
        <v>3220</v>
      </c>
      <c r="I436" s="11">
        <v>0.72</v>
      </c>
      <c r="J436" s="11">
        <v>1.98</v>
      </c>
      <c r="K436" s="12">
        <f t="shared" si="36"/>
        <v>2.0124223602484472E-2</v>
      </c>
      <c r="L436" s="12">
        <f t="shared" si="37"/>
        <v>5.5341614906832294E-2</v>
      </c>
      <c r="M436" s="10">
        <v>1</v>
      </c>
      <c r="N436" s="10">
        <v>1</v>
      </c>
      <c r="O436" s="10">
        <v>113</v>
      </c>
      <c r="P436" s="10">
        <v>3</v>
      </c>
      <c r="Q436" s="10">
        <v>38</v>
      </c>
      <c r="R436" s="11">
        <v>6.26</v>
      </c>
      <c r="S436" s="6"/>
      <c r="T436" s="6"/>
      <c r="U436" s="6"/>
      <c r="V436" s="7" t="b">
        <v>0</v>
      </c>
      <c r="W436" s="8">
        <f>IFERROR(VLOOKUP(D436,Teams!$B$2:$I$21,6,FALSE),"")</f>
        <v>0</v>
      </c>
      <c r="X436" s="2" t="s">
        <v>65</v>
      </c>
      <c r="Y436" s="13"/>
      <c r="Z436" s="14"/>
      <c r="AA436" s="15">
        <f>IFERROR(H436/(H436+Priors!$G$3),0)</f>
        <v>0.76303317535545023</v>
      </c>
      <c r="AB436" s="16">
        <f>VLOOKUP(E436,Priors!$A$3:$C$6,2,FALSE)</f>
        <v>6.0081391379341341E-2</v>
      </c>
      <c r="AC436" s="16">
        <f>VLOOKUP(E436,Priors!$A$3:$C$6,3,FALSE)</f>
        <v>5.9588191961478354E-2</v>
      </c>
      <c r="AD436" s="12">
        <f t="shared" si="38"/>
        <v>2.9592746772355766E-2</v>
      </c>
      <c r="AE436" s="12">
        <f t="shared" si="39"/>
        <v>5.6347912787080172E-2</v>
      </c>
      <c r="AF436" s="17">
        <v>1</v>
      </c>
      <c r="AG436" s="17">
        <v>1</v>
      </c>
      <c r="AH436" s="16">
        <f>IFERROR(VLOOKUP(D436,Teams!$B$2:$I$21,7,FALSE),1)</f>
        <v>1</v>
      </c>
      <c r="AI436" s="12">
        <f t="shared" si="40"/>
        <v>2.9592746772355766E-2</v>
      </c>
      <c r="AJ436" s="12">
        <f t="shared" si="41"/>
        <v>5.6347912787080172E-2</v>
      </c>
      <c r="AK436" s="6" t="s">
        <v>66</v>
      </c>
      <c r="AL436" s="18"/>
      <c r="AM436" s="23"/>
      <c r="AN436" s="24">
        <v>0.24600000000000002</v>
      </c>
      <c r="AO436" s="25" t="b">
        <v>1</v>
      </c>
      <c r="AP436" s="23" t="s">
        <v>1233</v>
      </c>
      <c r="AQ436" s="25" t="b">
        <v>1</v>
      </c>
      <c r="AR436" s="23"/>
      <c r="AS436" s="23" t="s">
        <v>68</v>
      </c>
    </row>
    <row r="437" spans="1:45" ht="60">
      <c r="A437" s="6">
        <v>424</v>
      </c>
      <c r="B437" s="6" t="s">
        <v>1234</v>
      </c>
      <c r="C437" s="6" t="s">
        <v>1235</v>
      </c>
      <c r="D437" s="6" t="s">
        <v>1199</v>
      </c>
      <c r="E437" s="6" t="s">
        <v>9</v>
      </c>
      <c r="F437" s="9">
        <v>4</v>
      </c>
      <c r="G437" s="9">
        <v>4</v>
      </c>
      <c r="H437" s="10">
        <v>0</v>
      </c>
      <c r="I437" s="11">
        <v>0</v>
      </c>
      <c r="J437" s="11">
        <v>0</v>
      </c>
      <c r="K437" s="12">
        <f t="shared" si="36"/>
        <v>0</v>
      </c>
      <c r="L437" s="12">
        <f t="shared" si="37"/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1">
        <v>0</v>
      </c>
      <c r="S437" s="6"/>
      <c r="T437" s="6"/>
      <c r="U437" s="6"/>
      <c r="V437" s="7" t="b">
        <v>0</v>
      </c>
      <c r="W437" s="8">
        <f>IFERROR(VLOOKUP(D437,Teams!$B$2:$I$21,6,FALSE),"")</f>
        <v>0</v>
      </c>
      <c r="X437" s="2" t="s">
        <v>65</v>
      </c>
      <c r="Y437" s="13"/>
      <c r="Z437" s="14"/>
      <c r="AA437" s="15">
        <f>IFERROR(H437/(H437+Priors!$G$3),0)</f>
        <v>0</v>
      </c>
      <c r="AB437" s="16">
        <f>VLOOKUP(E437,Priors!$A$3:$C$6,2,FALSE)</f>
        <v>6.0081391379341341E-2</v>
      </c>
      <c r="AC437" s="16">
        <f>VLOOKUP(E437,Priors!$A$3:$C$6,3,FALSE)</f>
        <v>5.9588191961478354E-2</v>
      </c>
      <c r="AD437" s="12">
        <f t="shared" si="38"/>
        <v>6.0081391379341341E-2</v>
      </c>
      <c r="AE437" s="12">
        <f t="shared" si="39"/>
        <v>5.9588191961478354E-2</v>
      </c>
      <c r="AF437" s="17">
        <v>1</v>
      </c>
      <c r="AG437" s="17">
        <v>1</v>
      </c>
      <c r="AH437" s="16">
        <f>IFERROR(VLOOKUP(D437,Teams!$B$2:$I$21,7,FALSE),1)</f>
        <v>1</v>
      </c>
      <c r="AI437" s="12">
        <f t="shared" si="40"/>
        <v>6.0081391379341341E-2</v>
      </c>
      <c r="AJ437" s="12">
        <f t="shared" si="41"/>
        <v>5.9588191961478354E-2</v>
      </c>
      <c r="AK437" s="6" t="s">
        <v>66</v>
      </c>
      <c r="AL437" s="18"/>
      <c r="AM437" s="23"/>
      <c r="AN437" s="24">
        <v>2E-3</v>
      </c>
      <c r="AO437" s="25" t="b">
        <v>1</v>
      </c>
      <c r="AP437" s="23" t="s">
        <v>1236</v>
      </c>
      <c r="AQ437" s="25" t="b">
        <v>0</v>
      </c>
      <c r="AR437" s="23"/>
      <c r="AS437" s="23" t="s">
        <v>68</v>
      </c>
    </row>
    <row r="438" spans="1:45" ht="60">
      <c r="A438" s="6">
        <v>425</v>
      </c>
      <c r="B438" s="6" t="s">
        <v>1237</v>
      </c>
      <c r="C438" s="6" t="s">
        <v>1238</v>
      </c>
      <c r="D438" s="6" t="s">
        <v>1199</v>
      </c>
      <c r="E438" s="6" t="s">
        <v>9</v>
      </c>
      <c r="F438" s="9">
        <v>4</v>
      </c>
      <c r="G438" s="9">
        <v>4</v>
      </c>
      <c r="H438" s="10">
        <v>2</v>
      </c>
      <c r="I438" s="11">
        <v>0</v>
      </c>
      <c r="J438" s="11">
        <v>0</v>
      </c>
      <c r="K438" s="12">
        <f t="shared" si="36"/>
        <v>0</v>
      </c>
      <c r="L438" s="12">
        <f t="shared" si="37"/>
        <v>0</v>
      </c>
      <c r="M438" s="10">
        <v>0</v>
      </c>
      <c r="N438" s="10">
        <v>0</v>
      </c>
      <c r="O438" s="10">
        <v>1</v>
      </c>
      <c r="P438" s="10">
        <v>1</v>
      </c>
      <c r="Q438" s="10">
        <v>0</v>
      </c>
      <c r="R438" s="11">
        <v>90</v>
      </c>
      <c r="S438" s="6"/>
      <c r="T438" s="6"/>
      <c r="U438" s="6"/>
      <c r="V438" s="7" t="b">
        <v>0</v>
      </c>
      <c r="W438" s="8">
        <f>IFERROR(VLOOKUP(D438,Teams!$B$2:$I$21,6,FALSE),"")</f>
        <v>0</v>
      </c>
      <c r="X438" s="2" t="s">
        <v>65</v>
      </c>
      <c r="Y438" s="13"/>
      <c r="Z438" s="14"/>
      <c r="AA438" s="15">
        <f>IFERROR(H438/(H438+Priors!$G$3),0)</f>
        <v>1.996007984031936E-3</v>
      </c>
      <c r="AB438" s="16">
        <f>VLOOKUP(E438,Priors!$A$3:$C$6,2,FALSE)</f>
        <v>6.0081391379341341E-2</v>
      </c>
      <c r="AC438" s="16">
        <f>VLOOKUP(E438,Priors!$A$3:$C$6,3,FALSE)</f>
        <v>5.9588191961478354E-2</v>
      </c>
      <c r="AD438" s="12">
        <f t="shared" si="38"/>
        <v>5.9961468442456423E-2</v>
      </c>
      <c r="AE438" s="12">
        <f t="shared" si="39"/>
        <v>5.9469253454569215E-2</v>
      </c>
      <c r="AF438" s="17">
        <v>1</v>
      </c>
      <c r="AG438" s="17">
        <v>1</v>
      </c>
      <c r="AH438" s="16">
        <f>IFERROR(VLOOKUP(D438,Teams!$B$2:$I$21,7,FALSE),1)</f>
        <v>1</v>
      </c>
      <c r="AI438" s="12">
        <f t="shared" si="40"/>
        <v>5.9961468442456423E-2</v>
      </c>
      <c r="AJ438" s="12">
        <f t="shared" si="41"/>
        <v>5.9469253454569215E-2</v>
      </c>
      <c r="AK438" s="6" t="s">
        <v>66</v>
      </c>
      <c r="AL438" s="18"/>
      <c r="AM438" s="23"/>
      <c r="AN438" s="24">
        <v>1E-3</v>
      </c>
      <c r="AO438" s="25" t="b">
        <v>1</v>
      </c>
      <c r="AP438" s="23" t="s">
        <v>1239</v>
      </c>
      <c r="AQ438" s="25" t="b">
        <v>0</v>
      </c>
      <c r="AR438" s="23"/>
      <c r="AS438" s="23" t="s">
        <v>68</v>
      </c>
    </row>
    <row r="439" spans="1:45" ht="60">
      <c r="A439" s="6">
        <v>426</v>
      </c>
      <c r="B439" s="6" t="s">
        <v>1240</v>
      </c>
      <c r="C439" s="6" t="s">
        <v>1241</v>
      </c>
      <c r="D439" s="6" t="s">
        <v>1199</v>
      </c>
      <c r="E439" s="6" t="s">
        <v>11</v>
      </c>
      <c r="F439" s="9">
        <v>12</v>
      </c>
      <c r="G439" s="9">
        <v>12</v>
      </c>
      <c r="H439" s="10">
        <v>3065</v>
      </c>
      <c r="I439" s="11">
        <v>10.79</v>
      </c>
      <c r="J439" s="11">
        <v>12.28</v>
      </c>
      <c r="K439" s="12">
        <f t="shared" si="36"/>
        <v>0.31683523654159867</v>
      </c>
      <c r="L439" s="12">
        <f t="shared" si="37"/>
        <v>0.36058727569331162</v>
      </c>
      <c r="M439" s="10">
        <v>9</v>
      </c>
      <c r="N439" s="10">
        <v>24</v>
      </c>
      <c r="O439" s="10">
        <v>235</v>
      </c>
      <c r="P439" s="10">
        <v>6.7</v>
      </c>
      <c r="Q439" s="10">
        <v>35</v>
      </c>
      <c r="R439" s="11">
        <v>8.43</v>
      </c>
      <c r="S439" s="6">
        <v>1</v>
      </c>
      <c r="T439" s="6">
        <v>1</v>
      </c>
      <c r="U439" s="6">
        <v>4</v>
      </c>
      <c r="V439" s="7" t="b">
        <v>0</v>
      </c>
      <c r="W439" s="8">
        <f>IFERROR(VLOOKUP(D439,Teams!$B$2:$I$21,6,FALSE),"")</f>
        <v>0</v>
      </c>
      <c r="X439" s="2" t="s">
        <v>65</v>
      </c>
      <c r="Y439" s="13"/>
      <c r="Z439" s="14"/>
      <c r="AA439" s="15">
        <f>IFERROR(H439/(H439+Priors!$G$3),0)</f>
        <v>0.75399753997539976</v>
      </c>
      <c r="AB439" s="16">
        <f>VLOOKUP(E439,Priors!$A$3:$C$6,2,FALSE)</f>
        <v>0.15714383234350468</v>
      </c>
      <c r="AC439" s="16">
        <f>VLOOKUP(E439,Priors!$A$3:$C$6,3,FALSE)</f>
        <v>0.13222062939449797</v>
      </c>
      <c r="AD439" s="12">
        <f t="shared" si="38"/>
        <v>0.27755075826408476</v>
      </c>
      <c r="AE439" s="12">
        <f t="shared" si="39"/>
        <v>0.30440851891623566</v>
      </c>
      <c r="AF439" s="17">
        <v>1</v>
      </c>
      <c r="AG439" s="17">
        <v>1</v>
      </c>
      <c r="AH439" s="16">
        <f>IFERROR(VLOOKUP(D439,Teams!$B$2:$I$21,7,FALSE),1)</f>
        <v>1</v>
      </c>
      <c r="AI439" s="12">
        <f t="shared" si="40"/>
        <v>0.27755075826408476</v>
      </c>
      <c r="AJ439" s="12">
        <f t="shared" si="41"/>
        <v>0.30440851891623566</v>
      </c>
      <c r="AK439" s="6" t="s">
        <v>66</v>
      </c>
      <c r="AL439" s="18"/>
      <c r="AM439" s="23"/>
      <c r="AN439" s="24">
        <v>0.48599999999999999</v>
      </c>
      <c r="AO439" s="25" t="b">
        <v>1</v>
      </c>
      <c r="AP439" s="23" t="s">
        <v>1242</v>
      </c>
      <c r="AQ439" s="25" t="b">
        <v>0</v>
      </c>
      <c r="AR439" s="23"/>
      <c r="AS439" s="23" t="s">
        <v>68</v>
      </c>
    </row>
    <row r="440" spans="1:45" ht="60">
      <c r="A440" s="6">
        <v>427</v>
      </c>
      <c r="B440" s="6" t="s">
        <v>1243</v>
      </c>
      <c r="C440" s="6" t="s">
        <v>1244</v>
      </c>
      <c r="D440" s="6" t="s">
        <v>1199</v>
      </c>
      <c r="E440" s="6" t="s">
        <v>11</v>
      </c>
      <c r="F440" s="9">
        <v>8</v>
      </c>
      <c r="G440" s="9">
        <v>8</v>
      </c>
      <c r="H440" s="10">
        <v>2611</v>
      </c>
      <c r="I440" s="11">
        <v>11.98</v>
      </c>
      <c r="J440" s="11">
        <v>4.99</v>
      </c>
      <c r="K440" s="12">
        <f t="shared" si="36"/>
        <v>0.41294523171198777</v>
      </c>
      <c r="L440" s="12">
        <f t="shared" si="37"/>
        <v>0.17200306396016854</v>
      </c>
      <c r="M440" s="10">
        <v>11</v>
      </c>
      <c r="N440" s="10">
        <v>3</v>
      </c>
      <c r="O440" s="10">
        <v>148</v>
      </c>
      <c r="P440" s="10">
        <v>4.5</v>
      </c>
      <c r="Q440" s="10">
        <v>31</v>
      </c>
      <c r="R440" s="11">
        <v>4.79</v>
      </c>
      <c r="S440" s="6">
        <v>2</v>
      </c>
      <c r="T440" s="6">
        <v>2</v>
      </c>
      <c r="U440" s="6">
        <v>5</v>
      </c>
      <c r="V440" s="7" t="b">
        <v>0</v>
      </c>
      <c r="W440" s="8">
        <f>IFERROR(VLOOKUP(D440,Teams!$B$2:$I$21,6,FALSE),"")</f>
        <v>0</v>
      </c>
      <c r="X440" s="2" t="s">
        <v>65</v>
      </c>
      <c r="Y440" s="13"/>
      <c r="Z440" s="14"/>
      <c r="AA440" s="15">
        <f>IFERROR(H440/(H440+Priors!$G$3),0)</f>
        <v>0.72306840210468015</v>
      </c>
      <c r="AB440" s="16">
        <f>VLOOKUP(E440,Priors!$A$3:$C$6,2,FALSE)</f>
        <v>0.15714383234350468</v>
      </c>
      <c r="AC440" s="16">
        <f>VLOOKUP(E440,Priors!$A$3:$C$6,3,FALSE)</f>
        <v>0.13222062939449797</v>
      </c>
      <c r="AD440" s="12">
        <f t="shared" si="38"/>
        <v>0.34210574144101491</v>
      </c>
      <c r="AE440" s="12">
        <f t="shared" si="39"/>
        <v>0.16098605078773137</v>
      </c>
      <c r="AF440" s="17">
        <v>1</v>
      </c>
      <c r="AG440" s="17">
        <v>1</v>
      </c>
      <c r="AH440" s="16">
        <f>IFERROR(VLOOKUP(D440,Teams!$B$2:$I$21,7,FALSE),1)</f>
        <v>1</v>
      </c>
      <c r="AI440" s="12">
        <f t="shared" si="40"/>
        <v>0.34210574144101491</v>
      </c>
      <c r="AJ440" s="12">
        <f t="shared" si="41"/>
        <v>0.16098605078773137</v>
      </c>
      <c r="AK440" s="6" t="s">
        <v>66</v>
      </c>
      <c r="AL440" s="18"/>
      <c r="AM440" s="23"/>
      <c r="AN440" s="24">
        <v>0.16699999999999998</v>
      </c>
      <c r="AO440" s="25" t="b">
        <v>1</v>
      </c>
      <c r="AP440" s="23" t="s">
        <v>1245</v>
      </c>
      <c r="AQ440" s="25" t="b">
        <v>1</v>
      </c>
      <c r="AR440" s="23"/>
      <c r="AS440" s="23" t="s">
        <v>68</v>
      </c>
    </row>
    <row r="441" spans="1:45" ht="60">
      <c r="A441" s="6">
        <v>428</v>
      </c>
      <c r="B441" s="6" t="s">
        <v>1246</v>
      </c>
      <c r="C441" s="6" t="s">
        <v>1247</v>
      </c>
      <c r="D441" s="6" t="s">
        <v>1199</v>
      </c>
      <c r="E441" s="6" t="s">
        <v>11</v>
      </c>
      <c r="F441" s="9">
        <v>8</v>
      </c>
      <c r="G441" s="9">
        <v>8</v>
      </c>
      <c r="H441" s="10">
        <v>2493</v>
      </c>
      <c r="I441" s="11">
        <v>6.9</v>
      </c>
      <c r="J441" s="11">
        <v>3.36</v>
      </c>
      <c r="K441" s="12">
        <f t="shared" si="36"/>
        <v>0.24909747292418771</v>
      </c>
      <c r="L441" s="12">
        <f t="shared" si="37"/>
        <v>0.12129963898916966</v>
      </c>
      <c r="M441" s="10">
        <v>10</v>
      </c>
      <c r="N441" s="10">
        <v>4</v>
      </c>
      <c r="O441" s="10">
        <v>143</v>
      </c>
      <c r="P441" s="10">
        <v>4.3</v>
      </c>
      <c r="Q441" s="10">
        <v>29</v>
      </c>
      <c r="R441" s="11">
        <v>7.62</v>
      </c>
      <c r="S441" s="6"/>
      <c r="T441" s="6"/>
      <c r="U441" s="6"/>
      <c r="V441" s="7" t="b">
        <v>0</v>
      </c>
      <c r="W441" s="8">
        <f>IFERROR(VLOOKUP(D441,Teams!$B$2:$I$21,6,FALSE),"")</f>
        <v>0</v>
      </c>
      <c r="X441" s="2" t="s">
        <v>65</v>
      </c>
      <c r="Y441" s="13"/>
      <c r="Z441" s="14"/>
      <c r="AA441" s="15">
        <f>IFERROR(H441/(H441+Priors!$G$3),0)</f>
        <v>0.71371314056684798</v>
      </c>
      <c r="AB441" s="16">
        <f>VLOOKUP(E441,Priors!$A$3:$C$6,2,FALSE)</f>
        <v>0.15714383234350468</v>
      </c>
      <c r="AC441" s="16">
        <f>VLOOKUP(E441,Priors!$A$3:$C$6,3,FALSE)</f>
        <v>0.13222062939449797</v>
      </c>
      <c r="AD441" s="12">
        <f t="shared" si="38"/>
        <v>0.22277235394889913</v>
      </c>
      <c r="AE441" s="12">
        <f t="shared" si="39"/>
        <v>0.12442617503421069</v>
      </c>
      <c r="AF441" s="17">
        <v>1</v>
      </c>
      <c r="AG441" s="17">
        <v>1</v>
      </c>
      <c r="AH441" s="16">
        <f>IFERROR(VLOOKUP(D441,Teams!$B$2:$I$21,7,FALSE),1)</f>
        <v>1</v>
      </c>
      <c r="AI441" s="12">
        <f t="shared" si="40"/>
        <v>0.22277235394889913</v>
      </c>
      <c r="AJ441" s="12">
        <f t="shared" si="41"/>
        <v>0.12442617503421069</v>
      </c>
      <c r="AK441" s="6" t="s">
        <v>66</v>
      </c>
      <c r="AL441" s="18"/>
      <c r="AM441" s="23"/>
      <c r="AN441" s="24">
        <v>0.14499999999999999</v>
      </c>
      <c r="AO441" s="25" t="b">
        <v>1</v>
      </c>
      <c r="AP441" s="23" t="s">
        <v>453</v>
      </c>
      <c r="AQ441" s="25" t="b">
        <v>0</v>
      </c>
      <c r="AR441" s="23"/>
      <c r="AS441" s="23" t="s">
        <v>68</v>
      </c>
    </row>
    <row r="442" spans="1:45" ht="60">
      <c r="A442" s="6">
        <v>429</v>
      </c>
      <c r="B442" s="6" t="s">
        <v>1248</v>
      </c>
      <c r="C442" s="6" t="s">
        <v>1249</v>
      </c>
      <c r="D442" s="6" t="s">
        <v>1199</v>
      </c>
      <c r="E442" s="6" t="s">
        <v>11</v>
      </c>
      <c r="F442" s="9">
        <v>7</v>
      </c>
      <c r="G442" s="9">
        <v>7</v>
      </c>
      <c r="H442" s="10">
        <v>0</v>
      </c>
      <c r="I442" s="11">
        <v>0</v>
      </c>
      <c r="J442" s="11">
        <v>0</v>
      </c>
      <c r="K442" s="12">
        <f t="shared" si="36"/>
        <v>0</v>
      </c>
      <c r="L442" s="12">
        <f t="shared" si="37"/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1">
        <v>0</v>
      </c>
      <c r="S442" s="6"/>
      <c r="T442" s="6"/>
      <c r="U442" s="6"/>
      <c r="V442" s="7" t="b">
        <v>0</v>
      </c>
      <c r="W442" s="8">
        <f>IFERROR(VLOOKUP(D442,Teams!$B$2:$I$21,6,FALSE),"")</f>
        <v>0</v>
      </c>
      <c r="X442" s="2" t="s">
        <v>65</v>
      </c>
      <c r="Y442" s="13"/>
      <c r="Z442" s="14"/>
      <c r="AA442" s="15">
        <f>IFERROR(H442/(H442+Priors!$G$3),0)</f>
        <v>0</v>
      </c>
      <c r="AB442" s="16">
        <f>VLOOKUP(E442,Priors!$A$3:$C$6,2,FALSE)</f>
        <v>0.15714383234350468</v>
      </c>
      <c r="AC442" s="16">
        <f>VLOOKUP(E442,Priors!$A$3:$C$6,3,FALSE)</f>
        <v>0.13222062939449797</v>
      </c>
      <c r="AD442" s="12">
        <f t="shared" si="38"/>
        <v>0.15714383234350468</v>
      </c>
      <c r="AE442" s="12">
        <f t="shared" si="39"/>
        <v>0.13222062939449797</v>
      </c>
      <c r="AF442" s="17">
        <v>1</v>
      </c>
      <c r="AG442" s="17">
        <v>1</v>
      </c>
      <c r="AH442" s="16">
        <f>IFERROR(VLOOKUP(D442,Teams!$B$2:$I$21,7,FALSE),1)</f>
        <v>1</v>
      </c>
      <c r="AI442" s="12">
        <f t="shared" si="40"/>
        <v>0.15714383234350468</v>
      </c>
      <c r="AJ442" s="12">
        <f t="shared" si="41"/>
        <v>0.13222062939449797</v>
      </c>
      <c r="AK442" s="6" t="s">
        <v>66</v>
      </c>
      <c r="AL442" s="18"/>
      <c r="AM442" s="23"/>
      <c r="AN442" s="24">
        <v>1.4999999999999999E-2</v>
      </c>
      <c r="AO442" s="25" t="b">
        <v>1</v>
      </c>
      <c r="AP442" s="23" t="s">
        <v>1250</v>
      </c>
      <c r="AQ442" s="25" t="b">
        <v>0</v>
      </c>
      <c r="AR442" s="23"/>
      <c r="AS442" s="23" t="s">
        <v>68</v>
      </c>
    </row>
    <row r="443" spans="1:45" ht="60">
      <c r="A443" s="6">
        <v>430</v>
      </c>
      <c r="B443" s="6" t="s">
        <v>1251</v>
      </c>
      <c r="C443" s="6" t="s">
        <v>1252</v>
      </c>
      <c r="D443" s="6" t="s">
        <v>1199</v>
      </c>
      <c r="E443" s="6" t="s">
        <v>11</v>
      </c>
      <c r="F443" s="9">
        <v>5.5</v>
      </c>
      <c r="G443" s="9">
        <v>5.5</v>
      </c>
      <c r="H443" s="10">
        <v>1010</v>
      </c>
      <c r="I443" s="11">
        <v>1.56</v>
      </c>
      <c r="J443" s="11">
        <v>1.62</v>
      </c>
      <c r="K443" s="12">
        <f t="shared" si="36"/>
        <v>0.13900990099009902</v>
      </c>
      <c r="L443" s="12">
        <f t="shared" si="37"/>
        <v>0.14435643564356437</v>
      </c>
      <c r="M443" s="10">
        <v>3</v>
      </c>
      <c r="N443" s="10">
        <v>0</v>
      </c>
      <c r="O443" s="10">
        <v>58</v>
      </c>
      <c r="P443" s="10">
        <v>2.5</v>
      </c>
      <c r="Q443" s="10">
        <v>12</v>
      </c>
      <c r="R443" s="11">
        <v>9.09</v>
      </c>
      <c r="S443" s="6"/>
      <c r="T443" s="6">
        <v>3</v>
      </c>
      <c r="U443" s="6"/>
      <c r="V443" s="7" t="b">
        <v>0</v>
      </c>
      <c r="W443" s="8">
        <f>IFERROR(VLOOKUP(D443,Teams!$B$2:$I$21,6,FALSE),"")</f>
        <v>0</v>
      </c>
      <c r="X443" s="2" t="s">
        <v>65</v>
      </c>
      <c r="Y443" s="13"/>
      <c r="Z443" s="14"/>
      <c r="AA443" s="15">
        <f>IFERROR(H443/(H443+Priors!$G$3),0)</f>
        <v>0.50248756218905477</v>
      </c>
      <c r="AB443" s="16">
        <f>VLOOKUP(E443,Priors!$A$3:$C$6,2,FALSE)</f>
        <v>0.15714383234350468</v>
      </c>
      <c r="AC443" s="16">
        <f>VLOOKUP(E443,Priors!$A$3:$C$6,3,FALSE)</f>
        <v>0.13222062939449797</v>
      </c>
      <c r="AD443" s="12">
        <f t="shared" si="38"/>
        <v>0.14803175738482821</v>
      </c>
      <c r="AE443" s="12">
        <f t="shared" si="39"/>
        <v>0.13831872109179005</v>
      </c>
      <c r="AF443" s="17">
        <v>1</v>
      </c>
      <c r="AG443" s="17">
        <v>1</v>
      </c>
      <c r="AH443" s="16">
        <f>IFERROR(VLOOKUP(D443,Teams!$B$2:$I$21,7,FALSE),1)</f>
        <v>1</v>
      </c>
      <c r="AI443" s="12">
        <f t="shared" si="40"/>
        <v>0.14803175738482821</v>
      </c>
      <c r="AJ443" s="12">
        <f t="shared" si="41"/>
        <v>0.13831872109179005</v>
      </c>
      <c r="AK443" s="6" t="s">
        <v>66</v>
      </c>
      <c r="AL443" s="18"/>
      <c r="AM443" s="23"/>
      <c r="AN443" s="24">
        <v>1E-3</v>
      </c>
      <c r="AO443" s="25" t="b">
        <v>1</v>
      </c>
      <c r="AP443" s="23" t="s">
        <v>1253</v>
      </c>
      <c r="AQ443" s="25" t="b">
        <v>0</v>
      </c>
      <c r="AR443" s="23"/>
      <c r="AS443" s="23" t="s">
        <v>68</v>
      </c>
    </row>
    <row r="444" spans="1:45" ht="60">
      <c r="A444" s="6">
        <v>431</v>
      </c>
      <c r="B444" s="6" t="s">
        <v>1254</v>
      </c>
      <c r="C444" s="6" t="s">
        <v>1255</v>
      </c>
      <c r="D444" s="6" t="s">
        <v>1199</v>
      </c>
      <c r="E444" s="6" t="s">
        <v>11</v>
      </c>
      <c r="F444" s="9">
        <v>6</v>
      </c>
      <c r="G444" s="9">
        <v>6</v>
      </c>
      <c r="H444" s="10">
        <v>2339</v>
      </c>
      <c r="I444" s="11">
        <v>5.46</v>
      </c>
      <c r="J444" s="11">
        <v>4.74</v>
      </c>
      <c r="K444" s="12">
        <f t="shared" si="36"/>
        <v>0.21008978195810174</v>
      </c>
      <c r="L444" s="12">
        <f t="shared" si="37"/>
        <v>0.18238563488670373</v>
      </c>
      <c r="M444" s="10">
        <v>2</v>
      </c>
      <c r="N444" s="10">
        <v>5</v>
      </c>
      <c r="O444" s="10">
        <v>91</v>
      </c>
      <c r="P444" s="10">
        <v>2.8</v>
      </c>
      <c r="Q444" s="10">
        <v>27</v>
      </c>
      <c r="R444" s="11">
        <v>7.62</v>
      </c>
      <c r="S444" s="6"/>
      <c r="T444" s="6"/>
      <c r="U444" s="6">
        <v>6</v>
      </c>
      <c r="V444" s="7" t="b">
        <v>0</v>
      </c>
      <c r="W444" s="8">
        <f>IFERROR(VLOOKUP(D444,Teams!$B$2:$I$21,6,FALSE),"")</f>
        <v>0</v>
      </c>
      <c r="X444" s="2" t="s">
        <v>65</v>
      </c>
      <c r="Y444" s="13"/>
      <c r="Z444" s="14"/>
      <c r="AA444" s="15">
        <f>IFERROR(H444/(H444+Priors!$G$3),0)</f>
        <v>0.70050913447139862</v>
      </c>
      <c r="AB444" s="16">
        <f>VLOOKUP(E444,Priors!$A$3:$C$6,2,FALSE)</f>
        <v>0.15714383234350468</v>
      </c>
      <c r="AC444" s="16">
        <f>VLOOKUP(E444,Priors!$A$3:$C$6,3,FALSE)</f>
        <v>0.13222062939449797</v>
      </c>
      <c r="AD444" s="12">
        <f t="shared" si="38"/>
        <v>0.19423295368179236</v>
      </c>
      <c r="AE444" s="12">
        <f t="shared" si="39"/>
        <v>0.16736167397259596</v>
      </c>
      <c r="AF444" s="17">
        <v>1</v>
      </c>
      <c r="AG444" s="17">
        <v>1</v>
      </c>
      <c r="AH444" s="16">
        <f>IFERROR(VLOOKUP(D444,Teams!$B$2:$I$21,7,FALSE),1)</f>
        <v>1</v>
      </c>
      <c r="AI444" s="12">
        <f t="shared" si="40"/>
        <v>0.19423295368179236</v>
      </c>
      <c r="AJ444" s="12">
        <f t="shared" si="41"/>
        <v>0.16736167397259596</v>
      </c>
      <c r="AK444" s="6" t="s">
        <v>66</v>
      </c>
      <c r="AL444" s="18"/>
      <c r="AM444" s="23"/>
      <c r="AN444" s="24">
        <v>1.4999999999999999E-2</v>
      </c>
      <c r="AO444" s="25" t="b">
        <v>1</v>
      </c>
      <c r="AP444" s="23" t="s">
        <v>175</v>
      </c>
      <c r="AQ444" s="25" t="b">
        <v>0</v>
      </c>
      <c r="AR444" s="23"/>
      <c r="AS444" s="23" t="s">
        <v>68</v>
      </c>
    </row>
    <row r="445" spans="1:45" ht="60">
      <c r="A445" s="6">
        <v>432</v>
      </c>
      <c r="B445" s="6" t="s">
        <v>1256</v>
      </c>
      <c r="C445" s="6" t="s">
        <v>1257</v>
      </c>
      <c r="D445" s="6" t="s">
        <v>1199</v>
      </c>
      <c r="E445" s="6" t="s">
        <v>11</v>
      </c>
      <c r="F445" s="9">
        <v>5.5</v>
      </c>
      <c r="G445" s="9">
        <v>5.5</v>
      </c>
      <c r="H445" s="10">
        <v>1653</v>
      </c>
      <c r="I445" s="11">
        <v>0.48</v>
      </c>
      <c r="J445" s="11">
        <v>1.27</v>
      </c>
      <c r="K445" s="12">
        <f t="shared" si="36"/>
        <v>2.613430127041742E-2</v>
      </c>
      <c r="L445" s="12">
        <f t="shared" si="37"/>
        <v>6.9147005444646095E-2</v>
      </c>
      <c r="M445" s="10">
        <v>1</v>
      </c>
      <c r="N445" s="10">
        <v>2</v>
      </c>
      <c r="O445" s="10">
        <v>73</v>
      </c>
      <c r="P445" s="10">
        <v>2.6</v>
      </c>
      <c r="Q445" s="10">
        <v>16</v>
      </c>
      <c r="R445" s="11">
        <v>10.18</v>
      </c>
      <c r="S445" s="6"/>
      <c r="T445" s="6"/>
      <c r="U445" s="6"/>
      <c r="V445" s="7" t="b">
        <v>0</v>
      </c>
      <c r="W445" s="8">
        <f>IFERROR(VLOOKUP(D445,Teams!$B$2:$I$21,6,FALSE),"")</f>
        <v>0</v>
      </c>
      <c r="X445" s="2" t="s">
        <v>65</v>
      </c>
      <c r="Y445" s="13"/>
      <c r="Z445" s="14"/>
      <c r="AA445" s="15">
        <f>IFERROR(H445/(H445+Priors!$G$3),0)</f>
        <v>0.62306822465133815</v>
      </c>
      <c r="AB445" s="16">
        <f>VLOOKUP(E445,Priors!$A$3:$C$6,2,FALSE)</f>
        <v>0.15714383234350468</v>
      </c>
      <c r="AC445" s="16">
        <f>VLOOKUP(E445,Priors!$A$3:$C$6,3,FALSE)</f>
        <v>0.13222062939449797</v>
      </c>
      <c r="AD445" s="12">
        <f t="shared" si="38"/>
        <v>7.5515956405391882E-2</v>
      </c>
      <c r="AE445" s="12">
        <f t="shared" si="39"/>
        <v>9.2921458497737641E-2</v>
      </c>
      <c r="AF445" s="17">
        <v>1</v>
      </c>
      <c r="AG445" s="17">
        <v>1</v>
      </c>
      <c r="AH445" s="16">
        <f>IFERROR(VLOOKUP(D445,Teams!$B$2:$I$21,7,FALSE),1)</f>
        <v>1</v>
      </c>
      <c r="AI445" s="12">
        <f t="shared" si="40"/>
        <v>7.5515956405391882E-2</v>
      </c>
      <c r="AJ445" s="12">
        <f t="shared" si="41"/>
        <v>9.2921458497737641E-2</v>
      </c>
      <c r="AK445" s="6" t="s">
        <v>66</v>
      </c>
      <c r="AL445" s="18"/>
      <c r="AM445" s="23"/>
      <c r="AN445" s="24">
        <v>1.3000000000000001E-2</v>
      </c>
      <c r="AO445" s="25" t="b">
        <v>1</v>
      </c>
      <c r="AP445" s="23" t="s">
        <v>1258</v>
      </c>
      <c r="AQ445" s="25" t="b">
        <v>0</v>
      </c>
      <c r="AR445" s="23"/>
      <c r="AS445" s="23" t="s">
        <v>68</v>
      </c>
    </row>
    <row r="446" spans="1:45" ht="60">
      <c r="A446" s="6">
        <v>433</v>
      </c>
      <c r="B446" s="6" t="s">
        <v>1259</v>
      </c>
      <c r="C446" s="6" t="s">
        <v>1260</v>
      </c>
      <c r="D446" s="6" t="s">
        <v>1199</v>
      </c>
      <c r="E446" s="6" t="s">
        <v>11</v>
      </c>
      <c r="F446" s="9">
        <v>5</v>
      </c>
      <c r="G446" s="9">
        <v>5</v>
      </c>
      <c r="H446" s="10">
        <v>876</v>
      </c>
      <c r="I446" s="11">
        <v>0.72</v>
      </c>
      <c r="J446" s="11">
        <v>0.16</v>
      </c>
      <c r="K446" s="12">
        <f t="shared" si="36"/>
        <v>7.3972602739726029E-2</v>
      </c>
      <c r="L446" s="12">
        <f t="shared" si="37"/>
        <v>1.6438356164383564E-2</v>
      </c>
      <c r="M446" s="10">
        <v>0</v>
      </c>
      <c r="N446" s="10">
        <v>0</v>
      </c>
      <c r="O446" s="10">
        <v>38</v>
      </c>
      <c r="P446" s="10">
        <v>1.7</v>
      </c>
      <c r="Q446" s="10">
        <v>8</v>
      </c>
      <c r="R446" s="11">
        <v>14.59</v>
      </c>
      <c r="S446" s="6"/>
      <c r="T446" s="6"/>
      <c r="U446" s="6"/>
      <c r="V446" s="7" t="b">
        <v>0</v>
      </c>
      <c r="W446" s="8">
        <f>IFERROR(VLOOKUP(D446,Teams!$B$2:$I$21,6,FALSE),"")</f>
        <v>0</v>
      </c>
      <c r="X446" s="2" t="s">
        <v>65</v>
      </c>
      <c r="Y446" s="13"/>
      <c r="Z446" s="14"/>
      <c r="AA446" s="15">
        <f>IFERROR(H446/(H446+Priors!$G$3),0)</f>
        <v>0.46695095948827292</v>
      </c>
      <c r="AB446" s="16">
        <f>VLOOKUP(E446,Priors!$A$3:$C$6,2,FALSE)</f>
        <v>0.15714383234350468</v>
      </c>
      <c r="AC446" s="16">
        <f>VLOOKUP(E446,Priors!$A$3:$C$6,3,FALSE)</f>
        <v>0.13222062939449797</v>
      </c>
      <c r="AD446" s="12">
        <f t="shared" si="38"/>
        <v>0.11830694687820079</v>
      </c>
      <c r="AE446" s="12">
        <f t="shared" si="39"/>
        <v>7.8155985817962667E-2</v>
      </c>
      <c r="AF446" s="17">
        <v>1</v>
      </c>
      <c r="AG446" s="17">
        <v>1</v>
      </c>
      <c r="AH446" s="16">
        <f>IFERROR(VLOOKUP(D446,Teams!$B$2:$I$21,7,FALSE),1)</f>
        <v>1</v>
      </c>
      <c r="AI446" s="12">
        <f t="shared" si="40"/>
        <v>0.11830694687820079</v>
      </c>
      <c r="AJ446" s="12">
        <f t="shared" si="41"/>
        <v>7.8155985817962667E-2</v>
      </c>
      <c r="AK446" s="6" t="s">
        <v>80</v>
      </c>
      <c r="AL446" s="18">
        <v>0</v>
      </c>
      <c r="AM446" s="23" t="s">
        <v>209</v>
      </c>
      <c r="AN446" s="24">
        <v>0</v>
      </c>
      <c r="AO446" s="25" t="b">
        <v>1</v>
      </c>
      <c r="AP446" s="23" t="s">
        <v>705</v>
      </c>
      <c r="AQ446" s="25" t="b">
        <v>0</v>
      </c>
      <c r="AR446" s="23"/>
      <c r="AS446" s="23" t="s">
        <v>68</v>
      </c>
    </row>
    <row r="447" spans="1:45" ht="60">
      <c r="A447" s="6">
        <v>434</v>
      </c>
      <c r="B447" s="6" t="s">
        <v>1261</v>
      </c>
      <c r="C447" s="6" t="s">
        <v>1262</v>
      </c>
      <c r="D447" s="6" t="s">
        <v>1199</v>
      </c>
      <c r="E447" s="6" t="s">
        <v>11</v>
      </c>
      <c r="F447" s="9">
        <v>5</v>
      </c>
      <c r="G447" s="9">
        <v>5</v>
      </c>
      <c r="H447" s="10">
        <v>107</v>
      </c>
      <c r="I447" s="11">
        <v>0.03</v>
      </c>
      <c r="J447" s="11">
        <v>0.02</v>
      </c>
      <c r="K447" s="12">
        <f t="shared" si="36"/>
        <v>2.5233644859813081E-2</v>
      </c>
      <c r="L447" s="12">
        <f t="shared" si="37"/>
        <v>1.6822429906542057E-2</v>
      </c>
      <c r="M447" s="10">
        <v>0</v>
      </c>
      <c r="N447" s="10">
        <v>0</v>
      </c>
      <c r="O447" s="10">
        <v>3</v>
      </c>
      <c r="P447" s="10">
        <v>1</v>
      </c>
      <c r="Q447" s="10">
        <v>0</v>
      </c>
      <c r="R447" s="11">
        <v>9.25</v>
      </c>
      <c r="S447" s="6"/>
      <c r="T447" s="6"/>
      <c r="U447" s="6"/>
      <c r="V447" s="7" t="b">
        <v>0</v>
      </c>
      <c r="W447" s="8">
        <f>IFERROR(VLOOKUP(D447,Teams!$B$2:$I$21,6,FALSE),"")</f>
        <v>0</v>
      </c>
      <c r="X447" s="2" t="s">
        <v>65</v>
      </c>
      <c r="Y447" s="13"/>
      <c r="Z447" s="14"/>
      <c r="AA447" s="15">
        <f>IFERROR(H447/(H447+Priors!$G$3),0)</f>
        <v>9.66576332429991E-2</v>
      </c>
      <c r="AB447" s="16">
        <f>VLOOKUP(E447,Priors!$A$3:$C$6,2,FALSE)</f>
        <v>0.15714383234350468</v>
      </c>
      <c r="AC447" s="16">
        <f>VLOOKUP(E447,Priors!$A$3:$C$6,3,FALSE)</f>
        <v>0.13222062939449797</v>
      </c>
      <c r="AD447" s="12">
        <f t="shared" si="38"/>
        <v>0.14439370582069078</v>
      </c>
      <c r="AE447" s="12">
        <f t="shared" si="39"/>
        <v>0.12106651255148868</v>
      </c>
      <c r="AF447" s="17">
        <v>1</v>
      </c>
      <c r="AG447" s="17">
        <v>1</v>
      </c>
      <c r="AH447" s="16">
        <f>IFERROR(VLOOKUP(D447,Teams!$B$2:$I$21,7,FALSE),1)</f>
        <v>1</v>
      </c>
      <c r="AI447" s="12">
        <f t="shared" si="40"/>
        <v>0.14439370582069078</v>
      </c>
      <c r="AJ447" s="12">
        <f t="shared" si="41"/>
        <v>0.12106651255148868</v>
      </c>
      <c r="AK447" s="6" t="s">
        <v>66</v>
      </c>
      <c r="AL447" s="18"/>
      <c r="AM447" s="23"/>
      <c r="AN447" s="24">
        <v>0</v>
      </c>
      <c r="AO447" s="25" t="b">
        <v>1</v>
      </c>
      <c r="AP447" s="23" t="s">
        <v>922</v>
      </c>
      <c r="AQ447" s="25" t="b">
        <v>0</v>
      </c>
      <c r="AR447" s="23"/>
      <c r="AS447" s="23" t="s">
        <v>68</v>
      </c>
    </row>
    <row r="448" spans="1:45" ht="60">
      <c r="A448" s="6">
        <v>435</v>
      </c>
      <c r="B448" s="6" t="s">
        <v>1263</v>
      </c>
      <c r="C448" s="6" t="s">
        <v>1264</v>
      </c>
      <c r="D448" s="6" t="s">
        <v>1199</v>
      </c>
      <c r="E448" s="6" t="s">
        <v>11</v>
      </c>
      <c r="F448" s="9">
        <v>5</v>
      </c>
      <c r="G448" s="9">
        <v>5</v>
      </c>
      <c r="H448" s="10">
        <v>40</v>
      </c>
      <c r="I448" s="11">
        <v>0.1</v>
      </c>
      <c r="J448" s="11">
        <v>0.01</v>
      </c>
      <c r="K448" s="12">
        <f t="shared" si="36"/>
        <v>0.22500000000000001</v>
      </c>
      <c r="L448" s="12">
        <f t="shared" si="37"/>
        <v>2.2499999999999999E-2</v>
      </c>
      <c r="M448" s="10">
        <v>0</v>
      </c>
      <c r="N448" s="10">
        <v>0</v>
      </c>
      <c r="O448" s="10">
        <v>3</v>
      </c>
      <c r="P448" s="10">
        <v>1</v>
      </c>
      <c r="Q448" s="10">
        <v>0</v>
      </c>
      <c r="R448" s="11">
        <v>6.75</v>
      </c>
      <c r="S448" s="6"/>
      <c r="T448" s="6"/>
      <c r="U448" s="6"/>
      <c r="V448" s="7" t="b">
        <v>0</v>
      </c>
      <c r="W448" s="8">
        <f>IFERROR(VLOOKUP(D448,Teams!$B$2:$I$21,6,FALSE),"")</f>
        <v>0</v>
      </c>
      <c r="X448" s="2" t="s">
        <v>65</v>
      </c>
      <c r="Y448" s="13"/>
      <c r="Z448" s="14"/>
      <c r="AA448" s="15">
        <f>IFERROR(H448/(H448+Priors!$G$3),0)</f>
        <v>3.8461538461538464E-2</v>
      </c>
      <c r="AB448" s="16">
        <f>VLOOKUP(E448,Priors!$A$3:$C$6,2,FALSE)</f>
        <v>0.15714383234350468</v>
      </c>
      <c r="AC448" s="16">
        <f>VLOOKUP(E448,Priors!$A$3:$C$6,3,FALSE)</f>
        <v>0.13222062939449797</v>
      </c>
      <c r="AD448" s="12">
        <f t="shared" si="38"/>
        <v>0.15975368494567757</v>
      </c>
      <c r="AE448" s="12">
        <f t="shared" si="39"/>
        <v>0.12800060518701731</v>
      </c>
      <c r="AF448" s="17">
        <v>1</v>
      </c>
      <c r="AG448" s="17">
        <v>1</v>
      </c>
      <c r="AH448" s="16">
        <f>IFERROR(VLOOKUP(D448,Teams!$B$2:$I$21,7,FALSE),1)</f>
        <v>1</v>
      </c>
      <c r="AI448" s="12">
        <f t="shared" si="40"/>
        <v>0.15975368494567757</v>
      </c>
      <c r="AJ448" s="12">
        <f t="shared" si="41"/>
        <v>0.12800060518701731</v>
      </c>
      <c r="AK448" s="6" t="s">
        <v>66</v>
      </c>
      <c r="AL448" s="18"/>
      <c r="AM448" s="23"/>
      <c r="AN448" s="24">
        <v>1E-3</v>
      </c>
      <c r="AO448" s="25" t="b">
        <v>1</v>
      </c>
      <c r="AP448" s="23" t="s">
        <v>1265</v>
      </c>
      <c r="AQ448" s="25" t="b">
        <v>0</v>
      </c>
      <c r="AR448" s="23"/>
      <c r="AS448" s="23" t="s">
        <v>68</v>
      </c>
    </row>
    <row r="449" spans="1:45" ht="60">
      <c r="A449" s="6">
        <v>436</v>
      </c>
      <c r="B449" s="6" t="s">
        <v>1266</v>
      </c>
      <c r="C449" s="6" t="s">
        <v>1267</v>
      </c>
      <c r="D449" s="6" t="s">
        <v>1199</v>
      </c>
      <c r="E449" s="6" t="s">
        <v>11</v>
      </c>
      <c r="F449" s="9">
        <v>5</v>
      </c>
      <c r="G449" s="9">
        <v>5</v>
      </c>
      <c r="H449" s="10">
        <v>0</v>
      </c>
      <c r="I449" s="11">
        <v>0</v>
      </c>
      <c r="J449" s="11">
        <v>0</v>
      </c>
      <c r="K449" s="12">
        <f t="shared" si="36"/>
        <v>0</v>
      </c>
      <c r="L449" s="12">
        <f t="shared" si="37"/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1">
        <v>0</v>
      </c>
      <c r="S449" s="6"/>
      <c r="T449" s="6"/>
      <c r="U449" s="6"/>
      <c r="V449" s="7" t="b">
        <v>0</v>
      </c>
      <c r="W449" s="8">
        <f>IFERROR(VLOOKUP(D449,Teams!$B$2:$I$21,6,FALSE),"")</f>
        <v>0</v>
      </c>
      <c r="X449" s="2" t="s">
        <v>65</v>
      </c>
      <c r="Y449" s="13"/>
      <c r="Z449" s="14"/>
      <c r="AA449" s="15">
        <f>IFERROR(H449/(H449+Priors!$G$3),0)</f>
        <v>0</v>
      </c>
      <c r="AB449" s="16">
        <f>VLOOKUP(E449,Priors!$A$3:$C$6,2,FALSE)</f>
        <v>0.15714383234350468</v>
      </c>
      <c r="AC449" s="16">
        <f>VLOOKUP(E449,Priors!$A$3:$C$6,3,FALSE)</f>
        <v>0.13222062939449797</v>
      </c>
      <c r="AD449" s="12">
        <f t="shared" si="38"/>
        <v>0.15714383234350468</v>
      </c>
      <c r="AE449" s="12">
        <f t="shared" si="39"/>
        <v>0.13222062939449797</v>
      </c>
      <c r="AF449" s="17">
        <v>1</v>
      </c>
      <c r="AG449" s="17">
        <v>1</v>
      </c>
      <c r="AH449" s="16">
        <f>IFERROR(VLOOKUP(D449,Teams!$B$2:$I$21,7,FALSE),1)</f>
        <v>1</v>
      </c>
      <c r="AI449" s="12">
        <f t="shared" si="40"/>
        <v>0.15714383234350468</v>
      </c>
      <c r="AJ449" s="12">
        <f t="shared" si="41"/>
        <v>0.13222062939449797</v>
      </c>
      <c r="AK449" s="6" t="s">
        <v>66</v>
      </c>
      <c r="AL449" s="18"/>
      <c r="AM449" s="23"/>
      <c r="AN449" s="24">
        <v>0</v>
      </c>
      <c r="AO449" s="25" t="b">
        <v>1</v>
      </c>
      <c r="AP449" s="23" t="s">
        <v>273</v>
      </c>
      <c r="AQ449" s="25" t="b">
        <v>0</v>
      </c>
      <c r="AR449" s="23"/>
      <c r="AS449" s="23" t="s">
        <v>68</v>
      </c>
    </row>
    <row r="450" spans="1:45" ht="60">
      <c r="A450" s="6">
        <v>437</v>
      </c>
      <c r="B450" s="6" t="s">
        <v>1268</v>
      </c>
      <c r="C450" s="6" t="s">
        <v>1268</v>
      </c>
      <c r="D450" s="6" t="s">
        <v>1199</v>
      </c>
      <c r="E450" s="6" t="s">
        <v>11</v>
      </c>
      <c r="F450" s="9">
        <v>4.5</v>
      </c>
      <c r="G450" s="9">
        <v>4.5</v>
      </c>
      <c r="H450" s="10">
        <v>15</v>
      </c>
      <c r="I450" s="11">
        <v>0</v>
      </c>
      <c r="J450" s="11">
        <v>0.01</v>
      </c>
      <c r="K450" s="12">
        <f t="shared" ref="K450:K513" si="42">IFERROR(I450*90/H450,0)</f>
        <v>0</v>
      </c>
      <c r="L450" s="12">
        <f t="shared" ref="L450:L513" si="43">IFERROR(J450*90/H450,0)</f>
        <v>6.0000000000000005E-2</v>
      </c>
      <c r="M450" s="10">
        <v>0</v>
      </c>
      <c r="N450" s="10">
        <v>0</v>
      </c>
      <c r="O450" s="10">
        <v>1</v>
      </c>
      <c r="P450" s="10">
        <v>1</v>
      </c>
      <c r="Q450" s="10">
        <v>0</v>
      </c>
      <c r="R450" s="11">
        <v>0</v>
      </c>
      <c r="S450" s="6"/>
      <c r="T450" s="6"/>
      <c r="U450" s="6"/>
      <c r="V450" s="7" t="b">
        <v>1</v>
      </c>
      <c r="W450" s="8">
        <f>IFERROR(VLOOKUP(D450,Teams!$B$2:$I$21,6,FALSE),"")</f>
        <v>0</v>
      </c>
      <c r="X450" s="2" t="s">
        <v>65</v>
      </c>
      <c r="Y450" s="13"/>
      <c r="Z450" s="14"/>
      <c r="AA450" s="15">
        <f>IFERROR(H450/(H450+Priors!$G$3),0)</f>
        <v>1.4778325123152709E-2</v>
      </c>
      <c r="AB450" s="16">
        <f>VLOOKUP(E450,Priors!$A$3:$C$6,2,FALSE)</f>
        <v>0.15714383234350468</v>
      </c>
      <c r="AC450" s="16">
        <f>VLOOKUP(E450,Priors!$A$3:$C$6,3,FALSE)</f>
        <v>0.13222062939449797</v>
      </c>
      <c r="AD450" s="12">
        <f t="shared" ref="AD450:AD513" si="44">AA450*K450+(1-AA450)*AB450</f>
        <v>0.15482150969803418</v>
      </c>
      <c r="AE450" s="12">
        <f t="shared" ref="AE450:AE513" si="45">AA450*L450+(1-AA450)*AC450</f>
        <v>0.13115332945270736</v>
      </c>
      <c r="AF450" s="17">
        <v>1</v>
      </c>
      <c r="AG450" s="17">
        <v>1</v>
      </c>
      <c r="AH450" s="16">
        <f>IFERROR(VLOOKUP(D450,Teams!$B$2:$I$21,7,FALSE),1)</f>
        <v>1</v>
      </c>
      <c r="AI450" s="12">
        <f t="shared" ref="AI450:AI513" si="46">AD450*AF450*AG450*AH450</f>
        <v>0.15482150969803418</v>
      </c>
      <c r="AJ450" s="12">
        <f t="shared" ref="AJ450:AJ513" si="47">AE450*AF450*AG450*AH450</f>
        <v>0.13115332945270736</v>
      </c>
      <c r="AK450" s="6" t="s">
        <v>66</v>
      </c>
      <c r="AL450" s="18"/>
      <c r="AM450" s="23"/>
      <c r="AN450" s="24">
        <v>2E-3</v>
      </c>
      <c r="AO450" s="25" t="b">
        <v>1</v>
      </c>
      <c r="AP450" s="23" t="s">
        <v>65</v>
      </c>
      <c r="AQ450" s="25" t="b">
        <v>0</v>
      </c>
      <c r="AR450" s="23"/>
      <c r="AS450" s="23" t="s">
        <v>68</v>
      </c>
    </row>
    <row r="451" spans="1:45" ht="60">
      <c r="A451" s="6">
        <v>438</v>
      </c>
      <c r="B451" s="6" t="s">
        <v>1269</v>
      </c>
      <c r="C451" s="6" t="s">
        <v>1270</v>
      </c>
      <c r="D451" s="6" t="s">
        <v>1199</v>
      </c>
      <c r="E451" s="6" t="s">
        <v>11</v>
      </c>
      <c r="F451" s="9">
        <v>4.5</v>
      </c>
      <c r="G451" s="9">
        <v>4.5</v>
      </c>
      <c r="H451" s="10">
        <v>17</v>
      </c>
      <c r="I451" s="11">
        <v>0</v>
      </c>
      <c r="J451" s="11">
        <v>0.01</v>
      </c>
      <c r="K451" s="12">
        <f t="shared" si="42"/>
        <v>0</v>
      </c>
      <c r="L451" s="12">
        <f t="shared" si="43"/>
        <v>5.2941176470588235E-2</v>
      </c>
      <c r="M451" s="10">
        <v>0</v>
      </c>
      <c r="N451" s="10">
        <v>0</v>
      </c>
      <c r="O451" s="10">
        <v>2</v>
      </c>
      <c r="P451" s="10">
        <v>1</v>
      </c>
      <c r="Q451" s="10">
        <v>0</v>
      </c>
      <c r="R451" s="11">
        <v>10.59</v>
      </c>
      <c r="S451" s="6"/>
      <c r="T451" s="6"/>
      <c r="U451" s="6"/>
      <c r="V451" s="7" t="b">
        <v>0</v>
      </c>
      <c r="W451" s="8">
        <f>IFERROR(VLOOKUP(D451,Teams!$B$2:$I$21,6,FALSE),"")</f>
        <v>0</v>
      </c>
      <c r="X451" s="2" t="s">
        <v>65</v>
      </c>
      <c r="Y451" s="13"/>
      <c r="Z451" s="14"/>
      <c r="AA451" s="15">
        <f>IFERROR(H451/(H451+Priors!$G$3),0)</f>
        <v>1.6715830875122909E-2</v>
      </c>
      <c r="AB451" s="16">
        <f>VLOOKUP(E451,Priors!$A$3:$C$6,2,FALSE)</f>
        <v>0.15714383234350468</v>
      </c>
      <c r="AC451" s="16">
        <f>VLOOKUP(E451,Priors!$A$3:$C$6,3,FALSE)</f>
        <v>0.13222062939449797</v>
      </c>
      <c r="AD451" s="12">
        <f t="shared" si="44"/>
        <v>0.15451704261898197</v>
      </c>
      <c r="AE451" s="12">
        <f t="shared" si="45"/>
        <v>0.13089540746754963</v>
      </c>
      <c r="AF451" s="17">
        <v>1</v>
      </c>
      <c r="AG451" s="17">
        <v>1</v>
      </c>
      <c r="AH451" s="16">
        <f>IFERROR(VLOOKUP(D451,Teams!$B$2:$I$21,7,FALSE),1)</f>
        <v>1</v>
      </c>
      <c r="AI451" s="12">
        <f t="shared" si="46"/>
        <v>0.15451704261898197</v>
      </c>
      <c r="AJ451" s="12">
        <f t="shared" si="47"/>
        <v>0.13089540746754963</v>
      </c>
      <c r="AK451" s="6" t="s">
        <v>66</v>
      </c>
      <c r="AL451" s="18"/>
      <c r="AM451" s="23"/>
      <c r="AN451" s="24">
        <v>3.0000000000000001E-3</v>
      </c>
      <c r="AO451" s="25" t="b">
        <v>1</v>
      </c>
      <c r="AP451" s="23" t="s">
        <v>1265</v>
      </c>
      <c r="AQ451" s="25" t="b">
        <v>0</v>
      </c>
      <c r="AR451" s="23"/>
      <c r="AS451" s="23" t="s">
        <v>68</v>
      </c>
    </row>
    <row r="452" spans="1:45" ht="60">
      <c r="A452" s="6">
        <v>439</v>
      </c>
      <c r="B452" s="6" t="s">
        <v>1271</v>
      </c>
      <c r="C452" s="6" t="s">
        <v>1272</v>
      </c>
      <c r="D452" s="6" t="s">
        <v>1199</v>
      </c>
      <c r="E452" s="6" t="s">
        <v>14</v>
      </c>
      <c r="F452" s="9">
        <v>7</v>
      </c>
      <c r="G452" s="9">
        <v>7</v>
      </c>
      <c r="H452" s="10">
        <v>1630</v>
      </c>
      <c r="I452" s="11">
        <v>9.2100000000000009</v>
      </c>
      <c r="J452" s="11">
        <v>0.28000000000000003</v>
      </c>
      <c r="K452" s="12">
        <f t="shared" si="42"/>
        <v>0.50852760736196323</v>
      </c>
      <c r="L452" s="12">
        <f t="shared" si="43"/>
        <v>1.5460122699386505E-2</v>
      </c>
      <c r="M452" s="10">
        <v>11</v>
      </c>
      <c r="N452" s="10">
        <v>2</v>
      </c>
      <c r="O452" s="10">
        <v>111</v>
      </c>
      <c r="P452" s="10">
        <v>3.7</v>
      </c>
      <c r="Q452" s="10">
        <v>17</v>
      </c>
      <c r="R452" s="11">
        <v>3.53</v>
      </c>
      <c r="S452" s="6"/>
      <c r="T452" s="6"/>
      <c r="U452" s="6"/>
      <c r="V452" s="7" t="b">
        <v>0</v>
      </c>
      <c r="W452" s="8">
        <f>IFERROR(VLOOKUP(D452,Teams!$B$2:$I$21,6,FALSE),"")</f>
        <v>0</v>
      </c>
      <c r="X452" s="2" t="s">
        <v>65</v>
      </c>
      <c r="Y452" s="13"/>
      <c r="Z452" s="14"/>
      <c r="AA452" s="15">
        <f>IFERROR(H452/(H452+Priors!$G$3),0)</f>
        <v>0.61977186311787069</v>
      </c>
      <c r="AB452" s="16">
        <f>VLOOKUP(E452,Priors!$A$3:$C$6,2,FALSE)</f>
        <v>0.44625207326425426</v>
      </c>
      <c r="AC452" s="16">
        <f>VLOOKUP(E452,Priors!$A$3:$C$6,3,FALSE)</f>
        <v>5.8217260259314105E-2</v>
      </c>
      <c r="AD452" s="12">
        <f t="shared" si="44"/>
        <v>0.48484869705865186</v>
      </c>
      <c r="AE452" s="12">
        <f t="shared" si="45"/>
        <v>3.171758945221069E-2</v>
      </c>
      <c r="AF452" s="17">
        <v>1</v>
      </c>
      <c r="AG452" s="17">
        <v>1</v>
      </c>
      <c r="AH452" s="16">
        <f>IFERROR(VLOOKUP(D452,Teams!$B$2:$I$21,7,FALSE),1)</f>
        <v>1</v>
      </c>
      <c r="AI452" s="12">
        <f t="shared" si="46"/>
        <v>0.48484869705865186</v>
      </c>
      <c r="AJ452" s="12">
        <f t="shared" si="47"/>
        <v>3.171758945221069E-2</v>
      </c>
      <c r="AK452" s="6" t="s">
        <v>204</v>
      </c>
      <c r="AL452" s="18">
        <v>75</v>
      </c>
      <c r="AM452" s="23" t="s">
        <v>1273</v>
      </c>
      <c r="AN452" s="24">
        <v>2.7999999999999997E-2</v>
      </c>
      <c r="AO452" s="25" t="b">
        <v>1</v>
      </c>
      <c r="AP452" s="23" t="s">
        <v>1274</v>
      </c>
      <c r="AQ452" s="25" t="b">
        <v>0</v>
      </c>
      <c r="AR452" s="23"/>
      <c r="AS452" s="23" t="s">
        <v>68</v>
      </c>
    </row>
    <row r="453" spans="1:45" ht="60">
      <c r="A453" s="6">
        <v>440</v>
      </c>
      <c r="B453" s="6" t="s">
        <v>1275</v>
      </c>
      <c r="C453" s="6" t="s">
        <v>1276</v>
      </c>
      <c r="D453" s="6" t="s">
        <v>1199</v>
      </c>
      <c r="E453" s="6" t="s">
        <v>14</v>
      </c>
      <c r="F453" s="9">
        <v>5.5</v>
      </c>
      <c r="G453" s="9">
        <v>5.5</v>
      </c>
      <c r="H453" s="10">
        <v>607</v>
      </c>
      <c r="I453" s="11">
        <v>2.74</v>
      </c>
      <c r="J453" s="11">
        <v>0.34</v>
      </c>
      <c r="K453" s="12">
        <f t="shared" si="42"/>
        <v>0.4062602965403625</v>
      </c>
      <c r="L453" s="12">
        <f t="shared" si="43"/>
        <v>5.0411861614497532E-2</v>
      </c>
      <c r="M453" s="10">
        <v>2</v>
      </c>
      <c r="N453" s="10">
        <v>1</v>
      </c>
      <c r="O453" s="10">
        <v>42</v>
      </c>
      <c r="P453" s="10">
        <v>1.8</v>
      </c>
      <c r="Q453" s="10">
        <v>5</v>
      </c>
      <c r="R453" s="11">
        <v>6.52</v>
      </c>
      <c r="S453" s="6"/>
      <c r="T453" s="6"/>
      <c r="U453" s="6"/>
      <c r="V453" s="7" t="b">
        <v>0</v>
      </c>
      <c r="W453" s="8">
        <f>IFERROR(VLOOKUP(D453,Teams!$B$2:$I$21,6,FALSE),"")</f>
        <v>0</v>
      </c>
      <c r="X453" s="2" t="s">
        <v>65</v>
      </c>
      <c r="Y453" s="13"/>
      <c r="Z453" s="14"/>
      <c r="AA453" s="15">
        <f>IFERROR(H453/(H453+Priors!$G$3),0)</f>
        <v>0.37772246421904171</v>
      </c>
      <c r="AB453" s="16">
        <f>VLOOKUP(E453,Priors!$A$3:$C$6,2,FALSE)</f>
        <v>0.44625207326425426</v>
      </c>
      <c r="AC453" s="16">
        <f>VLOOKUP(E453,Priors!$A$3:$C$6,3,FALSE)</f>
        <v>5.8217260259314105E-2</v>
      </c>
      <c r="AD453" s="12">
        <f t="shared" si="44"/>
        <v>0.43114628081160811</v>
      </c>
      <c r="AE453" s="12">
        <f t="shared" si="45"/>
        <v>5.5268985848982016E-2</v>
      </c>
      <c r="AF453" s="17">
        <v>1</v>
      </c>
      <c r="AG453" s="17">
        <v>1</v>
      </c>
      <c r="AH453" s="16">
        <f>IFERROR(VLOOKUP(D453,Teams!$B$2:$I$21,7,FALSE),1)</f>
        <v>1</v>
      </c>
      <c r="AI453" s="12">
        <f t="shared" si="46"/>
        <v>0.43114628081160811</v>
      </c>
      <c r="AJ453" s="12">
        <f t="shared" si="47"/>
        <v>5.5268985848982016E-2</v>
      </c>
      <c r="AK453" s="6" t="s">
        <v>66</v>
      </c>
      <c r="AL453" s="18"/>
      <c r="AM453" s="23"/>
      <c r="AN453" s="24">
        <v>6.9999999999999993E-3</v>
      </c>
      <c r="AO453" s="25" t="b">
        <v>1</v>
      </c>
      <c r="AP453" s="23" t="s">
        <v>1277</v>
      </c>
      <c r="AQ453" s="25" t="b">
        <v>0</v>
      </c>
      <c r="AR453" s="23"/>
      <c r="AS453" s="23" t="s">
        <v>68</v>
      </c>
    </row>
    <row r="454" spans="1:45" ht="60">
      <c r="A454" s="6">
        <v>441</v>
      </c>
      <c r="B454" s="6" t="s">
        <v>1278</v>
      </c>
      <c r="C454" s="6" t="s">
        <v>1279</v>
      </c>
      <c r="D454" s="6" t="s">
        <v>1199</v>
      </c>
      <c r="E454" s="6" t="s">
        <v>14</v>
      </c>
      <c r="F454" s="9">
        <v>4.5</v>
      </c>
      <c r="G454" s="9">
        <v>4.5</v>
      </c>
      <c r="H454" s="10">
        <v>0</v>
      </c>
      <c r="I454" s="11">
        <v>0</v>
      </c>
      <c r="J454" s="11">
        <v>0</v>
      </c>
      <c r="K454" s="12">
        <f t="shared" si="42"/>
        <v>0</v>
      </c>
      <c r="L454" s="12">
        <f t="shared" si="43"/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1">
        <v>0</v>
      </c>
      <c r="S454" s="6"/>
      <c r="T454" s="6"/>
      <c r="U454" s="6"/>
      <c r="V454" s="7" t="b">
        <v>0</v>
      </c>
      <c r="W454" s="8">
        <f>IFERROR(VLOOKUP(D454,Teams!$B$2:$I$21,6,FALSE),"")</f>
        <v>0</v>
      </c>
      <c r="X454" s="2" t="s">
        <v>65</v>
      </c>
      <c r="Y454" s="13"/>
      <c r="Z454" s="14"/>
      <c r="AA454" s="15">
        <f>IFERROR(H454/(H454+Priors!$G$3),0)</f>
        <v>0</v>
      </c>
      <c r="AB454" s="16">
        <f>VLOOKUP(E454,Priors!$A$3:$C$6,2,FALSE)</f>
        <v>0.44625207326425426</v>
      </c>
      <c r="AC454" s="16">
        <f>VLOOKUP(E454,Priors!$A$3:$C$6,3,FALSE)</f>
        <v>5.8217260259314105E-2</v>
      </c>
      <c r="AD454" s="12">
        <f t="shared" si="44"/>
        <v>0.44625207326425426</v>
      </c>
      <c r="AE454" s="12">
        <f t="shared" si="45"/>
        <v>5.8217260259314105E-2</v>
      </c>
      <c r="AF454" s="17">
        <v>1</v>
      </c>
      <c r="AG454" s="17">
        <v>1</v>
      </c>
      <c r="AH454" s="16">
        <f>IFERROR(VLOOKUP(D454,Teams!$B$2:$I$21,7,FALSE),1)</f>
        <v>1</v>
      </c>
      <c r="AI454" s="12">
        <f t="shared" si="46"/>
        <v>0.44625207326425426</v>
      </c>
      <c r="AJ454" s="12">
        <f t="shared" si="47"/>
        <v>5.8217260259314105E-2</v>
      </c>
      <c r="AK454" s="6" t="s">
        <v>66</v>
      </c>
      <c r="AL454" s="18"/>
      <c r="AM454" s="23"/>
      <c r="AN454" s="24">
        <v>1.2E-2</v>
      </c>
      <c r="AO454" s="25" t="b">
        <v>1</v>
      </c>
      <c r="AP454" s="23" t="s">
        <v>1280</v>
      </c>
      <c r="AQ454" s="25" t="b">
        <v>0</v>
      </c>
      <c r="AR454" s="23"/>
      <c r="AS454" s="23" t="s">
        <v>68</v>
      </c>
    </row>
    <row r="455" spans="1:45" ht="60">
      <c r="A455" s="6">
        <v>442</v>
      </c>
      <c r="B455" s="6" t="s">
        <v>1281</v>
      </c>
      <c r="C455" s="6" t="s">
        <v>1282</v>
      </c>
      <c r="D455" s="6" t="s">
        <v>1283</v>
      </c>
      <c r="E455" s="6" t="s">
        <v>7</v>
      </c>
      <c r="F455" s="9">
        <v>5</v>
      </c>
      <c r="G455" s="9">
        <v>5</v>
      </c>
      <c r="H455" s="10">
        <v>2416</v>
      </c>
      <c r="I455" s="11">
        <v>0.16</v>
      </c>
      <c r="J455" s="11">
        <v>0</v>
      </c>
      <c r="K455" s="12">
        <f t="shared" si="42"/>
        <v>5.9602649006622521E-3</v>
      </c>
      <c r="L455" s="12">
        <f t="shared" si="43"/>
        <v>0</v>
      </c>
      <c r="M455" s="10">
        <v>0</v>
      </c>
      <c r="N455" s="10">
        <v>1</v>
      </c>
      <c r="O455" s="10">
        <v>96</v>
      </c>
      <c r="P455" s="10">
        <v>3.6</v>
      </c>
      <c r="Q455" s="10">
        <v>27</v>
      </c>
      <c r="R455" s="11">
        <v>0</v>
      </c>
      <c r="S455" s="6"/>
      <c r="T455" s="6"/>
      <c r="U455" s="6"/>
      <c r="V455" s="7" t="b">
        <v>0</v>
      </c>
      <c r="W455" s="8">
        <f>IFERROR(VLOOKUP(D455,Teams!$B$2:$I$21,6,FALSE),"")</f>
        <v>0</v>
      </c>
      <c r="X455" s="2" t="s">
        <v>65</v>
      </c>
      <c r="Y455" s="13"/>
      <c r="Z455" s="14"/>
      <c r="AA455" s="15">
        <f>IFERROR(H455/(H455+Priors!$G$3),0)</f>
        <v>0.70725995316159251</v>
      </c>
      <c r="AB455" s="16">
        <f>VLOOKUP(E455,Priors!$A$3:$C$6,2,FALSE)</f>
        <v>2.4013207263995197E-4</v>
      </c>
      <c r="AC455" s="16">
        <f>VLOOKUP(E455,Priors!$A$3:$C$6,3,FALSE)</f>
        <v>1.9810895992796044E-3</v>
      </c>
      <c r="AD455" s="12">
        <f t="shared" si="44"/>
        <v>4.2857529486650912E-3</v>
      </c>
      <c r="AE455" s="12">
        <f t="shared" si="45"/>
        <v>5.7994426208419331E-4</v>
      </c>
      <c r="AF455" s="17">
        <v>1</v>
      </c>
      <c r="AG455" s="17">
        <v>1</v>
      </c>
      <c r="AH455" s="16">
        <f>IFERROR(VLOOKUP(D455,Teams!$B$2:$I$21,7,FALSE),1)</f>
        <v>1</v>
      </c>
      <c r="AI455" s="12">
        <f t="shared" si="46"/>
        <v>4.2857529486650912E-3</v>
      </c>
      <c r="AJ455" s="12">
        <f t="shared" si="47"/>
        <v>5.7994426208419331E-4</v>
      </c>
      <c r="AK455" s="6" t="s">
        <v>66</v>
      </c>
      <c r="AL455" s="18"/>
      <c r="AM455" s="23"/>
      <c r="AN455" s="24">
        <v>1.1000000000000001E-2</v>
      </c>
      <c r="AO455" s="25" t="b">
        <v>1</v>
      </c>
      <c r="AP455" s="23" t="s">
        <v>1284</v>
      </c>
      <c r="AQ455" s="25" t="b">
        <v>0</v>
      </c>
      <c r="AR455" s="23"/>
      <c r="AS455" s="23" t="s">
        <v>68</v>
      </c>
    </row>
    <row r="456" spans="1:45" ht="60">
      <c r="A456" s="6">
        <v>443</v>
      </c>
      <c r="B456" s="6" t="s">
        <v>1285</v>
      </c>
      <c r="C456" s="6" t="s">
        <v>1286</v>
      </c>
      <c r="D456" s="6" t="s">
        <v>1283</v>
      </c>
      <c r="E456" s="6" t="s">
        <v>7</v>
      </c>
      <c r="F456" s="9">
        <v>4.5</v>
      </c>
      <c r="G456" s="9">
        <v>4.5</v>
      </c>
      <c r="H456" s="10">
        <v>0</v>
      </c>
      <c r="I456" s="11">
        <v>0</v>
      </c>
      <c r="J456" s="11">
        <v>0</v>
      </c>
      <c r="K456" s="12">
        <f t="shared" si="42"/>
        <v>0</v>
      </c>
      <c r="L456" s="12">
        <f t="shared" si="43"/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1">
        <v>0</v>
      </c>
      <c r="S456" s="6"/>
      <c r="T456" s="6"/>
      <c r="U456" s="6"/>
      <c r="V456" s="7" t="b">
        <v>0</v>
      </c>
      <c r="W456" s="8">
        <f>IFERROR(VLOOKUP(D456,Teams!$B$2:$I$21,6,FALSE),"")</f>
        <v>0</v>
      </c>
      <c r="X456" s="2" t="s">
        <v>65</v>
      </c>
      <c r="Y456" s="13"/>
      <c r="Z456" s="14"/>
      <c r="AA456" s="15">
        <f>IFERROR(H456/(H456+Priors!$G$3),0)</f>
        <v>0</v>
      </c>
      <c r="AB456" s="16">
        <f>VLOOKUP(E456,Priors!$A$3:$C$6,2,FALSE)</f>
        <v>2.4013207263995197E-4</v>
      </c>
      <c r="AC456" s="16">
        <f>VLOOKUP(E456,Priors!$A$3:$C$6,3,FALSE)</f>
        <v>1.9810895992796044E-3</v>
      </c>
      <c r="AD456" s="12">
        <f t="shared" si="44"/>
        <v>2.4013207263995197E-4</v>
      </c>
      <c r="AE456" s="12">
        <f t="shared" si="45"/>
        <v>1.9810895992796044E-3</v>
      </c>
      <c r="AF456" s="17">
        <v>1</v>
      </c>
      <c r="AG456" s="17">
        <v>1</v>
      </c>
      <c r="AH456" s="16">
        <f>IFERROR(VLOOKUP(D456,Teams!$B$2:$I$21,7,FALSE),1)</f>
        <v>1</v>
      </c>
      <c r="AI456" s="12">
        <f t="shared" si="46"/>
        <v>2.4013207263995197E-4</v>
      </c>
      <c r="AJ456" s="12">
        <f t="shared" si="47"/>
        <v>1.9810895992796044E-3</v>
      </c>
      <c r="AK456" s="6" t="s">
        <v>66</v>
      </c>
      <c r="AL456" s="18"/>
      <c r="AM456" s="23"/>
      <c r="AN456" s="24">
        <v>1E-3</v>
      </c>
      <c r="AO456" s="25" t="b">
        <v>1</v>
      </c>
      <c r="AP456" s="23" t="s">
        <v>1287</v>
      </c>
      <c r="AQ456" s="25" t="b">
        <v>0</v>
      </c>
      <c r="AR456" s="23"/>
      <c r="AS456" s="23" t="s">
        <v>68</v>
      </c>
    </row>
    <row r="457" spans="1:45" ht="60">
      <c r="A457" s="6">
        <v>444</v>
      </c>
      <c r="B457" s="6" t="s">
        <v>1288</v>
      </c>
      <c r="C457" s="6" t="s">
        <v>1289</v>
      </c>
      <c r="D457" s="6" t="s">
        <v>1283</v>
      </c>
      <c r="E457" s="6" t="s">
        <v>7</v>
      </c>
      <c r="F457" s="9">
        <v>4.5</v>
      </c>
      <c r="G457" s="9">
        <v>4.5</v>
      </c>
      <c r="H457" s="10">
        <v>0</v>
      </c>
      <c r="I457" s="11">
        <v>0</v>
      </c>
      <c r="J457" s="11">
        <v>0</v>
      </c>
      <c r="K457" s="12">
        <f t="shared" si="42"/>
        <v>0</v>
      </c>
      <c r="L457" s="12">
        <f t="shared" si="43"/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1">
        <v>0</v>
      </c>
      <c r="S457" s="6"/>
      <c r="T457" s="6"/>
      <c r="U457" s="6"/>
      <c r="V457" s="7" t="b">
        <v>1</v>
      </c>
      <c r="W457" s="8">
        <f>IFERROR(VLOOKUP(D457,Teams!$B$2:$I$21,6,FALSE),"")</f>
        <v>0</v>
      </c>
      <c r="X457" s="2" t="s">
        <v>65</v>
      </c>
      <c r="Y457" s="13"/>
      <c r="Z457" s="14"/>
      <c r="AA457" s="15">
        <f>IFERROR(H457/(H457+Priors!$G$3),0)</f>
        <v>0</v>
      </c>
      <c r="AB457" s="16">
        <f>VLOOKUP(E457,Priors!$A$3:$C$6,2,FALSE)</f>
        <v>2.4013207263995197E-4</v>
      </c>
      <c r="AC457" s="16">
        <f>VLOOKUP(E457,Priors!$A$3:$C$6,3,FALSE)</f>
        <v>1.9810895992796044E-3</v>
      </c>
      <c r="AD457" s="12">
        <f t="shared" si="44"/>
        <v>2.4013207263995197E-4</v>
      </c>
      <c r="AE457" s="12">
        <f t="shared" si="45"/>
        <v>1.9810895992796044E-3</v>
      </c>
      <c r="AF457" s="17">
        <v>1</v>
      </c>
      <c r="AG457" s="17">
        <v>1</v>
      </c>
      <c r="AH457" s="16">
        <f>IFERROR(VLOOKUP(D457,Teams!$B$2:$I$21,7,FALSE),1)</f>
        <v>1</v>
      </c>
      <c r="AI457" s="12">
        <f t="shared" si="46"/>
        <v>2.4013207263995197E-4</v>
      </c>
      <c r="AJ457" s="12">
        <f t="shared" si="47"/>
        <v>1.9810895992796044E-3</v>
      </c>
      <c r="AK457" s="6" t="s">
        <v>66</v>
      </c>
      <c r="AL457" s="18"/>
      <c r="AM457" s="23"/>
      <c r="AN457" s="24">
        <v>1E-3</v>
      </c>
      <c r="AO457" s="25" t="b">
        <v>1</v>
      </c>
      <c r="AP457" s="23" t="s">
        <v>345</v>
      </c>
      <c r="AQ457" s="25" t="b">
        <v>0</v>
      </c>
      <c r="AR457" s="23"/>
      <c r="AS457" s="23" t="s">
        <v>68</v>
      </c>
    </row>
    <row r="458" spans="1:45" ht="60">
      <c r="A458" s="6">
        <v>445</v>
      </c>
      <c r="B458" s="6" t="s">
        <v>1290</v>
      </c>
      <c r="C458" s="6" t="s">
        <v>1291</v>
      </c>
      <c r="D458" s="6" t="s">
        <v>1283</v>
      </c>
      <c r="E458" s="6" t="s">
        <v>9</v>
      </c>
      <c r="F458" s="9">
        <v>5</v>
      </c>
      <c r="G458" s="9">
        <v>5</v>
      </c>
      <c r="H458" s="10">
        <v>2963</v>
      </c>
      <c r="I458" s="11">
        <v>4.8</v>
      </c>
      <c r="J458" s="11">
        <v>0.96</v>
      </c>
      <c r="K458" s="12">
        <f t="shared" si="42"/>
        <v>0.14579817752278096</v>
      </c>
      <c r="L458" s="12">
        <f t="shared" si="43"/>
        <v>2.9159635504556192E-2</v>
      </c>
      <c r="M458" s="10">
        <v>4</v>
      </c>
      <c r="N458" s="10">
        <v>0</v>
      </c>
      <c r="O458" s="10">
        <v>126</v>
      </c>
      <c r="P458" s="10">
        <v>3.6</v>
      </c>
      <c r="Q458" s="10">
        <v>33</v>
      </c>
      <c r="R458" s="11">
        <v>8.8699999999999992</v>
      </c>
      <c r="S458" s="6"/>
      <c r="T458" s="6"/>
      <c r="U458" s="6"/>
      <c r="V458" s="7" t="b">
        <v>0</v>
      </c>
      <c r="W458" s="8">
        <f>IFERROR(VLOOKUP(D458,Teams!$B$2:$I$21,6,FALSE),"")</f>
        <v>0</v>
      </c>
      <c r="X458" s="2" t="s">
        <v>65</v>
      </c>
      <c r="Y458" s="13"/>
      <c r="Z458" s="14"/>
      <c r="AA458" s="15">
        <f>IFERROR(H458/(H458+Priors!$G$3),0)</f>
        <v>0.74766590966439561</v>
      </c>
      <c r="AB458" s="16">
        <f>VLOOKUP(E458,Priors!$A$3:$C$6,2,FALSE)</f>
        <v>6.0081391379341341E-2</v>
      </c>
      <c r="AC458" s="16">
        <f>VLOOKUP(E458,Priors!$A$3:$C$6,3,FALSE)</f>
        <v>5.9588191961478354E-2</v>
      </c>
      <c r="AD458" s="12">
        <f t="shared" si="44"/>
        <v>0.12416891026478458</v>
      </c>
      <c r="AE458" s="12">
        <f t="shared" si="45"/>
        <v>3.6837797618339226E-2</v>
      </c>
      <c r="AF458" s="17">
        <v>1</v>
      </c>
      <c r="AG458" s="17">
        <v>1</v>
      </c>
      <c r="AH458" s="16">
        <f>IFERROR(VLOOKUP(D458,Teams!$B$2:$I$21,7,FALSE),1)</f>
        <v>1</v>
      </c>
      <c r="AI458" s="12">
        <f t="shared" si="46"/>
        <v>0.12416891026478458</v>
      </c>
      <c r="AJ458" s="12">
        <f t="shared" si="47"/>
        <v>3.6837797618339226E-2</v>
      </c>
      <c r="AK458" s="6" t="s">
        <v>66</v>
      </c>
      <c r="AL458" s="18"/>
      <c r="AM458" s="23"/>
      <c r="AN458" s="24">
        <v>2.1000000000000001E-2</v>
      </c>
      <c r="AO458" s="25" t="b">
        <v>1</v>
      </c>
      <c r="AP458" s="23" t="s">
        <v>1292</v>
      </c>
      <c r="AQ458" s="25" t="b">
        <v>0</v>
      </c>
      <c r="AR458" s="23"/>
      <c r="AS458" s="23" t="s">
        <v>68</v>
      </c>
    </row>
    <row r="459" spans="1:45" ht="60">
      <c r="A459" s="6">
        <v>446</v>
      </c>
      <c r="B459" s="6" t="s">
        <v>1293</v>
      </c>
      <c r="C459" s="6" t="s">
        <v>1294</v>
      </c>
      <c r="D459" s="6" t="s">
        <v>1283</v>
      </c>
      <c r="E459" s="6" t="s">
        <v>9</v>
      </c>
      <c r="F459" s="9">
        <v>5</v>
      </c>
      <c r="G459" s="9">
        <v>5</v>
      </c>
      <c r="H459" s="10">
        <v>1089</v>
      </c>
      <c r="I459" s="11">
        <v>0.97</v>
      </c>
      <c r="J459" s="11">
        <v>0.6</v>
      </c>
      <c r="K459" s="12">
        <f t="shared" si="42"/>
        <v>8.0165289256198341E-2</v>
      </c>
      <c r="L459" s="12">
        <f t="shared" si="43"/>
        <v>4.9586776859504134E-2</v>
      </c>
      <c r="M459" s="10">
        <v>0</v>
      </c>
      <c r="N459" s="10">
        <v>0</v>
      </c>
      <c r="O459" s="10">
        <v>51</v>
      </c>
      <c r="P459" s="10">
        <v>3.2</v>
      </c>
      <c r="Q459" s="10">
        <v>11</v>
      </c>
      <c r="R459" s="11">
        <v>9.5</v>
      </c>
      <c r="S459" s="6"/>
      <c r="T459" s="6">
        <v>3</v>
      </c>
      <c r="U459" s="6"/>
      <c r="V459" s="7" t="b">
        <v>0</v>
      </c>
      <c r="W459" s="8">
        <f>IFERROR(VLOOKUP(D459,Teams!$B$2:$I$21,6,FALSE),"")</f>
        <v>0</v>
      </c>
      <c r="X459" s="2" t="s">
        <v>65</v>
      </c>
      <c r="Y459" s="13"/>
      <c r="Z459" s="14"/>
      <c r="AA459" s="15">
        <f>IFERROR(H459/(H459+Priors!$G$3),0)</f>
        <v>0.52130205840114885</v>
      </c>
      <c r="AB459" s="16">
        <f>VLOOKUP(E459,Priors!$A$3:$C$6,2,FALSE)</f>
        <v>6.0081391379341341E-2</v>
      </c>
      <c r="AC459" s="16">
        <f>VLOOKUP(E459,Priors!$A$3:$C$6,3,FALSE)</f>
        <v>5.9588191961478354E-2</v>
      </c>
      <c r="AD459" s="12">
        <f t="shared" si="44"/>
        <v>7.0551168683265358E-2</v>
      </c>
      <c r="AE459" s="12">
        <f t="shared" si="45"/>
        <v>5.437443368189486E-2</v>
      </c>
      <c r="AF459" s="17">
        <v>1</v>
      </c>
      <c r="AG459" s="17">
        <v>1</v>
      </c>
      <c r="AH459" s="16">
        <f>IFERROR(VLOOKUP(D459,Teams!$B$2:$I$21,7,FALSE),1)</f>
        <v>1</v>
      </c>
      <c r="AI459" s="12">
        <f t="shared" si="46"/>
        <v>7.0551168683265358E-2</v>
      </c>
      <c r="AJ459" s="12">
        <f t="shared" si="47"/>
        <v>5.437443368189486E-2</v>
      </c>
      <c r="AK459" s="6" t="s">
        <v>66</v>
      </c>
      <c r="AL459" s="18">
        <v>100</v>
      </c>
      <c r="AM459" s="23"/>
      <c r="AN459" s="24">
        <v>2E-3</v>
      </c>
      <c r="AO459" s="25" t="b">
        <v>1</v>
      </c>
      <c r="AP459" s="23" t="s">
        <v>1295</v>
      </c>
      <c r="AQ459" s="25" t="b">
        <v>0</v>
      </c>
      <c r="AR459" s="23"/>
      <c r="AS459" s="23" t="s">
        <v>68</v>
      </c>
    </row>
    <row r="460" spans="1:45" ht="60">
      <c r="A460" s="6">
        <v>447</v>
      </c>
      <c r="B460" s="6" t="s">
        <v>1296</v>
      </c>
      <c r="C460" s="6" t="s">
        <v>1297</v>
      </c>
      <c r="D460" s="6" t="s">
        <v>1283</v>
      </c>
      <c r="E460" s="6" t="s">
        <v>9</v>
      </c>
      <c r="F460" s="9">
        <v>5</v>
      </c>
      <c r="G460" s="9">
        <v>5</v>
      </c>
      <c r="H460" s="10">
        <v>1834</v>
      </c>
      <c r="I460" s="11">
        <v>1.73</v>
      </c>
      <c r="J460" s="11">
        <v>0.86</v>
      </c>
      <c r="K460" s="12">
        <f t="shared" si="42"/>
        <v>8.4896401308615047E-2</v>
      </c>
      <c r="L460" s="12">
        <f t="shared" si="43"/>
        <v>4.2202835332606325E-2</v>
      </c>
      <c r="M460" s="10">
        <v>1</v>
      </c>
      <c r="N460" s="10">
        <v>1</v>
      </c>
      <c r="O460" s="10">
        <v>89</v>
      </c>
      <c r="P460" s="10">
        <v>3.6</v>
      </c>
      <c r="Q460" s="10">
        <v>21</v>
      </c>
      <c r="R460" s="11">
        <v>10.6</v>
      </c>
      <c r="S460" s="6"/>
      <c r="T460" s="6"/>
      <c r="U460" s="6"/>
      <c r="V460" s="7" t="b">
        <v>0</v>
      </c>
      <c r="W460" s="8">
        <f>IFERROR(VLOOKUP(D460,Teams!$B$2:$I$21,6,FALSE),"")</f>
        <v>0</v>
      </c>
      <c r="X460" s="2" t="s">
        <v>65</v>
      </c>
      <c r="Y460" s="13"/>
      <c r="Z460" s="14"/>
      <c r="AA460" s="15">
        <f>IFERROR(H460/(H460+Priors!$G$3),0)</f>
        <v>0.64714184897671134</v>
      </c>
      <c r="AB460" s="16">
        <f>VLOOKUP(E460,Priors!$A$3:$C$6,2,FALSE)</f>
        <v>6.0081391379341341E-2</v>
      </c>
      <c r="AC460" s="16">
        <f>VLOOKUP(E460,Priors!$A$3:$C$6,3,FALSE)</f>
        <v>5.9588191961478354E-2</v>
      </c>
      <c r="AD460" s="12">
        <f t="shared" si="44"/>
        <v>7.6140222787346973E-2</v>
      </c>
      <c r="AE460" s="12">
        <f t="shared" si="45"/>
        <v>4.8337400127550584E-2</v>
      </c>
      <c r="AF460" s="17">
        <v>1</v>
      </c>
      <c r="AG460" s="17">
        <v>1</v>
      </c>
      <c r="AH460" s="16">
        <f>IFERROR(VLOOKUP(D460,Teams!$B$2:$I$21,7,FALSE),1)</f>
        <v>1</v>
      </c>
      <c r="AI460" s="12">
        <f t="shared" si="46"/>
        <v>7.6140222787346973E-2</v>
      </c>
      <c r="AJ460" s="12">
        <f t="shared" si="47"/>
        <v>4.8337400127550584E-2</v>
      </c>
      <c r="AK460" s="6" t="s">
        <v>66</v>
      </c>
      <c r="AL460" s="18"/>
      <c r="AM460" s="23"/>
      <c r="AN460" s="24">
        <v>4.0000000000000001E-3</v>
      </c>
      <c r="AO460" s="25" t="b">
        <v>1</v>
      </c>
      <c r="AP460" s="23" t="s">
        <v>1298</v>
      </c>
      <c r="AQ460" s="25" t="b">
        <v>0</v>
      </c>
      <c r="AR460" s="23"/>
      <c r="AS460" s="23" t="s">
        <v>68</v>
      </c>
    </row>
    <row r="461" spans="1:45" ht="60">
      <c r="A461" s="6">
        <v>448</v>
      </c>
      <c r="B461" s="6" t="s">
        <v>1299</v>
      </c>
      <c r="C461" s="6" t="s">
        <v>1300</v>
      </c>
      <c r="D461" s="6" t="s">
        <v>1283</v>
      </c>
      <c r="E461" s="6" t="s">
        <v>9</v>
      </c>
      <c r="F461" s="9">
        <v>5</v>
      </c>
      <c r="G461" s="9">
        <v>5</v>
      </c>
      <c r="H461" s="10">
        <v>2195</v>
      </c>
      <c r="I461" s="11">
        <v>1.08</v>
      </c>
      <c r="J461" s="11">
        <v>0.36</v>
      </c>
      <c r="K461" s="12">
        <f t="shared" si="42"/>
        <v>4.4282460136674258E-2</v>
      </c>
      <c r="L461" s="12">
        <f t="shared" si="43"/>
        <v>1.4760820045558086E-2</v>
      </c>
      <c r="M461" s="10">
        <v>1</v>
      </c>
      <c r="N461" s="10">
        <v>3</v>
      </c>
      <c r="O461" s="10">
        <v>93</v>
      </c>
      <c r="P461" s="10">
        <v>3.2</v>
      </c>
      <c r="Q461" s="10">
        <v>25</v>
      </c>
      <c r="R461" s="11">
        <v>9.23</v>
      </c>
      <c r="S461" s="6"/>
      <c r="T461" s="6"/>
      <c r="U461" s="6"/>
      <c r="V461" s="7" t="b">
        <v>0</v>
      </c>
      <c r="W461" s="8">
        <f>IFERROR(VLOOKUP(D461,Teams!$B$2:$I$21,6,FALSE),"")</f>
        <v>0</v>
      </c>
      <c r="X461" s="2" t="s">
        <v>65</v>
      </c>
      <c r="Y461" s="13"/>
      <c r="Z461" s="14"/>
      <c r="AA461" s="15">
        <f>IFERROR(H461/(H461+Priors!$G$3),0)</f>
        <v>0.68701095461658845</v>
      </c>
      <c r="AB461" s="16">
        <f>VLOOKUP(E461,Priors!$A$3:$C$6,2,FALSE)</f>
        <v>6.0081391379341341E-2</v>
      </c>
      <c r="AC461" s="16">
        <f>VLOOKUP(E461,Priors!$A$3:$C$6,3,FALSE)</f>
        <v>5.9588191961478354E-2</v>
      </c>
      <c r="AD461" s="12">
        <f t="shared" si="44"/>
        <v>4.9227352544394781E-2</v>
      </c>
      <c r="AE461" s="12">
        <f t="shared" si="45"/>
        <v>2.8791296388569122E-2</v>
      </c>
      <c r="AF461" s="17">
        <v>1</v>
      </c>
      <c r="AG461" s="17">
        <v>1</v>
      </c>
      <c r="AH461" s="16">
        <f>IFERROR(VLOOKUP(D461,Teams!$B$2:$I$21,7,FALSE),1)</f>
        <v>1</v>
      </c>
      <c r="AI461" s="12">
        <f t="shared" si="46"/>
        <v>4.9227352544394781E-2</v>
      </c>
      <c r="AJ461" s="12">
        <f t="shared" si="47"/>
        <v>2.8791296388569122E-2</v>
      </c>
      <c r="AK461" s="6" t="s">
        <v>66</v>
      </c>
      <c r="AL461" s="18"/>
      <c r="AM461" s="23"/>
      <c r="AN461" s="24">
        <v>2.7000000000000003E-2</v>
      </c>
      <c r="AO461" s="25" t="b">
        <v>1</v>
      </c>
      <c r="AP461" s="23" t="s">
        <v>702</v>
      </c>
      <c r="AQ461" s="25" t="b">
        <v>0</v>
      </c>
      <c r="AR461" s="23"/>
      <c r="AS461" s="23" t="s">
        <v>68</v>
      </c>
    </row>
    <row r="462" spans="1:45" ht="60">
      <c r="A462" s="6">
        <v>449</v>
      </c>
      <c r="B462" s="6" t="s">
        <v>1301</v>
      </c>
      <c r="C462" s="6" t="s">
        <v>1302</v>
      </c>
      <c r="D462" s="6" t="s">
        <v>1283</v>
      </c>
      <c r="E462" s="6" t="s">
        <v>9</v>
      </c>
      <c r="F462" s="9">
        <v>5</v>
      </c>
      <c r="G462" s="9">
        <v>5</v>
      </c>
      <c r="H462" s="10">
        <v>2176</v>
      </c>
      <c r="I462" s="11">
        <v>1.01</v>
      </c>
      <c r="J462" s="11">
        <v>2.78</v>
      </c>
      <c r="K462" s="12">
        <f t="shared" si="42"/>
        <v>4.1773897058823534E-2</v>
      </c>
      <c r="L462" s="12">
        <f t="shared" si="43"/>
        <v>0.11498161764705882</v>
      </c>
      <c r="M462" s="10">
        <v>1</v>
      </c>
      <c r="N462" s="10">
        <v>2</v>
      </c>
      <c r="O462" s="10">
        <v>79</v>
      </c>
      <c r="P462" s="10">
        <v>2.6</v>
      </c>
      <c r="Q462" s="10">
        <v>24</v>
      </c>
      <c r="R462" s="11">
        <v>7.16</v>
      </c>
      <c r="S462" s="6"/>
      <c r="T462" s="6">
        <v>1</v>
      </c>
      <c r="U462" s="6">
        <v>5</v>
      </c>
      <c r="V462" s="7" t="b">
        <v>0</v>
      </c>
      <c r="W462" s="8">
        <f>IFERROR(VLOOKUP(D462,Teams!$B$2:$I$21,6,FALSE),"")</f>
        <v>0</v>
      </c>
      <c r="X462" s="2" t="s">
        <v>65</v>
      </c>
      <c r="Y462" s="13"/>
      <c r="Z462" s="14"/>
      <c r="AA462" s="15">
        <f>IFERROR(H462/(H462+Priors!$G$3),0)</f>
        <v>0.68513853904282118</v>
      </c>
      <c r="AB462" s="16">
        <f>VLOOKUP(E462,Priors!$A$3:$C$6,2,FALSE)</f>
        <v>6.0081391379341341E-2</v>
      </c>
      <c r="AC462" s="16">
        <f>VLOOKUP(E462,Priors!$A$3:$C$6,3,FALSE)</f>
        <v>5.9588191961478354E-2</v>
      </c>
      <c r="AD462" s="12">
        <f t="shared" si="44"/>
        <v>4.7538221467047025E-2</v>
      </c>
      <c r="AE462" s="12">
        <f t="shared" si="45"/>
        <v>9.7540362708274042E-2</v>
      </c>
      <c r="AF462" s="17">
        <v>1</v>
      </c>
      <c r="AG462" s="17">
        <v>1</v>
      </c>
      <c r="AH462" s="16">
        <f>IFERROR(VLOOKUP(D462,Teams!$B$2:$I$21,7,FALSE),1)</f>
        <v>1</v>
      </c>
      <c r="AI462" s="12">
        <f t="shared" si="46"/>
        <v>4.7538221467047025E-2</v>
      </c>
      <c r="AJ462" s="12">
        <f t="shared" si="47"/>
        <v>9.7540362708274042E-2</v>
      </c>
      <c r="AK462" s="6" t="s">
        <v>66</v>
      </c>
      <c r="AL462" s="18"/>
      <c r="AM462" s="23"/>
      <c r="AN462" s="24">
        <v>4.2000000000000003E-2</v>
      </c>
      <c r="AO462" s="25" t="b">
        <v>1</v>
      </c>
      <c r="AP462" s="23" t="s">
        <v>201</v>
      </c>
      <c r="AQ462" s="25" t="b">
        <v>0</v>
      </c>
      <c r="AR462" s="23"/>
      <c r="AS462" s="23" t="s">
        <v>68</v>
      </c>
    </row>
    <row r="463" spans="1:45" ht="60">
      <c r="A463" s="6">
        <v>450</v>
      </c>
      <c r="B463" s="6" t="s">
        <v>1303</v>
      </c>
      <c r="C463" s="6" t="s">
        <v>1304</v>
      </c>
      <c r="D463" s="6" t="s">
        <v>1283</v>
      </c>
      <c r="E463" s="6" t="s">
        <v>9</v>
      </c>
      <c r="F463" s="9">
        <v>5</v>
      </c>
      <c r="G463" s="9">
        <v>5</v>
      </c>
      <c r="H463" s="10">
        <v>1326</v>
      </c>
      <c r="I463" s="11">
        <v>0.13</v>
      </c>
      <c r="J463" s="11">
        <v>0.89</v>
      </c>
      <c r="K463" s="12">
        <f t="shared" si="42"/>
        <v>8.8235294117647075E-3</v>
      </c>
      <c r="L463" s="12">
        <f t="shared" si="43"/>
        <v>6.0407239819004518E-2</v>
      </c>
      <c r="M463" s="10">
        <v>0</v>
      </c>
      <c r="N463" s="10">
        <v>1</v>
      </c>
      <c r="O463" s="10">
        <v>59</v>
      </c>
      <c r="P463" s="10">
        <v>3.5</v>
      </c>
      <c r="Q463" s="10">
        <v>14</v>
      </c>
      <c r="R463" s="11">
        <v>4.62</v>
      </c>
      <c r="S463" s="6"/>
      <c r="T463" s="6"/>
      <c r="U463" s="6"/>
      <c r="V463" s="7" t="b">
        <v>0</v>
      </c>
      <c r="W463" s="8">
        <f>IFERROR(VLOOKUP(D463,Teams!$B$2:$I$21,6,FALSE),"")</f>
        <v>0</v>
      </c>
      <c r="X463" s="2" t="s">
        <v>65</v>
      </c>
      <c r="Y463" s="13"/>
      <c r="Z463" s="14"/>
      <c r="AA463" s="15">
        <f>IFERROR(H463/(H463+Priors!$G$3),0)</f>
        <v>0.57007738607050729</v>
      </c>
      <c r="AB463" s="16">
        <f>VLOOKUP(E463,Priors!$A$3:$C$6,2,FALSE)</f>
        <v>6.0081391379341341E-2</v>
      </c>
      <c r="AC463" s="16">
        <f>VLOOKUP(E463,Priors!$A$3:$C$6,3,FALSE)</f>
        <v>5.9588191961478354E-2</v>
      </c>
      <c r="AD463" s="12">
        <f t="shared" si="44"/>
        <v>3.0860443413302387E-2</v>
      </c>
      <c r="AE463" s="12">
        <f t="shared" si="45"/>
        <v>6.0055112623163522E-2</v>
      </c>
      <c r="AF463" s="17">
        <v>1</v>
      </c>
      <c r="AG463" s="17">
        <v>1</v>
      </c>
      <c r="AH463" s="16">
        <f>IFERROR(VLOOKUP(D463,Teams!$B$2:$I$21,7,FALSE),1)</f>
        <v>1</v>
      </c>
      <c r="AI463" s="12">
        <f t="shared" si="46"/>
        <v>3.0860443413302387E-2</v>
      </c>
      <c r="AJ463" s="12">
        <f t="shared" si="47"/>
        <v>6.0055112623163522E-2</v>
      </c>
      <c r="AK463" s="6" t="s">
        <v>204</v>
      </c>
      <c r="AL463" s="18">
        <v>75</v>
      </c>
      <c r="AM463" s="23" t="s">
        <v>1305</v>
      </c>
      <c r="AN463" s="24">
        <v>1E-3</v>
      </c>
      <c r="AO463" s="25" t="b">
        <v>1</v>
      </c>
      <c r="AP463" s="23" t="s">
        <v>1306</v>
      </c>
      <c r="AQ463" s="25" t="b">
        <v>0</v>
      </c>
      <c r="AR463" s="23"/>
      <c r="AS463" s="23" t="s">
        <v>68</v>
      </c>
    </row>
    <row r="464" spans="1:45" ht="60">
      <c r="A464" s="6">
        <v>451</v>
      </c>
      <c r="B464" s="6" t="s">
        <v>1307</v>
      </c>
      <c r="C464" s="6" t="s">
        <v>1308</v>
      </c>
      <c r="D464" s="6" t="s">
        <v>1283</v>
      </c>
      <c r="E464" s="6" t="s">
        <v>9</v>
      </c>
      <c r="F464" s="9">
        <v>4</v>
      </c>
      <c r="G464" s="9">
        <v>4</v>
      </c>
      <c r="H464" s="10">
        <v>7</v>
      </c>
      <c r="I464" s="11">
        <v>0</v>
      </c>
      <c r="J464" s="11">
        <v>0</v>
      </c>
      <c r="K464" s="12">
        <f t="shared" si="42"/>
        <v>0</v>
      </c>
      <c r="L464" s="12">
        <f t="shared" si="43"/>
        <v>0</v>
      </c>
      <c r="M464" s="10">
        <v>0</v>
      </c>
      <c r="N464" s="10">
        <v>0</v>
      </c>
      <c r="O464" s="10">
        <v>2</v>
      </c>
      <c r="P464" s="10">
        <v>1</v>
      </c>
      <c r="Q464" s="10">
        <v>0</v>
      </c>
      <c r="R464" s="11">
        <v>51.43</v>
      </c>
      <c r="S464" s="6"/>
      <c r="T464" s="6"/>
      <c r="U464" s="6"/>
      <c r="V464" s="7" t="b">
        <v>0</v>
      </c>
      <c r="W464" s="8">
        <f>IFERROR(VLOOKUP(D464,Teams!$B$2:$I$21,6,FALSE),"")</f>
        <v>0</v>
      </c>
      <c r="X464" s="2" t="s">
        <v>65</v>
      </c>
      <c r="Y464" s="13"/>
      <c r="Z464" s="14"/>
      <c r="AA464" s="15">
        <f>IFERROR(H464/(H464+Priors!$G$3),0)</f>
        <v>6.9513406156901684E-3</v>
      </c>
      <c r="AB464" s="16">
        <f>VLOOKUP(E464,Priors!$A$3:$C$6,2,FALSE)</f>
        <v>6.0081391379341341E-2</v>
      </c>
      <c r="AC464" s="16">
        <f>VLOOKUP(E464,Priors!$A$3:$C$6,3,FALSE)</f>
        <v>5.9588191961478354E-2</v>
      </c>
      <c r="AD464" s="12">
        <f t="shared" si="44"/>
        <v>5.9663745163198952E-2</v>
      </c>
      <c r="AE464" s="12">
        <f t="shared" si="45"/>
        <v>5.917397414248099E-2</v>
      </c>
      <c r="AF464" s="17">
        <v>1</v>
      </c>
      <c r="AG464" s="17">
        <v>1</v>
      </c>
      <c r="AH464" s="16">
        <f>IFERROR(VLOOKUP(D464,Teams!$B$2:$I$21,7,FALSE),1)</f>
        <v>1</v>
      </c>
      <c r="AI464" s="12">
        <f t="shared" si="46"/>
        <v>5.9663745163198952E-2</v>
      </c>
      <c r="AJ464" s="12">
        <f t="shared" si="47"/>
        <v>5.917397414248099E-2</v>
      </c>
      <c r="AK464" s="6" t="s">
        <v>66</v>
      </c>
      <c r="AL464" s="18"/>
      <c r="AM464" s="23"/>
      <c r="AN464" s="24">
        <v>8.0000000000000002E-3</v>
      </c>
      <c r="AO464" s="25" t="b">
        <v>1</v>
      </c>
      <c r="AP464" s="23" t="s">
        <v>1008</v>
      </c>
      <c r="AQ464" s="25" t="b">
        <v>0</v>
      </c>
      <c r="AR464" s="23"/>
      <c r="AS464" s="23" t="s">
        <v>68</v>
      </c>
    </row>
    <row r="465" spans="1:45" ht="60">
      <c r="A465" s="6">
        <v>452</v>
      </c>
      <c r="B465" s="6" t="s">
        <v>1309</v>
      </c>
      <c r="C465" s="6" t="s">
        <v>1310</v>
      </c>
      <c r="D465" s="6" t="s">
        <v>1283</v>
      </c>
      <c r="E465" s="6" t="s">
        <v>11</v>
      </c>
      <c r="F465" s="9">
        <v>7</v>
      </c>
      <c r="G465" s="9">
        <v>7</v>
      </c>
      <c r="H465" s="10">
        <v>2456</v>
      </c>
      <c r="I465" s="11">
        <v>5.59</v>
      </c>
      <c r="J465" s="11">
        <v>4.96</v>
      </c>
      <c r="K465" s="12">
        <f t="shared" si="42"/>
        <v>0.20484527687296417</v>
      </c>
      <c r="L465" s="12">
        <f t="shared" si="43"/>
        <v>0.18175895765472311</v>
      </c>
      <c r="M465" s="10">
        <v>9</v>
      </c>
      <c r="N465" s="10">
        <v>7</v>
      </c>
      <c r="O465" s="10">
        <v>154</v>
      </c>
      <c r="P465" s="10">
        <v>5.3</v>
      </c>
      <c r="Q465" s="10">
        <v>27</v>
      </c>
      <c r="R465" s="11">
        <v>9.1999999999999993</v>
      </c>
      <c r="S465" s="6">
        <v>3</v>
      </c>
      <c r="T465" s="6">
        <v>2</v>
      </c>
      <c r="U465" s="6">
        <v>6</v>
      </c>
      <c r="V465" s="7" t="b">
        <v>0</v>
      </c>
      <c r="W465" s="8">
        <f>IFERROR(VLOOKUP(D465,Teams!$B$2:$I$21,6,FALSE),"")</f>
        <v>0</v>
      </c>
      <c r="X465" s="2" t="s">
        <v>65</v>
      </c>
      <c r="Y465" s="13"/>
      <c r="Z465" s="14"/>
      <c r="AA465" s="15">
        <f>IFERROR(H465/(H465+Priors!$G$3),0)</f>
        <v>0.71064814814814814</v>
      </c>
      <c r="AB465" s="16">
        <f>VLOOKUP(E465,Priors!$A$3:$C$6,2,FALSE)</f>
        <v>0.15714383234350468</v>
      </c>
      <c r="AC465" s="16">
        <f>VLOOKUP(E465,Priors!$A$3:$C$6,3,FALSE)</f>
        <v>0.13222062939449797</v>
      </c>
      <c r="AD465" s="12">
        <f t="shared" si="44"/>
        <v>0.19104277556235666</v>
      </c>
      <c r="AE465" s="12">
        <f t="shared" si="45"/>
        <v>0.16742495063498203</v>
      </c>
      <c r="AF465" s="17">
        <v>1</v>
      </c>
      <c r="AG465" s="17">
        <v>1</v>
      </c>
      <c r="AH465" s="16">
        <f>IFERROR(VLOOKUP(D465,Teams!$B$2:$I$21,7,FALSE),1)</f>
        <v>1</v>
      </c>
      <c r="AI465" s="12">
        <f t="shared" si="46"/>
        <v>0.19104277556235666</v>
      </c>
      <c r="AJ465" s="12">
        <f t="shared" si="47"/>
        <v>0.16742495063498203</v>
      </c>
      <c r="AK465" s="6" t="s">
        <v>66</v>
      </c>
      <c r="AL465" s="18"/>
      <c r="AM465" s="23"/>
      <c r="AN465" s="24">
        <v>8.3000000000000004E-2</v>
      </c>
      <c r="AO465" s="25" t="b">
        <v>1</v>
      </c>
      <c r="AP465" s="23" t="s">
        <v>1311</v>
      </c>
      <c r="AQ465" s="25" t="b">
        <v>0</v>
      </c>
      <c r="AR465" s="23"/>
      <c r="AS465" s="23" t="s">
        <v>68</v>
      </c>
    </row>
    <row r="466" spans="1:45" ht="60">
      <c r="A466" s="6">
        <v>453</v>
      </c>
      <c r="B466" s="6" t="s">
        <v>1312</v>
      </c>
      <c r="C466" s="6" t="s">
        <v>1313</v>
      </c>
      <c r="D466" s="6" t="s">
        <v>1283</v>
      </c>
      <c r="E466" s="6" t="s">
        <v>11</v>
      </c>
      <c r="F466" s="9">
        <v>6</v>
      </c>
      <c r="G466" s="9">
        <v>6</v>
      </c>
      <c r="H466" s="10">
        <v>1951</v>
      </c>
      <c r="I466" s="11">
        <v>6.84</v>
      </c>
      <c r="J466" s="11">
        <v>2.72</v>
      </c>
      <c r="K466" s="12">
        <f t="shared" si="42"/>
        <v>0.31553049718093285</v>
      </c>
      <c r="L466" s="12">
        <f t="shared" si="43"/>
        <v>0.12547411583803178</v>
      </c>
      <c r="M466" s="10">
        <v>7</v>
      </c>
      <c r="N466" s="10">
        <v>1</v>
      </c>
      <c r="O466" s="10">
        <v>106</v>
      </c>
      <c r="P466" s="10">
        <v>2.9</v>
      </c>
      <c r="Q466" s="10">
        <v>19</v>
      </c>
      <c r="R466" s="11">
        <v>4.6100000000000003</v>
      </c>
      <c r="S466" s="6"/>
      <c r="T466" s="6"/>
      <c r="U466" s="6"/>
      <c r="V466" s="7" t="b">
        <v>0</v>
      </c>
      <c r="W466" s="8">
        <f>IFERROR(VLOOKUP(D466,Teams!$B$2:$I$21,6,FALSE),"")</f>
        <v>0</v>
      </c>
      <c r="X466" s="2" t="s">
        <v>65</v>
      </c>
      <c r="Y466" s="13"/>
      <c r="Z466" s="14"/>
      <c r="AA466" s="15">
        <f>IFERROR(H466/(H466+Priors!$G$3),0)</f>
        <v>0.66113181972212809</v>
      </c>
      <c r="AB466" s="16">
        <f>VLOOKUP(E466,Priors!$A$3:$C$6,2,FALSE)</f>
        <v>0.15714383234350468</v>
      </c>
      <c r="AC466" s="16">
        <f>VLOOKUP(E466,Priors!$A$3:$C$6,3,FALSE)</f>
        <v>0.13222062939449797</v>
      </c>
      <c r="AD466" s="12">
        <f t="shared" si="44"/>
        <v>0.26185829628719237</v>
      </c>
      <c r="AE466" s="12">
        <f t="shared" si="45"/>
        <v>0.12776029461013147</v>
      </c>
      <c r="AF466" s="17">
        <v>1</v>
      </c>
      <c r="AG466" s="17">
        <v>1</v>
      </c>
      <c r="AH466" s="16">
        <f>IFERROR(VLOOKUP(D466,Teams!$B$2:$I$21,7,FALSE),1)</f>
        <v>1</v>
      </c>
      <c r="AI466" s="12">
        <f t="shared" si="46"/>
        <v>0.26185829628719237</v>
      </c>
      <c r="AJ466" s="12">
        <f t="shared" si="47"/>
        <v>0.12776029461013147</v>
      </c>
      <c r="AK466" s="6" t="s">
        <v>66</v>
      </c>
      <c r="AL466" s="18"/>
      <c r="AM466" s="23"/>
      <c r="AN466" s="24">
        <v>1.2E-2</v>
      </c>
      <c r="AO466" s="25" t="b">
        <v>1</v>
      </c>
      <c r="AP466" s="23" t="s">
        <v>1314</v>
      </c>
      <c r="AQ466" s="25" t="b">
        <v>0</v>
      </c>
      <c r="AR466" s="23"/>
      <c r="AS466" s="23" t="s">
        <v>68</v>
      </c>
    </row>
    <row r="467" spans="1:45" ht="60">
      <c r="A467" s="6">
        <v>454</v>
      </c>
      <c r="B467" s="6" t="s">
        <v>1315</v>
      </c>
      <c r="C467" s="6" t="s">
        <v>1316</v>
      </c>
      <c r="D467" s="6" t="s">
        <v>1283</v>
      </c>
      <c r="E467" s="6" t="s">
        <v>11</v>
      </c>
      <c r="F467" s="9">
        <v>6</v>
      </c>
      <c r="G467" s="9">
        <v>6</v>
      </c>
      <c r="H467" s="10">
        <v>1302</v>
      </c>
      <c r="I467" s="11">
        <v>1.65</v>
      </c>
      <c r="J467" s="11">
        <v>1.74</v>
      </c>
      <c r="K467" s="12">
        <f t="shared" si="42"/>
        <v>0.11405529953917051</v>
      </c>
      <c r="L467" s="12">
        <f t="shared" si="43"/>
        <v>0.12027649769585252</v>
      </c>
      <c r="M467" s="10">
        <v>0</v>
      </c>
      <c r="N467" s="10">
        <v>1</v>
      </c>
      <c r="O467" s="10">
        <v>48</v>
      </c>
      <c r="P467" s="10">
        <v>1.5</v>
      </c>
      <c r="Q467" s="10">
        <v>14</v>
      </c>
      <c r="R467" s="11">
        <v>3.8</v>
      </c>
      <c r="S467" s="6"/>
      <c r="T467" s="6"/>
      <c r="U467" s="6">
        <v>8</v>
      </c>
      <c r="V467" s="7" t="b">
        <v>0</v>
      </c>
      <c r="W467" s="8">
        <f>IFERROR(VLOOKUP(D467,Teams!$B$2:$I$21,6,FALSE),"")</f>
        <v>0</v>
      </c>
      <c r="X467" s="2" t="s">
        <v>65</v>
      </c>
      <c r="Y467" s="13"/>
      <c r="Z467" s="14"/>
      <c r="AA467" s="15">
        <f>IFERROR(H467/(H467+Priors!$G$3),0)</f>
        <v>0.56559513466550826</v>
      </c>
      <c r="AB467" s="16">
        <f>VLOOKUP(E467,Priors!$A$3:$C$6,2,FALSE)</f>
        <v>0.15714383234350468</v>
      </c>
      <c r="AC467" s="16">
        <f>VLOOKUP(E467,Priors!$A$3:$C$6,3,FALSE)</f>
        <v>0.13222062939449797</v>
      </c>
      <c r="AD467" s="12">
        <f t="shared" si="44"/>
        <v>0.13277316782949811</v>
      </c>
      <c r="AE467" s="12">
        <f t="shared" si="45"/>
        <v>0.12546508661794004</v>
      </c>
      <c r="AF467" s="17">
        <v>1</v>
      </c>
      <c r="AG467" s="17">
        <v>1</v>
      </c>
      <c r="AH467" s="16">
        <f>IFERROR(VLOOKUP(D467,Teams!$B$2:$I$21,7,FALSE),1)</f>
        <v>1</v>
      </c>
      <c r="AI467" s="12">
        <f t="shared" si="46"/>
        <v>0.13277316782949811</v>
      </c>
      <c r="AJ467" s="12">
        <f t="shared" si="47"/>
        <v>0.12546508661794004</v>
      </c>
      <c r="AK467" s="6" t="s">
        <v>66</v>
      </c>
      <c r="AL467" s="18"/>
      <c r="AM467" s="23"/>
      <c r="AN467" s="24">
        <v>6.9999999999999993E-3</v>
      </c>
      <c r="AO467" s="25" t="b">
        <v>1</v>
      </c>
      <c r="AP467" s="23" t="s">
        <v>656</v>
      </c>
      <c r="AQ467" s="25" t="b">
        <v>0</v>
      </c>
      <c r="AR467" s="23"/>
      <c r="AS467" s="23" t="s">
        <v>68</v>
      </c>
    </row>
    <row r="468" spans="1:45" ht="60">
      <c r="A468" s="6">
        <v>456</v>
      </c>
      <c r="B468" s="6" t="s">
        <v>1317</v>
      </c>
      <c r="C468" s="6" t="s">
        <v>1318</v>
      </c>
      <c r="D468" s="6" t="s">
        <v>1283</v>
      </c>
      <c r="E468" s="6" t="s">
        <v>11</v>
      </c>
      <c r="F468" s="9">
        <v>5</v>
      </c>
      <c r="G468" s="9">
        <v>5</v>
      </c>
      <c r="H468" s="10">
        <v>1441</v>
      </c>
      <c r="I468" s="11">
        <v>1.2</v>
      </c>
      <c r="J468" s="11">
        <v>1.45</v>
      </c>
      <c r="K468" s="12">
        <f t="shared" si="42"/>
        <v>7.4947952810548224E-2</v>
      </c>
      <c r="L468" s="12">
        <f t="shared" si="43"/>
        <v>9.0562109646079109E-2</v>
      </c>
      <c r="M468" s="10">
        <v>2</v>
      </c>
      <c r="N468" s="10">
        <v>3</v>
      </c>
      <c r="O468" s="10">
        <v>62</v>
      </c>
      <c r="P468" s="10">
        <v>2.2000000000000002</v>
      </c>
      <c r="Q468" s="10">
        <v>15</v>
      </c>
      <c r="R468" s="11">
        <v>9.31</v>
      </c>
      <c r="S468" s="6"/>
      <c r="T468" s="6"/>
      <c r="U468" s="6"/>
      <c r="V468" s="7" t="b">
        <v>0</v>
      </c>
      <c r="W468" s="8">
        <f>IFERROR(VLOOKUP(D468,Teams!$B$2:$I$21,6,FALSE),"")</f>
        <v>0</v>
      </c>
      <c r="X468" s="2" t="s">
        <v>65</v>
      </c>
      <c r="Y468" s="13"/>
      <c r="Z468" s="14"/>
      <c r="AA468" s="15">
        <f>IFERROR(H468/(H468+Priors!$G$3),0)</f>
        <v>0.59033183121671451</v>
      </c>
      <c r="AB468" s="16">
        <f>VLOOKUP(E468,Priors!$A$3:$C$6,2,FALSE)</f>
        <v>0.15714383234350468</v>
      </c>
      <c r="AC468" s="16">
        <f>VLOOKUP(E468,Priors!$A$3:$C$6,3,FALSE)</f>
        <v>0.13222062939449797</v>
      </c>
      <c r="AD468" s="12">
        <f t="shared" si="44"/>
        <v>0.10862098826034604</v>
      </c>
      <c r="AE468" s="12">
        <f t="shared" si="45"/>
        <v>0.10762827914563619</v>
      </c>
      <c r="AF468" s="17">
        <v>1</v>
      </c>
      <c r="AG468" s="17">
        <v>1</v>
      </c>
      <c r="AH468" s="16">
        <f>IFERROR(VLOOKUP(D468,Teams!$B$2:$I$21,7,FALSE),1)</f>
        <v>1</v>
      </c>
      <c r="AI468" s="12">
        <f t="shared" si="46"/>
        <v>0.10862098826034604</v>
      </c>
      <c r="AJ468" s="12">
        <f t="shared" si="47"/>
        <v>0.10762827914563619</v>
      </c>
      <c r="AK468" s="6" t="s">
        <v>66</v>
      </c>
      <c r="AL468" s="18"/>
      <c r="AM468" s="23"/>
      <c r="AN468" s="24">
        <v>5.0000000000000001E-3</v>
      </c>
      <c r="AO468" s="25" t="b">
        <v>1</v>
      </c>
      <c r="AP468" s="23" t="s">
        <v>1319</v>
      </c>
      <c r="AQ468" s="25" t="b">
        <v>0</v>
      </c>
      <c r="AR468" s="23"/>
      <c r="AS468" s="23" t="s">
        <v>68</v>
      </c>
    </row>
    <row r="469" spans="1:45" ht="60">
      <c r="A469" s="6">
        <v>457</v>
      </c>
      <c r="B469" s="6" t="s">
        <v>1320</v>
      </c>
      <c r="C469" s="6" t="s">
        <v>1321</v>
      </c>
      <c r="D469" s="6" t="s">
        <v>1283</v>
      </c>
      <c r="E469" s="6" t="s">
        <v>11</v>
      </c>
      <c r="F469" s="9">
        <v>6</v>
      </c>
      <c r="G469" s="9">
        <v>6</v>
      </c>
      <c r="H469" s="10">
        <v>1606</v>
      </c>
      <c r="I469" s="11">
        <v>3.07</v>
      </c>
      <c r="J469" s="11">
        <v>2.66</v>
      </c>
      <c r="K469" s="12">
        <f t="shared" si="42"/>
        <v>0.17204234122042342</v>
      </c>
      <c r="L469" s="12">
        <f t="shared" si="43"/>
        <v>0.14906600249066002</v>
      </c>
      <c r="M469" s="10">
        <v>3</v>
      </c>
      <c r="N469" s="10">
        <v>2</v>
      </c>
      <c r="O469" s="10">
        <v>82</v>
      </c>
      <c r="P469" s="10">
        <v>2.5</v>
      </c>
      <c r="Q469" s="10">
        <v>19</v>
      </c>
      <c r="R469" s="11">
        <v>5.04</v>
      </c>
      <c r="S469" s="6"/>
      <c r="T469" s="6"/>
      <c r="U469" s="6"/>
      <c r="V469" s="7" t="b">
        <v>0</v>
      </c>
      <c r="W469" s="8">
        <f>IFERROR(VLOOKUP(D469,Teams!$B$2:$I$21,6,FALSE),"")</f>
        <v>0</v>
      </c>
      <c r="X469" s="2" t="s">
        <v>65</v>
      </c>
      <c r="Y469" s="13"/>
      <c r="Z469" s="14"/>
      <c r="AA469" s="15">
        <f>IFERROR(H469/(H469+Priors!$G$3),0)</f>
        <v>0.61627014581734463</v>
      </c>
      <c r="AB469" s="16">
        <f>VLOOKUP(E469,Priors!$A$3:$C$6,2,FALSE)</f>
        <v>0.15714383234350468</v>
      </c>
      <c r="AC469" s="16">
        <f>VLOOKUP(E469,Priors!$A$3:$C$6,3,FALSE)</f>
        <v>0.13222062939449797</v>
      </c>
      <c r="AD469" s="12">
        <f t="shared" si="44"/>
        <v>0.16632533858154439</v>
      </c>
      <c r="AE469" s="12">
        <f t="shared" si="45"/>
        <v>0.14260192992881732</v>
      </c>
      <c r="AF469" s="17">
        <v>1</v>
      </c>
      <c r="AG469" s="17">
        <v>1</v>
      </c>
      <c r="AH469" s="16">
        <f>IFERROR(VLOOKUP(D469,Teams!$B$2:$I$21,7,FALSE),1)</f>
        <v>1</v>
      </c>
      <c r="AI469" s="12">
        <f t="shared" si="46"/>
        <v>0.16632533858154439</v>
      </c>
      <c r="AJ469" s="12">
        <f t="shared" si="47"/>
        <v>0.14260192992881732</v>
      </c>
      <c r="AK469" s="6" t="s">
        <v>66</v>
      </c>
      <c r="AL469" s="18"/>
      <c r="AM469" s="23"/>
      <c r="AN469" s="24">
        <v>2E-3</v>
      </c>
      <c r="AO469" s="25" t="b">
        <v>1</v>
      </c>
      <c r="AP469" s="23" t="s">
        <v>1322</v>
      </c>
      <c r="AQ469" s="25" t="b">
        <v>0</v>
      </c>
      <c r="AR469" s="23"/>
      <c r="AS469" s="23" t="s">
        <v>68</v>
      </c>
    </row>
    <row r="470" spans="1:45" ht="60">
      <c r="A470" s="6">
        <v>458</v>
      </c>
      <c r="B470" s="6" t="s">
        <v>1323</v>
      </c>
      <c r="C470" s="6" t="s">
        <v>1323</v>
      </c>
      <c r="D470" s="6" t="s">
        <v>1283</v>
      </c>
      <c r="E470" s="6" t="s">
        <v>11</v>
      </c>
      <c r="F470" s="9">
        <v>5.5</v>
      </c>
      <c r="G470" s="9">
        <v>5.5</v>
      </c>
      <c r="H470" s="10">
        <v>1950</v>
      </c>
      <c r="I470" s="11">
        <v>2.36</v>
      </c>
      <c r="J470" s="11">
        <v>1.35</v>
      </c>
      <c r="K470" s="12">
        <f t="shared" si="42"/>
        <v>0.10892307692307691</v>
      </c>
      <c r="L470" s="12">
        <f t="shared" si="43"/>
        <v>6.2307692307692314E-2</v>
      </c>
      <c r="M470" s="10">
        <v>2</v>
      </c>
      <c r="N470" s="10">
        <v>1</v>
      </c>
      <c r="O470" s="10">
        <v>73</v>
      </c>
      <c r="P470" s="10">
        <v>2.7</v>
      </c>
      <c r="Q470" s="10">
        <v>23</v>
      </c>
      <c r="R470" s="11">
        <v>10.98</v>
      </c>
      <c r="S470" s="6"/>
      <c r="T470" s="6"/>
      <c r="U470" s="6"/>
      <c r="V470" s="7" t="b">
        <v>0</v>
      </c>
      <c r="W470" s="8">
        <f>IFERROR(VLOOKUP(D470,Teams!$B$2:$I$21,6,FALSE),"")</f>
        <v>0</v>
      </c>
      <c r="X470" s="2" t="s">
        <v>65</v>
      </c>
      <c r="Y470" s="13"/>
      <c r="Z470" s="14"/>
      <c r="AA470" s="15">
        <f>IFERROR(H470/(H470+Priors!$G$3),0)</f>
        <v>0.66101694915254239</v>
      </c>
      <c r="AB470" s="16">
        <f>VLOOKUP(E470,Priors!$A$3:$C$6,2,FALSE)</f>
        <v>0.15714383234350468</v>
      </c>
      <c r="AC470" s="16">
        <f>VLOOKUP(E470,Priors!$A$3:$C$6,3,FALSE)</f>
        <v>0.13222062939449797</v>
      </c>
      <c r="AD470" s="12">
        <f t="shared" si="44"/>
        <v>0.1252690957096626</v>
      </c>
      <c r="AE470" s="12">
        <f t="shared" si="45"/>
        <v>8.6006993015084049E-2</v>
      </c>
      <c r="AF470" s="17">
        <v>1</v>
      </c>
      <c r="AG470" s="17">
        <v>1</v>
      </c>
      <c r="AH470" s="16">
        <f>IFERROR(VLOOKUP(D470,Teams!$B$2:$I$21,7,FALSE),1)</f>
        <v>1</v>
      </c>
      <c r="AI470" s="12">
        <f t="shared" si="46"/>
        <v>0.1252690957096626</v>
      </c>
      <c r="AJ470" s="12">
        <f t="shared" si="47"/>
        <v>8.6006993015084049E-2</v>
      </c>
      <c r="AK470" s="6" t="s">
        <v>204</v>
      </c>
      <c r="AL470" s="18">
        <v>75</v>
      </c>
      <c r="AM470" s="23" t="s">
        <v>1222</v>
      </c>
      <c r="AN470" s="24">
        <v>0</v>
      </c>
      <c r="AO470" s="25" t="b">
        <v>1</v>
      </c>
      <c r="AP470" s="23" t="s">
        <v>1324</v>
      </c>
      <c r="AQ470" s="25" t="b">
        <v>0</v>
      </c>
      <c r="AR470" s="23"/>
      <c r="AS470" s="23" t="s">
        <v>68</v>
      </c>
    </row>
    <row r="471" spans="1:45" ht="60">
      <c r="A471" s="6">
        <v>459</v>
      </c>
      <c r="B471" s="6" t="s">
        <v>1325</v>
      </c>
      <c r="C471" s="6" t="s">
        <v>1326</v>
      </c>
      <c r="D471" s="6" t="s">
        <v>1283</v>
      </c>
      <c r="E471" s="6" t="s">
        <v>11</v>
      </c>
      <c r="F471" s="9">
        <v>5.5</v>
      </c>
      <c r="G471" s="9">
        <v>5.5</v>
      </c>
      <c r="H471" s="10">
        <v>1493</v>
      </c>
      <c r="I471" s="11">
        <v>1.36</v>
      </c>
      <c r="J471" s="11">
        <v>2.1</v>
      </c>
      <c r="K471" s="12">
        <f t="shared" si="42"/>
        <v>8.1982585398526459E-2</v>
      </c>
      <c r="L471" s="12">
        <f t="shared" si="43"/>
        <v>0.12659075686537175</v>
      </c>
      <c r="M471" s="10">
        <v>1</v>
      </c>
      <c r="N471" s="10">
        <v>4</v>
      </c>
      <c r="O471" s="10">
        <v>72</v>
      </c>
      <c r="P471" s="10">
        <v>3.1</v>
      </c>
      <c r="Q471" s="10">
        <v>15</v>
      </c>
      <c r="R471" s="11">
        <v>9.34</v>
      </c>
      <c r="S471" s="6"/>
      <c r="T471" s="6"/>
      <c r="U471" s="6">
        <v>7</v>
      </c>
      <c r="V471" s="7" t="b">
        <v>0</v>
      </c>
      <c r="W471" s="8">
        <f>IFERROR(VLOOKUP(D471,Teams!$B$2:$I$21,6,FALSE),"")</f>
        <v>0</v>
      </c>
      <c r="X471" s="2" t="s">
        <v>65</v>
      </c>
      <c r="Y471" s="13"/>
      <c r="Z471" s="14"/>
      <c r="AA471" s="15">
        <f>IFERROR(H471/(H471+Priors!$G$3),0)</f>
        <v>0.5988768551945447</v>
      </c>
      <c r="AB471" s="16">
        <f>VLOOKUP(E471,Priors!$A$3:$C$6,2,FALSE)</f>
        <v>0.15714383234350468</v>
      </c>
      <c r="AC471" s="16">
        <f>VLOOKUP(E471,Priors!$A$3:$C$6,3,FALSE)</f>
        <v>0.13222062939449797</v>
      </c>
      <c r="AD471" s="12">
        <f t="shared" si="44"/>
        <v>0.11213150114059553</v>
      </c>
      <c r="AE471" s="12">
        <f t="shared" si="45"/>
        <v>0.12884902903910872</v>
      </c>
      <c r="AF471" s="17">
        <v>1</v>
      </c>
      <c r="AG471" s="17">
        <v>1</v>
      </c>
      <c r="AH471" s="16">
        <f>IFERROR(VLOOKUP(D471,Teams!$B$2:$I$21,7,FALSE),1)</f>
        <v>1</v>
      </c>
      <c r="AI471" s="12">
        <f t="shared" si="46"/>
        <v>0.11213150114059553</v>
      </c>
      <c r="AJ471" s="12">
        <f t="shared" si="47"/>
        <v>0.12884902903910872</v>
      </c>
      <c r="AK471" s="6" t="s">
        <v>80</v>
      </c>
      <c r="AL471" s="18">
        <v>0</v>
      </c>
      <c r="AM471" s="23" t="s">
        <v>1327</v>
      </c>
      <c r="AN471" s="24">
        <v>0</v>
      </c>
      <c r="AO471" s="25" t="b">
        <v>1</v>
      </c>
      <c r="AP471" s="23" t="s">
        <v>1328</v>
      </c>
      <c r="AQ471" s="25" t="b">
        <v>0</v>
      </c>
      <c r="AR471" s="23"/>
      <c r="AS471" s="23" t="s">
        <v>68</v>
      </c>
    </row>
    <row r="472" spans="1:45" ht="60">
      <c r="A472" s="6">
        <v>460</v>
      </c>
      <c r="B472" s="6" t="s">
        <v>1329</v>
      </c>
      <c r="C472" s="6" t="s">
        <v>1330</v>
      </c>
      <c r="D472" s="6" t="s">
        <v>1283</v>
      </c>
      <c r="E472" s="6" t="s">
        <v>11</v>
      </c>
      <c r="F472" s="9">
        <v>5</v>
      </c>
      <c r="G472" s="9">
        <v>5</v>
      </c>
      <c r="H472" s="10">
        <v>972</v>
      </c>
      <c r="I472" s="11">
        <v>1.26</v>
      </c>
      <c r="J472" s="11">
        <v>1.07</v>
      </c>
      <c r="K472" s="12">
        <f t="shared" si="42"/>
        <v>0.11666666666666667</v>
      </c>
      <c r="L472" s="12">
        <f t="shared" si="43"/>
        <v>9.9074074074074092E-2</v>
      </c>
      <c r="M472" s="10">
        <v>0</v>
      </c>
      <c r="N472" s="10">
        <v>2</v>
      </c>
      <c r="O472" s="10">
        <v>38</v>
      </c>
      <c r="P472" s="10">
        <v>1.6</v>
      </c>
      <c r="Q472" s="10">
        <v>10</v>
      </c>
      <c r="R472" s="11">
        <v>8.24</v>
      </c>
      <c r="S472" s="6"/>
      <c r="T472" s="6"/>
      <c r="U472" s="6"/>
      <c r="V472" s="7" t="b">
        <v>0</v>
      </c>
      <c r="W472" s="8">
        <f>IFERROR(VLOOKUP(D472,Teams!$B$2:$I$21,6,FALSE),"")</f>
        <v>0</v>
      </c>
      <c r="X472" s="2" t="s">
        <v>65</v>
      </c>
      <c r="Y472" s="13"/>
      <c r="Z472" s="14"/>
      <c r="AA472" s="15">
        <f>IFERROR(H472/(H472+Priors!$G$3),0)</f>
        <v>0.49290060851926976</v>
      </c>
      <c r="AB472" s="16">
        <f>VLOOKUP(E472,Priors!$A$3:$C$6,2,FALSE)</f>
        <v>0.15714383234350468</v>
      </c>
      <c r="AC472" s="16">
        <f>VLOOKUP(E472,Priors!$A$3:$C$6,3,FALSE)</f>
        <v>0.13222062939449797</v>
      </c>
      <c r="AD472" s="12">
        <f t="shared" si="44"/>
        <v>0.1371926127502559</v>
      </c>
      <c r="AE472" s="12">
        <f t="shared" si="45"/>
        <v>0.1158826721067434</v>
      </c>
      <c r="AF472" s="17">
        <v>1</v>
      </c>
      <c r="AG472" s="17">
        <v>1</v>
      </c>
      <c r="AH472" s="16">
        <f>IFERROR(VLOOKUP(D472,Teams!$B$2:$I$21,7,FALSE),1)</f>
        <v>1</v>
      </c>
      <c r="AI472" s="12">
        <f t="shared" si="46"/>
        <v>0.1371926127502559</v>
      </c>
      <c r="AJ472" s="12">
        <f t="shared" si="47"/>
        <v>0.1158826721067434</v>
      </c>
      <c r="AK472" s="6" t="s">
        <v>66</v>
      </c>
      <c r="AL472" s="18"/>
      <c r="AM472" s="23"/>
      <c r="AN472" s="24">
        <v>1E-3</v>
      </c>
      <c r="AO472" s="25" t="b">
        <v>1</v>
      </c>
      <c r="AP472" s="23" t="s">
        <v>1331</v>
      </c>
      <c r="AQ472" s="25" t="b">
        <v>0</v>
      </c>
      <c r="AR472" s="23"/>
      <c r="AS472" s="23" t="s">
        <v>68</v>
      </c>
    </row>
    <row r="473" spans="1:45" ht="60">
      <c r="A473" s="6">
        <v>461</v>
      </c>
      <c r="B473" s="6" t="s">
        <v>1332</v>
      </c>
      <c r="C473" s="6" t="s">
        <v>1333</v>
      </c>
      <c r="D473" s="6" t="s">
        <v>1283</v>
      </c>
      <c r="E473" s="6" t="s">
        <v>11</v>
      </c>
      <c r="F473" s="9">
        <v>6</v>
      </c>
      <c r="G473" s="9">
        <v>6</v>
      </c>
      <c r="H473" s="10">
        <v>0</v>
      </c>
      <c r="I473" s="11">
        <v>0</v>
      </c>
      <c r="J473" s="11">
        <v>0</v>
      </c>
      <c r="K473" s="12">
        <f t="shared" si="42"/>
        <v>0</v>
      </c>
      <c r="L473" s="12">
        <f t="shared" si="43"/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1">
        <v>0</v>
      </c>
      <c r="S473" s="6"/>
      <c r="T473" s="6"/>
      <c r="U473" s="6"/>
      <c r="V473" s="7" t="b">
        <v>1</v>
      </c>
      <c r="W473" s="8">
        <f>IFERROR(VLOOKUP(D473,Teams!$B$2:$I$21,6,FALSE),"")</f>
        <v>0</v>
      </c>
      <c r="X473" s="2" t="s">
        <v>65</v>
      </c>
      <c r="Y473" s="13"/>
      <c r="Z473" s="14"/>
      <c r="AA473" s="15">
        <f>IFERROR(H473/(H473+Priors!$G$3),0)</f>
        <v>0</v>
      </c>
      <c r="AB473" s="16">
        <f>VLOOKUP(E473,Priors!$A$3:$C$6,2,FALSE)</f>
        <v>0.15714383234350468</v>
      </c>
      <c r="AC473" s="16">
        <f>VLOOKUP(E473,Priors!$A$3:$C$6,3,FALSE)</f>
        <v>0.13222062939449797</v>
      </c>
      <c r="AD473" s="12">
        <f t="shared" si="44"/>
        <v>0.15714383234350468</v>
      </c>
      <c r="AE473" s="12">
        <f t="shared" si="45"/>
        <v>0.13222062939449797</v>
      </c>
      <c r="AF473" s="17">
        <v>1</v>
      </c>
      <c r="AG473" s="17">
        <v>1</v>
      </c>
      <c r="AH473" s="16">
        <f>IFERROR(VLOOKUP(D473,Teams!$B$2:$I$21,7,FALSE),1)</f>
        <v>1</v>
      </c>
      <c r="AI473" s="12">
        <f t="shared" si="46"/>
        <v>0.15714383234350468</v>
      </c>
      <c r="AJ473" s="12">
        <f t="shared" si="47"/>
        <v>0.13222062939449797</v>
      </c>
      <c r="AK473" s="6" t="s">
        <v>66</v>
      </c>
      <c r="AL473" s="18"/>
      <c r="AM473" s="23"/>
      <c r="AN473" s="24">
        <v>2E-3</v>
      </c>
      <c r="AO473" s="25" t="b">
        <v>1</v>
      </c>
      <c r="AP473" s="23" t="s">
        <v>1334</v>
      </c>
      <c r="AQ473" s="25" t="b">
        <v>0</v>
      </c>
      <c r="AR473" s="23"/>
      <c r="AS473" s="23" t="s">
        <v>68</v>
      </c>
    </row>
    <row r="474" spans="1:45" ht="60">
      <c r="A474" s="6">
        <v>462</v>
      </c>
      <c r="B474" s="6" t="s">
        <v>1335</v>
      </c>
      <c r="C474" s="6" t="s">
        <v>1336</v>
      </c>
      <c r="D474" s="6" t="s">
        <v>1283</v>
      </c>
      <c r="E474" s="6" t="s">
        <v>11</v>
      </c>
      <c r="F474" s="9">
        <v>5</v>
      </c>
      <c r="G474" s="9">
        <v>5</v>
      </c>
      <c r="H474" s="10">
        <v>0</v>
      </c>
      <c r="I474" s="11">
        <v>0</v>
      </c>
      <c r="J474" s="11">
        <v>0</v>
      </c>
      <c r="K474" s="12">
        <f t="shared" si="42"/>
        <v>0</v>
      </c>
      <c r="L474" s="12">
        <f t="shared" si="43"/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1">
        <v>0</v>
      </c>
      <c r="S474" s="6"/>
      <c r="T474" s="6"/>
      <c r="U474" s="6"/>
      <c r="V474" s="7" t="b">
        <v>1</v>
      </c>
      <c r="W474" s="8">
        <f>IFERROR(VLOOKUP(D474,Teams!$B$2:$I$21,6,FALSE),"")</f>
        <v>0</v>
      </c>
      <c r="X474" s="2" t="s">
        <v>65</v>
      </c>
      <c r="Y474" s="13"/>
      <c r="Z474" s="14"/>
      <c r="AA474" s="15">
        <f>IFERROR(H474/(H474+Priors!$G$3),0)</f>
        <v>0</v>
      </c>
      <c r="AB474" s="16">
        <f>VLOOKUP(E474,Priors!$A$3:$C$6,2,FALSE)</f>
        <v>0.15714383234350468</v>
      </c>
      <c r="AC474" s="16">
        <f>VLOOKUP(E474,Priors!$A$3:$C$6,3,FALSE)</f>
        <v>0.13222062939449797</v>
      </c>
      <c r="AD474" s="12">
        <f t="shared" si="44"/>
        <v>0.15714383234350468</v>
      </c>
      <c r="AE474" s="12">
        <f t="shared" si="45"/>
        <v>0.13222062939449797</v>
      </c>
      <c r="AF474" s="17">
        <v>1</v>
      </c>
      <c r="AG474" s="17">
        <v>1</v>
      </c>
      <c r="AH474" s="16">
        <f>IFERROR(VLOOKUP(D474,Teams!$B$2:$I$21,7,FALSE),1)</f>
        <v>1</v>
      </c>
      <c r="AI474" s="12">
        <f t="shared" si="46"/>
        <v>0.15714383234350468</v>
      </c>
      <c r="AJ474" s="12">
        <f t="shared" si="47"/>
        <v>0.13222062939449797</v>
      </c>
      <c r="AK474" s="6" t="s">
        <v>66</v>
      </c>
      <c r="AL474" s="18"/>
      <c r="AM474" s="23"/>
      <c r="AN474" s="24">
        <v>1E-3</v>
      </c>
      <c r="AO474" s="25" t="b">
        <v>1</v>
      </c>
      <c r="AP474" s="23" t="s">
        <v>74</v>
      </c>
      <c r="AQ474" s="25" t="b">
        <v>0</v>
      </c>
      <c r="AR474" s="23"/>
      <c r="AS474" s="23" t="s">
        <v>68</v>
      </c>
    </row>
    <row r="475" spans="1:45" ht="60">
      <c r="A475" s="6">
        <v>463</v>
      </c>
      <c r="B475" s="6" t="s">
        <v>1337</v>
      </c>
      <c r="C475" s="6" t="s">
        <v>1338</v>
      </c>
      <c r="D475" s="6" t="s">
        <v>1283</v>
      </c>
      <c r="E475" s="6" t="s">
        <v>14</v>
      </c>
      <c r="F475" s="9">
        <v>6</v>
      </c>
      <c r="G475" s="9">
        <v>6</v>
      </c>
      <c r="H475" s="10">
        <v>1896</v>
      </c>
      <c r="I475" s="11">
        <v>6.59</v>
      </c>
      <c r="J475" s="11">
        <v>1.53</v>
      </c>
      <c r="K475" s="12">
        <f t="shared" si="42"/>
        <v>0.31281645569620253</v>
      </c>
      <c r="L475" s="12">
        <f t="shared" si="43"/>
        <v>7.2626582278481011E-2</v>
      </c>
      <c r="M475" s="10">
        <v>8</v>
      </c>
      <c r="N475" s="10">
        <v>4</v>
      </c>
      <c r="O475" s="10">
        <v>108</v>
      </c>
      <c r="P475" s="10">
        <v>3.3</v>
      </c>
      <c r="Q475" s="10">
        <v>24</v>
      </c>
      <c r="R475" s="11">
        <v>4.9800000000000004</v>
      </c>
      <c r="S475" s="6">
        <v>1</v>
      </c>
      <c r="T475" s="6"/>
      <c r="U475" s="6"/>
      <c r="V475" s="7" t="b">
        <v>0</v>
      </c>
      <c r="W475" s="8">
        <f>IFERROR(VLOOKUP(D475,Teams!$B$2:$I$21,6,FALSE),"")</f>
        <v>0</v>
      </c>
      <c r="X475" s="2" t="s">
        <v>65</v>
      </c>
      <c r="Y475" s="13"/>
      <c r="Z475" s="14"/>
      <c r="AA475" s="15">
        <f>IFERROR(H475/(H475+Priors!$G$3),0)</f>
        <v>0.65469613259668513</v>
      </c>
      <c r="AB475" s="16">
        <f>VLOOKUP(E475,Priors!$A$3:$C$6,2,FALSE)</f>
        <v>0.44625207326425426</v>
      </c>
      <c r="AC475" s="16">
        <f>VLOOKUP(E475,Priors!$A$3:$C$6,3,FALSE)</f>
        <v>5.8217260259314105E-2</v>
      </c>
      <c r="AD475" s="12">
        <f t="shared" si="44"/>
        <v>0.35889229049180049</v>
      </c>
      <c r="AE475" s="12">
        <f t="shared" si="45"/>
        <v>6.7650987658602932E-2</v>
      </c>
      <c r="AF475" s="17">
        <v>1</v>
      </c>
      <c r="AG475" s="17">
        <v>1</v>
      </c>
      <c r="AH475" s="16">
        <f>IFERROR(VLOOKUP(D475,Teams!$B$2:$I$21,7,FALSE),1)</f>
        <v>1</v>
      </c>
      <c r="AI475" s="12">
        <f t="shared" si="46"/>
        <v>0.35889229049180049</v>
      </c>
      <c r="AJ475" s="12">
        <f t="shared" si="47"/>
        <v>6.7650987658602932E-2</v>
      </c>
      <c r="AK475" s="6" t="s">
        <v>66</v>
      </c>
      <c r="AL475" s="18"/>
      <c r="AM475" s="23"/>
      <c r="AN475" s="24">
        <v>1.7000000000000001E-2</v>
      </c>
      <c r="AO475" s="25" t="b">
        <v>1</v>
      </c>
      <c r="AP475" s="23" t="s">
        <v>1339</v>
      </c>
      <c r="AQ475" s="25" t="b">
        <v>0</v>
      </c>
      <c r="AR475" s="23"/>
      <c r="AS475" s="23" t="s">
        <v>68</v>
      </c>
    </row>
    <row r="476" spans="1:45" ht="60">
      <c r="A476" s="6">
        <v>464</v>
      </c>
      <c r="B476" s="6" t="s">
        <v>1340</v>
      </c>
      <c r="C476" s="6" t="s">
        <v>1341</v>
      </c>
      <c r="D476" s="6" t="s">
        <v>1283</v>
      </c>
      <c r="E476" s="6" t="s">
        <v>14</v>
      </c>
      <c r="F476" s="9">
        <v>6</v>
      </c>
      <c r="G476" s="9">
        <v>6</v>
      </c>
      <c r="H476" s="10">
        <v>517</v>
      </c>
      <c r="I476" s="11">
        <v>3.13</v>
      </c>
      <c r="J476" s="11">
        <v>0.54</v>
      </c>
      <c r="K476" s="12">
        <f t="shared" si="42"/>
        <v>0.54487427466150873</v>
      </c>
      <c r="L476" s="12">
        <f t="shared" si="43"/>
        <v>9.4003868471953578E-2</v>
      </c>
      <c r="M476" s="10">
        <v>1</v>
      </c>
      <c r="N476" s="10">
        <v>1</v>
      </c>
      <c r="O476" s="10">
        <v>27</v>
      </c>
      <c r="P476" s="10">
        <v>1.4</v>
      </c>
      <c r="Q476" s="10">
        <v>4</v>
      </c>
      <c r="R476" s="11">
        <v>3.83</v>
      </c>
      <c r="S476" s="6">
        <v>4</v>
      </c>
      <c r="T476" s="6"/>
      <c r="U476" s="6"/>
      <c r="V476" s="7" t="b">
        <v>0</v>
      </c>
      <c r="W476" s="8">
        <f>IFERROR(VLOOKUP(D476,Teams!$B$2:$I$21,6,FALSE),"")</f>
        <v>0</v>
      </c>
      <c r="X476" s="2" t="s">
        <v>65</v>
      </c>
      <c r="Y476" s="13"/>
      <c r="Z476" s="14"/>
      <c r="AA476" s="15">
        <f>IFERROR(H476/(H476+Priors!$G$3),0)</f>
        <v>0.34080421885299933</v>
      </c>
      <c r="AB476" s="16">
        <f>VLOOKUP(E476,Priors!$A$3:$C$6,2,FALSE)</f>
        <v>0.44625207326425426</v>
      </c>
      <c r="AC476" s="16">
        <f>VLOOKUP(E476,Priors!$A$3:$C$6,3,FALSE)</f>
        <v>5.8217260259314105E-2</v>
      </c>
      <c r="AD476" s="12">
        <f t="shared" si="44"/>
        <v>0.47986293557300874</v>
      </c>
      <c r="AE476" s="12">
        <f t="shared" si="45"/>
        <v>7.0413487316621032E-2</v>
      </c>
      <c r="AF476" s="17">
        <v>1</v>
      </c>
      <c r="AG476" s="17">
        <v>1</v>
      </c>
      <c r="AH476" s="16">
        <f>IFERROR(VLOOKUP(D476,Teams!$B$2:$I$21,7,FALSE),1)</f>
        <v>1</v>
      </c>
      <c r="AI476" s="12">
        <f t="shared" si="46"/>
        <v>0.47986293557300874</v>
      </c>
      <c r="AJ476" s="12">
        <f t="shared" si="47"/>
        <v>7.0413487316621032E-2</v>
      </c>
      <c r="AK476" s="6" t="s">
        <v>66</v>
      </c>
      <c r="AL476" s="18"/>
      <c r="AM476" s="23"/>
      <c r="AN476" s="24">
        <v>1.3999999999999999E-2</v>
      </c>
      <c r="AO476" s="25" t="b">
        <v>1</v>
      </c>
      <c r="AP476" s="23" t="s">
        <v>181</v>
      </c>
      <c r="AQ476" s="25" t="b">
        <v>1</v>
      </c>
      <c r="AR476" s="23"/>
      <c r="AS476" s="23" t="s">
        <v>68</v>
      </c>
    </row>
    <row r="477" spans="1:45" ht="60">
      <c r="A477" s="6">
        <v>465</v>
      </c>
      <c r="B477" s="6" t="s">
        <v>1342</v>
      </c>
      <c r="C477" s="6" t="s">
        <v>1343</v>
      </c>
      <c r="D477" s="6" t="s">
        <v>1283</v>
      </c>
      <c r="E477" s="6" t="s">
        <v>14</v>
      </c>
      <c r="F477" s="9">
        <v>6</v>
      </c>
      <c r="G477" s="9">
        <v>6</v>
      </c>
      <c r="H477" s="10">
        <v>805</v>
      </c>
      <c r="I477" s="11">
        <v>4.28</v>
      </c>
      <c r="J477" s="11">
        <v>0.62</v>
      </c>
      <c r="K477" s="12">
        <f t="shared" si="42"/>
        <v>0.47850931677018638</v>
      </c>
      <c r="L477" s="12">
        <f t="shared" si="43"/>
        <v>6.9316770186335405E-2</v>
      </c>
      <c r="M477" s="10">
        <v>7</v>
      </c>
      <c r="N477" s="10">
        <v>1</v>
      </c>
      <c r="O477" s="10">
        <v>76</v>
      </c>
      <c r="P477" s="10">
        <v>3.2</v>
      </c>
      <c r="Q477" s="10">
        <v>8</v>
      </c>
      <c r="R477" s="11">
        <v>3.47</v>
      </c>
      <c r="S477" s="6">
        <v>2</v>
      </c>
      <c r="T477" s="6"/>
      <c r="U477" s="6"/>
      <c r="V477" s="7" t="b">
        <v>0</v>
      </c>
      <c r="W477" s="8">
        <f>IFERROR(VLOOKUP(D477,Teams!$B$2:$I$21,6,FALSE),"")</f>
        <v>0</v>
      </c>
      <c r="X477" s="2" t="s">
        <v>65</v>
      </c>
      <c r="Y477" s="13"/>
      <c r="Z477" s="14"/>
      <c r="AA477" s="15">
        <f>IFERROR(H477/(H477+Priors!$G$3),0)</f>
        <v>0.44598337950138506</v>
      </c>
      <c r="AB477" s="16">
        <f>VLOOKUP(E477,Priors!$A$3:$C$6,2,FALSE)</f>
        <v>0.44625207326425426</v>
      </c>
      <c r="AC477" s="16">
        <f>VLOOKUP(E477,Priors!$A$3:$C$6,3,FALSE)</f>
        <v>5.8217260259314105E-2</v>
      </c>
      <c r="AD477" s="12">
        <f t="shared" si="44"/>
        <v>0.46063826773642902</v>
      </c>
      <c r="AE477" s="12">
        <f t="shared" si="45"/>
        <v>6.3167457207376237E-2</v>
      </c>
      <c r="AF477" s="17">
        <v>1</v>
      </c>
      <c r="AG477" s="17">
        <v>1</v>
      </c>
      <c r="AH477" s="16">
        <f>IFERROR(VLOOKUP(D477,Teams!$B$2:$I$21,7,FALSE),1)</f>
        <v>1</v>
      </c>
      <c r="AI477" s="12">
        <f t="shared" si="46"/>
        <v>0.46063826773642902</v>
      </c>
      <c r="AJ477" s="12">
        <f t="shared" si="47"/>
        <v>6.3167457207376237E-2</v>
      </c>
      <c r="AK477" s="6" t="s">
        <v>66</v>
      </c>
      <c r="AL477" s="18"/>
      <c r="AM477" s="23"/>
      <c r="AN477" s="24">
        <v>1.8000000000000002E-2</v>
      </c>
      <c r="AO477" s="25" t="b">
        <v>1</v>
      </c>
      <c r="AP477" s="23" t="s">
        <v>564</v>
      </c>
      <c r="AQ477" s="25" t="b">
        <v>0</v>
      </c>
      <c r="AR477" s="23"/>
      <c r="AS477" s="23" t="s">
        <v>68</v>
      </c>
    </row>
    <row r="478" spans="1:45" ht="60">
      <c r="A478" s="6">
        <v>466</v>
      </c>
      <c r="B478" s="6" t="s">
        <v>1344</v>
      </c>
      <c r="C478" s="6" t="s">
        <v>1345</v>
      </c>
      <c r="D478" s="6" t="s">
        <v>1283</v>
      </c>
      <c r="E478" s="6" t="s">
        <v>14</v>
      </c>
      <c r="F478" s="9">
        <v>4.5</v>
      </c>
      <c r="G478" s="9">
        <v>4.5</v>
      </c>
      <c r="H478" s="10">
        <v>13</v>
      </c>
      <c r="I478" s="11">
        <v>0.03</v>
      </c>
      <c r="J478" s="11">
        <v>0</v>
      </c>
      <c r="K478" s="12">
        <f t="shared" si="42"/>
        <v>0.20769230769230768</v>
      </c>
      <c r="L478" s="12">
        <f t="shared" si="43"/>
        <v>0</v>
      </c>
      <c r="M478" s="10">
        <v>0</v>
      </c>
      <c r="N478" s="10">
        <v>0</v>
      </c>
      <c r="O478" s="10">
        <v>1</v>
      </c>
      <c r="P478" s="10">
        <v>1</v>
      </c>
      <c r="Q478" s="10">
        <v>0</v>
      </c>
      <c r="R478" s="11">
        <v>0</v>
      </c>
      <c r="S478" s="6"/>
      <c r="T478" s="6"/>
      <c r="U478" s="6"/>
      <c r="V478" s="7" t="b">
        <v>0</v>
      </c>
      <c r="W478" s="8">
        <f>IFERROR(VLOOKUP(D478,Teams!$B$2:$I$21,6,FALSE),"")</f>
        <v>0</v>
      </c>
      <c r="X478" s="2" t="s">
        <v>65</v>
      </c>
      <c r="Y478" s="13"/>
      <c r="Z478" s="14"/>
      <c r="AA478" s="15">
        <f>IFERROR(H478/(H478+Priors!$G$3),0)</f>
        <v>1.2833168805528134E-2</v>
      </c>
      <c r="AB478" s="16">
        <f>VLOOKUP(E478,Priors!$A$3:$C$6,2,FALSE)</f>
        <v>0.44625207326425426</v>
      </c>
      <c r="AC478" s="16">
        <f>VLOOKUP(E478,Priors!$A$3:$C$6,3,FALSE)</f>
        <v>5.8217260259314105E-2</v>
      </c>
      <c r="AD478" s="12">
        <f t="shared" si="44"/>
        <v>0.44319059552246226</v>
      </c>
      <c r="AE478" s="12">
        <f t="shared" si="45"/>
        <v>5.7470148331010967E-2</v>
      </c>
      <c r="AF478" s="17">
        <v>1</v>
      </c>
      <c r="AG478" s="17">
        <v>1</v>
      </c>
      <c r="AH478" s="16">
        <f>IFERROR(VLOOKUP(D478,Teams!$B$2:$I$21,7,FALSE),1)</f>
        <v>1</v>
      </c>
      <c r="AI478" s="12">
        <f t="shared" si="46"/>
        <v>0.44319059552246226</v>
      </c>
      <c r="AJ478" s="12">
        <f t="shared" si="47"/>
        <v>5.7470148331010967E-2</v>
      </c>
      <c r="AK478" s="6" t="s">
        <v>66</v>
      </c>
      <c r="AL478" s="18"/>
      <c r="AM478" s="23"/>
      <c r="AN478" s="24">
        <v>6.9999999999999993E-3</v>
      </c>
      <c r="AO478" s="25" t="b">
        <v>1</v>
      </c>
      <c r="AP478" s="23" t="s">
        <v>1346</v>
      </c>
      <c r="AQ478" s="25" t="b">
        <v>0</v>
      </c>
      <c r="AR478" s="23"/>
      <c r="AS478" s="23" t="s">
        <v>68</v>
      </c>
    </row>
    <row r="479" spans="1:45" ht="60">
      <c r="A479" s="6">
        <v>559</v>
      </c>
      <c r="B479" s="6" t="s">
        <v>1347</v>
      </c>
      <c r="C479" s="6" t="s">
        <v>1348</v>
      </c>
      <c r="D479" s="6" t="s">
        <v>1283</v>
      </c>
      <c r="E479" s="6" t="s">
        <v>11</v>
      </c>
      <c r="F479" s="9">
        <v>5</v>
      </c>
      <c r="G479" s="9">
        <v>5</v>
      </c>
      <c r="H479" s="10">
        <v>0</v>
      </c>
      <c r="I479" s="11">
        <v>0</v>
      </c>
      <c r="J479" s="11">
        <v>0</v>
      </c>
      <c r="K479" s="12">
        <f t="shared" si="42"/>
        <v>0</v>
      </c>
      <c r="L479" s="12">
        <f t="shared" si="43"/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1">
        <v>0</v>
      </c>
      <c r="S479" s="6"/>
      <c r="T479" s="6"/>
      <c r="U479" s="6"/>
      <c r="V479" s="7" t="b">
        <v>1</v>
      </c>
      <c r="W479" s="8">
        <f>IFERROR(VLOOKUP(D479,Teams!$B$2:$I$21,6,FALSE),"")</f>
        <v>0</v>
      </c>
      <c r="X479" s="2" t="s">
        <v>65</v>
      </c>
      <c r="Y479" s="13"/>
      <c r="Z479" s="14"/>
      <c r="AA479" s="15">
        <f>IFERROR(H479/(H479+Priors!$G$3),0)</f>
        <v>0</v>
      </c>
      <c r="AB479" s="16">
        <f>VLOOKUP(E479,Priors!$A$3:$C$6,2,FALSE)</f>
        <v>0.15714383234350468</v>
      </c>
      <c r="AC479" s="16">
        <f>VLOOKUP(E479,Priors!$A$3:$C$6,3,FALSE)</f>
        <v>0.13222062939449797</v>
      </c>
      <c r="AD479" s="12">
        <f t="shared" si="44"/>
        <v>0.15714383234350468</v>
      </c>
      <c r="AE479" s="12">
        <f t="shared" si="45"/>
        <v>0.13222062939449797</v>
      </c>
      <c r="AF479" s="17">
        <v>1</v>
      </c>
      <c r="AG479" s="17">
        <v>1</v>
      </c>
      <c r="AH479" s="16">
        <f>IFERROR(VLOOKUP(D479,Teams!$B$2:$I$21,7,FALSE),1)</f>
        <v>1</v>
      </c>
      <c r="AI479" s="12">
        <f t="shared" si="46"/>
        <v>0.15714383234350468</v>
      </c>
      <c r="AJ479" s="12">
        <f t="shared" si="47"/>
        <v>0.13222062939449797</v>
      </c>
      <c r="AK479" s="6" t="s">
        <v>66</v>
      </c>
      <c r="AL479" s="18"/>
      <c r="AM479" s="23"/>
      <c r="AN479" s="24">
        <v>1E-3</v>
      </c>
      <c r="AO479" s="25" t="b">
        <v>1</v>
      </c>
      <c r="AP479" s="23" t="s">
        <v>900</v>
      </c>
      <c r="AQ479" s="25" t="b">
        <v>0</v>
      </c>
      <c r="AR479" s="23"/>
      <c r="AS479" s="23" t="s">
        <v>68</v>
      </c>
    </row>
    <row r="480" spans="1:45" ht="60">
      <c r="A480" s="6">
        <v>567</v>
      </c>
      <c r="B480" s="6" t="s">
        <v>1349</v>
      </c>
      <c r="C480" s="6" t="s">
        <v>1350</v>
      </c>
      <c r="D480" s="6" t="s">
        <v>1283</v>
      </c>
      <c r="E480" s="6" t="s">
        <v>7</v>
      </c>
      <c r="F480" s="9">
        <v>5</v>
      </c>
      <c r="G480" s="9">
        <v>5</v>
      </c>
      <c r="H480" s="10">
        <v>0</v>
      </c>
      <c r="I480" s="11">
        <v>0</v>
      </c>
      <c r="J480" s="11">
        <v>0</v>
      </c>
      <c r="K480" s="12">
        <f t="shared" si="42"/>
        <v>0</v>
      </c>
      <c r="L480" s="12">
        <f t="shared" si="43"/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1">
        <v>0</v>
      </c>
      <c r="S480" s="6"/>
      <c r="T480" s="6"/>
      <c r="U480" s="6"/>
      <c r="V480" s="7" t="b">
        <v>1</v>
      </c>
      <c r="W480" s="8">
        <f>IFERROR(VLOOKUP(D480,Teams!$B$2:$I$21,6,FALSE),"")</f>
        <v>0</v>
      </c>
      <c r="X480" s="2" t="s">
        <v>65</v>
      </c>
      <c r="Y480" s="13"/>
      <c r="Z480" s="14"/>
      <c r="AA480" s="15">
        <f>IFERROR(H480/(H480+Priors!$G$3),0)</f>
        <v>0</v>
      </c>
      <c r="AB480" s="16">
        <f>VLOOKUP(E480,Priors!$A$3:$C$6,2,FALSE)</f>
        <v>2.4013207263995197E-4</v>
      </c>
      <c r="AC480" s="16">
        <f>VLOOKUP(E480,Priors!$A$3:$C$6,3,FALSE)</f>
        <v>1.9810895992796044E-3</v>
      </c>
      <c r="AD480" s="12">
        <f t="shared" si="44"/>
        <v>2.4013207263995197E-4</v>
      </c>
      <c r="AE480" s="12">
        <f t="shared" si="45"/>
        <v>1.9810895992796044E-3</v>
      </c>
      <c r="AF480" s="17">
        <v>1</v>
      </c>
      <c r="AG480" s="17">
        <v>1</v>
      </c>
      <c r="AH480" s="16">
        <f>IFERROR(VLOOKUP(D480,Teams!$B$2:$I$21,7,FALSE),1)</f>
        <v>1</v>
      </c>
      <c r="AI480" s="12">
        <f t="shared" si="46"/>
        <v>2.4013207263995197E-4</v>
      </c>
      <c r="AJ480" s="12">
        <f t="shared" si="47"/>
        <v>1.9810895992796044E-3</v>
      </c>
      <c r="AK480" s="6" t="s">
        <v>66</v>
      </c>
      <c r="AL480" s="18"/>
      <c r="AM480" s="23"/>
      <c r="AN480" s="24">
        <v>0</v>
      </c>
      <c r="AO480" s="25" t="b">
        <v>1</v>
      </c>
      <c r="AP480" s="23" t="s">
        <v>1351</v>
      </c>
      <c r="AQ480" s="25" t="b">
        <v>0</v>
      </c>
      <c r="AR480" s="23"/>
      <c r="AS480" s="23" t="s">
        <v>68</v>
      </c>
    </row>
    <row r="481" spans="1:45" ht="60">
      <c r="A481" s="6">
        <v>467</v>
      </c>
      <c r="B481" s="6" t="s">
        <v>1352</v>
      </c>
      <c r="C481" s="6" t="s">
        <v>1353</v>
      </c>
      <c r="D481" s="6" t="s">
        <v>1354</v>
      </c>
      <c r="E481" s="6" t="s">
        <v>7</v>
      </c>
      <c r="F481" s="9">
        <v>5</v>
      </c>
      <c r="G481" s="9">
        <v>5</v>
      </c>
      <c r="H481" s="10">
        <v>2667</v>
      </c>
      <c r="I481" s="11">
        <v>0</v>
      </c>
      <c r="J481" s="11">
        <v>0.06</v>
      </c>
      <c r="K481" s="12">
        <f t="shared" si="42"/>
        <v>0</v>
      </c>
      <c r="L481" s="12">
        <f t="shared" si="43"/>
        <v>2.0247469066366703E-3</v>
      </c>
      <c r="M481" s="10">
        <v>0</v>
      </c>
      <c r="N481" s="10">
        <v>0</v>
      </c>
      <c r="O481" s="10">
        <v>105</v>
      </c>
      <c r="P481" s="10">
        <v>3.4</v>
      </c>
      <c r="Q481" s="10">
        <v>30</v>
      </c>
      <c r="R481" s="11">
        <v>0</v>
      </c>
      <c r="S481" s="6"/>
      <c r="T481" s="6"/>
      <c r="U481" s="6"/>
      <c r="V481" s="7" t="b">
        <v>0</v>
      </c>
      <c r="W481" s="8">
        <f>IFERROR(VLOOKUP(D481,Teams!$B$2:$I$21,6,FALSE),"")</f>
        <v>0</v>
      </c>
      <c r="X481" s="2" t="s">
        <v>65</v>
      </c>
      <c r="Y481" s="13"/>
      <c r="Z481" s="14"/>
      <c r="AA481" s="15">
        <f>IFERROR(H481/(H481+Priors!$G$3),0)</f>
        <v>0.72729751840741752</v>
      </c>
      <c r="AB481" s="16">
        <f>VLOOKUP(E481,Priors!$A$3:$C$6,2,FALSE)</f>
        <v>2.4013207263995197E-4</v>
      </c>
      <c r="AC481" s="16">
        <f>VLOOKUP(E481,Priors!$A$3:$C$6,3,FALSE)</f>
        <v>1.9810895992796044E-3</v>
      </c>
      <c r="AD481" s="12">
        <f t="shared" si="44"/>
        <v>6.5484612118885187E-5</v>
      </c>
      <c r="AE481" s="12">
        <f t="shared" si="45"/>
        <v>2.0128414505807485E-3</v>
      </c>
      <c r="AF481" s="17">
        <v>1</v>
      </c>
      <c r="AG481" s="17">
        <v>1</v>
      </c>
      <c r="AH481" s="16">
        <f>IFERROR(VLOOKUP(D481,Teams!$B$2:$I$21,7,FALSE),1)</f>
        <v>1</v>
      </c>
      <c r="AI481" s="12">
        <f t="shared" si="46"/>
        <v>6.5484612118885187E-5</v>
      </c>
      <c r="AJ481" s="12">
        <f t="shared" si="47"/>
        <v>2.0128414505807485E-3</v>
      </c>
      <c r="AK481" s="6" t="s">
        <v>66</v>
      </c>
      <c r="AL481" s="18"/>
      <c r="AM481" s="23"/>
      <c r="AN481" s="24">
        <v>1.3999999999999999E-2</v>
      </c>
      <c r="AO481" s="25" t="b">
        <v>1</v>
      </c>
      <c r="AP481" s="23" t="s">
        <v>609</v>
      </c>
      <c r="AQ481" s="25" t="b">
        <v>0</v>
      </c>
      <c r="AR481" s="23"/>
      <c r="AS481" s="23" t="s">
        <v>68</v>
      </c>
    </row>
    <row r="482" spans="1:45" ht="60">
      <c r="A482" s="6">
        <v>468</v>
      </c>
      <c r="B482" s="6" t="s">
        <v>1355</v>
      </c>
      <c r="C482" s="6" t="s">
        <v>1356</v>
      </c>
      <c r="D482" s="6" t="s">
        <v>1354</v>
      </c>
      <c r="E482" s="6" t="s">
        <v>7</v>
      </c>
      <c r="F482" s="9">
        <v>4.5</v>
      </c>
      <c r="G482" s="9">
        <v>4.5</v>
      </c>
      <c r="H482" s="10">
        <v>437</v>
      </c>
      <c r="I482" s="11">
        <v>0</v>
      </c>
      <c r="J482" s="11">
        <v>0</v>
      </c>
      <c r="K482" s="12">
        <f t="shared" si="42"/>
        <v>0</v>
      </c>
      <c r="L482" s="12">
        <f t="shared" si="43"/>
        <v>0</v>
      </c>
      <c r="M482" s="10">
        <v>0</v>
      </c>
      <c r="N482" s="10">
        <v>0</v>
      </c>
      <c r="O482" s="10">
        <v>11</v>
      </c>
      <c r="P482" s="10">
        <v>2.2000000000000002</v>
      </c>
      <c r="Q482" s="10">
        <v>5</v>
      </c>
      <c r="R482" s="11">
        <v>0</v>
      </c>
      <c r="S482" s="6"/>
      <c r="T482" s="6"/>
      <c r="U482" s="6"/>
      <c r="V482" s="7" t="b">
        <v>0</v>
      </c>
      <c r="W482" s="8">
        <f>IFERROR(VLOOKUP(D482,Teams!$B$2:$I$21,6,FALSE),"")</f>
        <v>0</v>
      </c>
      <c r="X482" s="2" t="s">
        <v>65</v>
      </c>
      <c r="Y482" s="13"/>
      <c r="Z482" s="14"/>
      <c r="AA482" s="15">
        <f>IFERROR(H482/(H482+Priors!$G$3),0)</f>
        <v>0.30410577592205984</v>
      </c>
      <c r="AB482" s="16">
        <f>VLOOKUP(E482,Priors!$A$3:$C$6,2,FALSE)</f>
        <v>2.4013207263995197E-4</v>
      </c>
      <c r="AC482" s="16">
        <f>VLOOKUP(E482,Priors!$A$3:$C$6,3,FALSE)</f>
        <v>1.9810895992796044E-3</v>
      </c>
      <c r="AD482" s="12">
        <f t="shared" si="44"/>
        <v>1.6710652236600696E-4</v>
      </c>
      <c r="AE482" s="12">
        <f t="shared" si="45"/>
        <v>1.3786288095195577E-3</v>
      </c>
      <c r="AF482" s="17">
        <v>1</v>
      </c>
      <c r="AG482" s="17">
        <v>1</v>
      </c>
      <c r="AH482" s="16">
        <f>IFERROR(VLOOKUP(D482,Teams!$B$2:$I$21,7,FALSE),1)</f>
        <v>1</v>
      </c>
      <c r="AI482" s="12">
        <f t="shared" si="46"/>
        <v>1.6710652236600696E-4</v>
      </c>
      <c r="AJ482" s="12">
        <f t="shared" si="47"/>
        <v>1.3786288095195577E-3</v>
      </c>
      <c r="AK482" s="6" t="s">
        <v>66</v>
      </c>
      <c r="AL482" s="18"/>
      <c r="AM482" s="23"/>
      <c r="AN482" s="24">
        <v>1E-3</v>
      </c>
      <c r="AO482" s="25" t="b">
        <v>1</v>
      </c>
      <c r="AP482" s="23" t="s">
        <v>1357</v>
      </c>
      <c r="AQ482" s="25" t="b">
        <v>0</v>
      </c>
      <c r="AR482" s="23"/>
      <c r="AS482" s="23" t="s">
        <v>68</v>
      </c>
    </row>
    <row r="483" spans="1:45" ht="60">
      <c r="A483" s="6">
        <v>469</v>
      </c>
      <c r="B483" s="6" t="s">
        <v>1358</v>
      </c>
      <c r="C483" s="6" t="s">
        <v>1359</v>
      </c>
      <c r="D483" s="6" t="s">
        <v>1354</v>
      </c>
      <c r="E483" s="6" t="s">
        <v>9</v>
      </c>
      <c r="F483" s="9">
        <v>5</v>
      </c>
      <c r="G483" s="9">
        <v>5</v>
      </c>
      <c r="H483" s="10">
        <v>3203</v>
      </c>
      <c r="I483" s="11">
        <v>2.0099999999999998</v>
      </c>
      <c r="J483" s="11">
        <v>3.97</v>
      </c>
      <c r="K483" s="12">
        <f t="shared" si="42"/>
        <v>5.6478301592257252E-2</v>
      </c>
      <c r="L483" s="12">
        <f t="shared" si="43"/>
        <v>0.11155167030908524</v>
      </c>
      <c r="M483" s="10">
        <v>2</v>
      </c>
      <c r="N483" s="10">
        <v>3</v>
      </c>
      <c r="O483" s="10">
        <v>128</v>
      </c>
      <c r="P483" s="10">
        <v>3.5</v>
      </c>
      <c r="Q483" s="10">
        <v>36</v>
      </c>
      <c r="R483" s="11">
        <v>6.94</v>
      </c>
      <c r="S483" s="6"/>
      <c r="T483" s="6">
        <v>3</v>
      </c>
      <c r="U483" s="6">
        <v>5</v>
      </c>
      <c r="V483" s="7" t="b">
        <v>0</v>
      </c>
      <c r="W483" s="8">
        <f>IFERROR(VLOOKUP(D483,Teams!$B$2:$I$21,6,FALSE),"")</f>
        <v>0</v>
      </c>
      <c r="X483" s="2" t="s">
        <v>65</v>
      </c>
      <c r="Y483" s="13"/>
      <c r="Z483" s="14"/>
      <c r="AA483" s="15">
        <f>IFERROR(H483/(H483+Priors!$G$3),0)</f>
        <v>0.76207470854151793</v>
      </c>
      <c r="AB483" s="16">
        <f>VLOOKUP(E483,Priors!$A$3:$C$6,2,FALSE)</f>
        <v>6.0081391379341341E-2</v>
      </c>
      <c r="AC483" s="16">
        <f>VLOOKUP(E483,Priors!$A$3:$C$6,3,FALSE)</f>
        <v>5.9588191961478354E-2</v>
      </c>
      <c r="AD483" s="12">
        <f t="shared" si="44"/>
        <v>5.7335567780000311E-2</v>
      </c>
      <c r="AE483" s="12">
        <f t="shared" si="45"/>
        <v>9.9188244578034351E-2</v>
      </c>
      <c r="AF483" s="17">
        <v>1</v>
      </c>
      <c r="AG483" s="17">
        <v>1</v>
      </c>
      <c r="AH483" s="16">
        <f>IFERROR(VLOOKUP(D483,Teams!$B$2:$I$21,7,FALSE),1)</f>
        <v>1</v>
      </c>
      <c r="AI483" s="12">
        <f t="shared" si="46"/>
        <v>5.7335567780000311E-2</v>
      </c>
      <c r="AJ483" s="12">
        <f t="shared" si="47"/>
        <v>9.9188244578034351E-2</v>
      </c>
      <c r="AK483" s="6" t="s">
        <v>66</v>
      </c>
      <c r="AL483" s="18"/>
      <c r="AM483" s="23"/>
      <c r="AN483" s="24">
        <v>0.13200000000000001</v>
      </c>
      <c r="AO483" s="25" t="b">
        <v>1</v>
      </c>
      <c r="AP483" s="23" t="s">
        <v>688</v>
      </c>
      <c r="AQ483" s="25" t="b">
        <v>0</v>
      </c>
      <c r="AR483" s="23"/>
      <c r="AS483" s="23" t="s">
        <v>68</v>
      </c>
    </row>
    <row r="484" spans="1:45" ht="60">
      <c r="A484" s="6">
        <v>470</v>
      </c>
      <c r="B484" s="6" t="s">
        <v>1360</v>
      </c>
      <c r="C484" s="6" t="s">
        <v>1360</v>
      </c>
      <c r="D484" s="6" t="s">
        <v>1354</v>
      </c>
      <c r="E484" s="6" t="s">
        <v>9</v>
      </c>
      <c r="F484" s="9">
        <v>5</v>
      </c>
      <c r="G484" s="9">
        <v>5</v>
      </c>
      <c r="H484" s="10">
        <v>1340</v>
      </c>
      <c r="I484" s="11">
        <v>1.32</v>
      </c>
      <c r="J484" s="11">
        <v>0.15</v>
      </c>
      <c r="K484" s="12">
        <f t="shared" si="42"/>
        <v>8.8656716417910453E-2</v>
      </c>
      <c r="L484" s="12">
        <f t="shared" si="43"/>
        <v>1.0074626865671642E-2</v>
      </c>
      <c r="M484" s="10">
        <v>1</v>
      </c>
      <c r="N484" s="10">
        <v>0</v>
      </c>
      <c r="O484" s="10">
        <v>53</v>
      </c>
      <c r="P484" s="10">
        <v>2.5</v>
      </c>
      <c r="Q484" s="10">
        <v>14</v>
      </c>
      <c r="R484" s="11">
        <v>9.67</v>
      </c>
      <c r="S484" s="6"/>
      <c r="T484" s="6"/>
      <c r="U484" s="6"/>
      <c r="V484" s="7" t="b">
        <v>0</v>
      </c>
      <c r="W484" s="8">
        <f>IFERROR(VLOOKUP(D484,Teams!$B$2:$I$21,6,FALSE),"")</f>
        <v>0</v>
      </c>
      <c r="X484" s="2" t="s">
        <v>65</v>
      </c>
      <c r="Y484" s="13"/>
      <c r="Z484" s="14"/>
      <c r="AA484" s="15">
        <f>IFERROR(H484/(H484+Priors!$G$3),0)</f>
        <v>0.57264957264957261</v>
      </c>
      <c r="AB484" s="16">
        <f>VLOOKUP(E484,Priors!$A$3:$C$6,2,FALSE)</f>
        <v>6.0081391379341341E-2</v>
      </c>
      <c r="AC484" s="16">
        <f>VLOOKUP(E484,Priors!$A$3:$C$6,3,FALSE)</f>
        <v>5.9588191961478354E-2</v>
      </c>
      <c r="AD484" s="12">
        <f t="shared" si="44"/>
        <v>7.6445039051000571E-2</v>
      </c>
      <c r="AE484" s="12">
        <f t="shared" si="45"/>
        <v>3.1234270069007846E-2</v>
      </c>
      <c r="AF484" s="17">
        <v>1</v>
      </c>
      <c r="AG484" s="17">
        <v>1</v>
      </c>
      <c r="AH484" s="16">
        <f>IFERROR(VLOOKUP(D484,Teams!$B$2:$I$21,7,FALSE),1)</f>
        <v>1</v>
      </c>
      <c r="AI484" s="12">
        <f t="shared" si="46"/>
        <v>7.6445039051000571E-2</v>
      </c>
      <c r="AJ484" s="12">
        <f t="shared" si="47"/>
        <v>3.1234270069007846E-2</v>
      </c>
      <c r="AK484" s="6" t="s">
        <v>66</v>
      </c>
      <c r="AL484" s="18"/>
      <c r="AM484" s="23"/>
      <c r="AN484" s="24">
        <v>1E-3</v>
      </c>
      <c r="AO484" s="25" t="b">
        <v>1</v>
      </c>
      <c r="AP484" s="23" t="s">
        <v>705</v>
      </c>
      <c r="AQ484" s="25" t="b">
        <v>0</v>
      </c>
      <c r="AR484" s="23"/>
      <c r="AS484" s="23" t="s">
        <v>68</v>
      </c>
    </row>
    <row r="485" spans="1:45" ht="60">
      <c r="A485" s="6">
        <v>471</v>
      </c>
      <c r="B485" s="6" t="s">
        <v>1361</v>
      </c>
      <c r="C485" s="6" t="s">
        <v>1362</v>
      </c>
      <c r="D485" s="6" t="s">
        <v>1354</v>
      </c>
      <c r="E485" s="6" t="s">
        <v>9</v>
      </c>
      <c r="F485" s="9">
        <v>5.5</v>
      </c>
      <c r="G485" s="9">
        <v>5.5</v>
      </c>
      <c r="H485" s="10">
        <v>3375</v>
      </c>
      <c r="I485" s="11">
        <v>0.83</v>
      </c>
      <c r="J485" s="11">
        <v>0.68</v>
      </c>
      <c r="K485" s="12">
        <f t="shared" si="42"/>
        <v>2.2133333333333335E-2</v>
      </c>
      <c r="L485" s="12">
        <f t="shared" si="43"/>
        <v>1.8133333333333335E-2</v>
      </c>
      <c r="M485" s="10">
        <v>0</v>
      </c>
      <c r="N485" s="10">
        <v>1</v>
      </c>
      <c r="O485" s="10">
        <v>119</v>
      </c>
      <c r="P485" s="10">
        <v>3.1</v>
      </c>
      <c r="Q485" s="10">
        <v>37</v>
      </c>
      <c r="R485" s="11">
        <v>8.2899999999999991</v>
      </c>
      <c r="S485" s="6"/>
      <c r="T485" s="6"/>
      <c r="U485" s="6"/>
      <c r="V485" s="7" t="b">
        <v>0</v>
      </c>
      <c r="W485" s="8">
        <f>IFERROR(VLOOKUP(D485,Teams!$B$2:$I$21,6,FALSE),"")</f>
        <v>0</v>
      </c>
      <c r="X485" s="2" t="s">
        <v>65</v>
      </c>
      <c r="Y485" s="13"/>
      <c r="Z485" s="14"/>
      <c r="AA485" s="15">
        <f>IFERROR(H485/(H485+Priors!$G$3),0)</f>
        <v>0.77142857142857146</v>
      </c>
      <c r="AB485" s="16">
        <f>VLOOKUP(E485,Priors!$A$3:$C$6,2,FALSE)</f>
        <v>6.0081391379341341E-2</v>
      </c>
      <c r="AC485" s="16">
        <f>VLOOKUP(E485,Priors!$A$3:$C$6,3,FALSE)</f>
        <v>5.9588191961478354E-2</v>
      </c>
      <c r="AD485" s="12">
        <f t="shared" si="44"/>
        <v>3.0807175172420875E-2</v>
      </c>
      <c r="AE485" s="12">
        <f t="shared" si="45"/>
        <v>2.760872959119505E-2</v>
      </c>
      <c r="AF485" s="17">
        <v>1</v>
      </c>
      <c r="AG485" s="17">
        <v>1</v>
      </c>
      <c r="AH485" s="16">
        <f>IFERROR(VLOOKUP(D485,Teams!$B$2:$I$21,7,FALSE),1)</f>
        <v>1</v>
      </c>
      <c r="AI485" s="12">
        <f t="shared" si="46"/>
        <v>3.0807175172420875E-2</v>
      </c>
      <c r="AJ485" s="12">
        <f t="shared" si="47"/>
        <v>2.760872959119505E-2</v>
      </c>
      <c r="AK485" s="6" t="s">
        <v>66</v>
      </c>
      <c r="AL485" s="18"/>
      <c r="AM485" s="23"/>
      <c r="AN485" s="24">
        <v>2.2000000000000002E-2</v>
      </c>
      <c r="AO485" s="25" t="b">
        <v>1</v>
      </c>
      <c r="AP485" s="23" t="s">
        <v>1177</v>
      </c>
      <c r="AQ485" s="25" t="b">
        <v>0</v>
      </c>
      <c r="AR485" s="23"/>
      <c r="AS485" s="23" t="s">
        <v>68</v>
      </c>
    </row>
    <row r="486" spans="1:45" ht="60">
      <c r="A486" s="6">
        <v>472</v>
      </c>
      <c r="B486" s="6" t="s">
        <v>1363</v>
      </c>
      <c r="C486" s="6" t="s">
        <v>1363</v>
      </c>
      <c r="D486" s="6" t="s">
        <v>1354</v>
      </c>
      <c r="E486" s="6" t="s">
        <v>9</v>
      </c>
      <c r="F486" s="9">
        <v>5.5</v>
      </c>
      <c r="G486" s="9">
        <v>5.5</v>
      </c>
      <c r="H486" s="10">
        <v>2130</v>
      </c>
      <c r="I486" s="11">
        <v>0.73</v>
      </c>
      <c r="J486" s="11">
        <v>0.47</v>
      </c>
      <c r="K486" s="12">
        <f t="shared" si="42"/>
        <v>3.0845070422535214E-2</v>
      </c>
      <c r="L486" s="12">
        <f t="shared" si="43"/>
        <v>1.9859154929577464E-2</v>
      </c>
      <c r="M486" s="10">
        <v>1</v>
      </c>
      <c r="N486" s="10">
        <v>0</v>
      </c>
      <c r="O486" s="10">
        <v>83</v>
      </c>
      <c r="P486" s="10">
        <v>3.3</v>
      </c>
      <c r="Q486" s="10">
        <v>25</v>
      </c>
      <c r="R486" s="11">
        <v>9.42</v>
      </c>
      <c r="S486" s="6"/>
      <c r="T486" s="6">
        <v>2</v>
      </c>
      <c r="U486" s="6"/>
      <c r="V486" s="7" t="b">
        <v>0</v>
      </c>
      <c r="W486" s="8">
        <f>IFERROR(VLOOKUP(D486,Teams!$B$2:$I$21,6,FALSE),"")</f>
        <v>0</v>
      </c>
      <c r="X486" s="2" t="s">
        <v>65</v>
      </c>
      <c r="Y486" s="13"/>
      <c r="Z486" s="14"/>
      <c r="AA486" s="15">
        <f>IFERROR(H486/(H486+Priors!$G$3),0)</f>
        <v>0.68051118210862616</v>
      </c>
      <c r="AB486" s="16">
        <f>VLOOKUP(E486,Priors!$A$3:$C$6,2,FALSE)</f>
        <v>6.0081391379341341E-2</v>
      </c>
      <c r="AC486" s="16">
        <f>VLOOKUP(E486,Priors!$A$3:$C$6,3,FALSE)</f>
        <v>5.9588191961478354E-2</v>
      </c>
      <c r="AD486" s="12">
        <f t="shared" si="44"/>
        <v>4.0185748044518008E-2</v>
      </c>
      <c r="AE486" s="12">
        <f t="shared" si="45"/>
        <v>3.2552138006862096E-2</v>
      </c>
      <c r="AF486" s="17">
        <v>1</v>
      </c>
      <c r="AG486" s="17">
        <v>1</v>
      </c>
      <c r="AH486" s="16">
        <f>IFERROR(VLOOKUP(D486,Teams!$B$2:$I$21,7,FALSE),1)</f>
        <v>1</v>
      </c>
      <c r="AI486" s="12">
        <f t="shared" si="46"/>
        <v>4.0185748044518008E-2</v>
      </c>
      <c r="AJ486" s="12">
        <f t="shared" si="47"/>
        <v>3.2552138006862096E-2</v>
      </c>
      <c r="AK486" s="6" t="s">
        <v>204</v>
      </c>
      <c r="AL486" s="18">
        <v>75</v>
      </c>
      <c r="AM486" s="23" t="s">
        <v>1364</v>
      </c>
      <c r="AN486" s="24">
        <v>2E-3</v>
      </c>
      <c r="AO486" s="25" t="b">
        <v>1</v>
      </c>
      <c r="AP486" s="23" t="s">
        <v>640</v>
      </c>
      <c r="AQ486" s="25" t="b">
        <v>0</v>
      </c>
      <c r="AR486" s="23"/>
      <c r="AS486" s="23" t="s">
        <v>68</v>
      </c>
    </row>
    <row r="487" spans="1:45" ht="60">
      <c r="A487" s="6">
        <v>473</v>
      </c>
      <c r="B487" s="6" t="s">
        <v>1365</v>
      </c>
      <c r="C487" s="6" t="s">
        <v>1366</v>
      </c>
      <c r="D487" s="6" t="s">
        <v>1354</v>
      </c>
      <c r="E487" s="6" t="s">
        <v>9</v>
      </c>
      <c r="F487" s="9">
        <v>4.5</v>
      </c>
      <c r="G487" s="9">
        <v>4.5</v>
      </c>
      <c r="H487" s="10">
        <v>1587</v>
      </c>
      <c r="I487" s="11">
        <v>0.41</v>
      </c>
      <c r="J487" s="11">
        <v>0.84</v>
      </c>
      <c r="K487" s="12">
        <f t="shared" si="42"/>
        <v>2.3251417769376181E-2</v>
      </c>
      <c r="L487" s="12">
        <f t="shared" si="43"/>
        <v>4.7637051039697537E-2</v>
      </c>
      <c r="M487" s="10">
        <v>0</v>
      </c>
      <c r="N487" s="10">
        <v>2</v>
      </c>
      <c r="O487" s="10">
        <v>67</v>
      </c>
      <c r="P487" s="10">
        <v>3.7</v>
      </c>
      <c r="Q487" s="10">
        <v>18</v>
      </c>
      <c r="R487" s="11">
        <v>7.37</v>
      </c>
      <c r="S487" s="6"/>
      <c r="T487" s="6"/>
      <c r="U487" s="6"/>
      <c r="V487" s="7" t="b">
        <v>0</v>
      </c>
      <c r="W487" s="8">
        <f>IFERROR(VLOOKUP(D487,Teams!$B$2:$I$21,6,FALSE),"")</f>
        <v>0</v>
      </c>
      <c r="X487" s="2" t="s">
        <v>65</v>
      </c>
      <c r="Y487" s="13"/>
      <c r="Z487" s="14"/>
      <c r="AA487" s="15">
        <f>IFERROR(H487/(H487+Priors!$G$3),0)</f>
        <v>0.61345187475840746</v>
      </c>
      <c r="AB487" s="16">
        <f>VLOOKUP(E487,Priors!$A$3:$C$6,2,FALSE)</f>
        <v>6.0081391379341341E-2</v>
      </c>
      <c r="AC487" s="16">
        <f>VLOOKUP(E487,Priors!$A$3:$C$6,3,FALSE)</f>
        <v>5.9588191961478354E-2</v>
      </c>
      <c r="AD487" s="12">
        <f t="shared" si="44"/>
        <v>3.7487975021005544E-2</v>
      </c>
      <c r="AE487" s="12">
        <f t="shared" si="45"/>
        <v>5.2256742157509986E-2</v>
      </c>
      <c r="AF487" s="17">
        <v>1</v>
      </c>
      <c r="AG487" s="17">
        <v>1</v>
      </c>
      <c r="AH487" s="16">
        <f>IFERROR(VLOOKUP(D487,Teams!$B$2:$I$21,7,FALSE),1)</f>
        <v>1</v>
      </c>
      <c r="AI487" s="12">
        <f t="shared" si="46"/>
        <v>3.7487975021005544E-2</v>
      </c>
      <c r="AJ487" s="12">
        <f t="shared" si="47"/>
        <v>5.2256742157509986E-2</v>
      </c>
      <c r="AK487" s="6" t="s">
        <v>66</v>
      </c>
      <c r="AL487" s="18"/>
      <c r="AM487" s="23"/>
      <c r="AN487" s="24">
        <v>4.8000000000000001E-2</v>
      </c>
      <c r="AO487" s="25" t="b">
        <v>1</v>
      </c>
      <c r="AP487" s="23" t="s">
        <v>575</v>
      </c>
      <c r="AQ487" s="25" t="b">
        <v>0</v>
      </c>
      <c r="AR487" s="23"/>
      <c r="AS487" s="23" t="s">
        <v>68</v>
      </c>
    </row>
    <row r="488" spans="1:45" ht="60">
      <c r="A488" s="6">
        <v>474</v>
      </c>
      <c r="B488" s="6" t="s">
        <v>1367</v>
      </c>
      <c r="C488" s="6" t="s">
        <v>1367</v>
      </c>
      <c r="D488" s="6" t="s">
        <v>1354</v>
      </c>
      <c r="E488" s="6" t="s">
        <v>9</v>
      </c>
      <c r="F488" s="9">
        <v>4.5</v>
      </c>
      <c r="G488" s="9">
        <v>4.5</v>
      </c>
      <c r="H488" s="10">
        <v>514</v>
      </c>
      <c r="I488" s="11">
        <v>0.27</v>
      </c>
      <c r="J488" s="11">
        <v>0.06</v>
      </c>
      <c r="K488" s="12">
        <f t="shared" si="42"/>
        <v>4.7276264591439687E-2</v>
      </c>
      <c r="L488" s="12">
        <f t="shared" si="43"/>
        <v>1.0505836575875485E-2</v>
      </c>
      <c r="M488" s="10">
        <v>0</v>
      </c>
      <c r="N488" s="10">
        <v>0</v>
      </c>
      <c r="O488" s="10">
        <v>13</v>
      </c>
      <c r="P488" s="10">
        <v>1.4</v>
      </c>
      <c r="Q488" s="10">
        <v>6</v>
      </c>
      <c r="R488" s="11">
        <v>8.23</v>
      </c>
      <c r="S488" s="6"/>
      <c r="T488" s="6"/>
      <c r="U488" s="6"/>
      <c r="V488" s="7" t="b">
        <v>0</v>
      </c>
      <c r="W488" s="8">
        <f>IFERROR(VLOOKUP(D488,Teams!$B$2:$I$21,6,FALSE),"")</f>
        <v>0</v>
      </c>
      <c r="X488" s="2" t="s">
        <v>65</v>
      </c>
      <c r="Y488" s="13"/>
      <c r="Z488" s="14"/>
      <c r="AA488" s="15">
        <f>IFERROR(H488/(H488+Priors!$G$3),0)</f>
        <v>0.33949801849405548</v>
      </c>
      <c r="AB488" s="16">
        <f>VLOOKUP(E488,Priors!$A$3:$C$6,2,FALSE)</f>
        <v>6.0081391379341341E-2</v>
      </c>
      <c r="AC488" s="16">
        <f>VLOOKUP(E488,Priors!$A$3:$C$6,3,FALSE)</f>
        <v>5.9588191961478354E-2</v>
      </c>
      <c r="AD488" s="12">
        <f t="shared" si="44"/>
        <v>5.5734076208283578E-2</v>
      </c>
      <c r="AE488" s="12">
        <f t="shared" si="45"/>
        <v>4.2924829565045147E-2</v>
      </c>
      <c r="AF488" s="17">
        <v>1</v>
      </c>
      <c r="AG488" s="17">
        <v>1</v>
      </c>
      <c r="AH488" s="16">
        <f>IFERROR(VLOOKUP(D488,Teams!$B$2:$I$21,7,FALSE),1)</f>
        <v>1</v>
      </c>
      <c r="AI488" s="12">
        <f t="shared" si="46"/>
        <v>5.5734076208283578E-2</v>
      </c>
      <c r="AJ488" s="12">
        <f t="shared" si="47"/>
        <v>4.2924829565045147E-2</v>
      </c>
      <c r="AK488" s="6" t="s">
        <v>66</v>
      </c>
      <c r="AL488" s="18"/>
      <c r="AM488" s="23"/>
      <c r="AN488" s="24">
        <v>5.0000000000000001E-3</v>
      </c>
      <c r="AO488" s="25" t="b">
        <v>1</v>
      </c>
      <c r="AP488" s="23" t="s">
        <v>656</v>
      </c>
      <c r="AQ488" s="25" t="b">
        <v>0</v>
      </c>
      <c r="AR488" s="23"/>
      <c r="AS488" s="23" t="s">
        <v>68</v>
      </c>
    </row>
    <row r="489" spans="1:45" ht="60">
      <c r="A489" s="6">
        <v>475</v>
      </c>
      <c r="B489" s="6" t="s">
        <v>1368</v>
      </c>
      <c r="C489" s="6" t="s">
        <v>1369</v>
      </c>
      <c r="D489" s="6" t="s">
        <v>1354</v>
      </c>
      <c r="E489" s="6" t="s">
        <v>9</v>
      </c>
      <c r="F489" s="9">
        <v>4.5</v>
      </c>
      <c r="G489" s="9">
        <v>4.5</v>
      </c>
      <c r="H489" s="10">
        <v>1025</v>
      </c>
      <c r="I489" s="11">
        <v>1.34</v>
      </c>
      <c r="J489" s="11">
        <v>0.45</v>
      </c>
      <c r="K489" s="12">
        <f t="shared" si="42"/>
        <v>0.11765853658536586</v>
      </c>
      <c r="L489" s="12">
        <f t="shared" si="43"/>
        <v>3.951219512195122E-2</v>
      </c>
      <c r="M489" s="10">
        <v>2</v>
      </c>
      <c r="N489" s="10">
        <v>0</v>
      </c>
      <c r="O489" s="10">
        <v>39</v>
      </c>
      <c r="P489" s="10">
        <v>2.8</v>
      </c>
      <c r="Q489" s="10">
        <v>11</v>
      </c>
      <c r="R489" s="11">
        <v>5</v>
      </c>
      <c r="S489" s="6"/>
      <c r="T489" s="6"/>
      <c r="U489" s="6"/>
      <c r="V489" s="7" t="b">
        <v>0</v>
      </c>
      <c r="W489" s="8">
        <f>IFERROR(VLOOKUP(D489,Teams!$B$2:$I$21,6,FALSE),"")</f>
        <v>0</v>
      </c>
      <c r="X489" s="2" t="s">
        <v>65</v>
      </c>
      <c r="Y489" s="13"/>
      <c r="Z489" s="14"/>
      <c r="AA489" s="15">
        <f>IFERROR(H489/(H489+Priors!$G$3),0)</f>
        <v>0.50617283950617287</v>
      </c>
      <c r="AB489" s="16">
        <f>VLOOKUP(E489,Priors!$A$3:$C$6,2,FALSE)</f>
        <v>6.0081391379341341E-2</v>
      </c>
      <c r="AC489" s="16">
        <f>VLOOKUP(E489,Priors!$A$3:$C$6,3,FALSE)</f>
        <v>5.9588191961478354E-2</v>
      </c>
      <c r="AD489" s="12">
        <f t="shared" si="44"/>
        <v>8.9225378458933996E-2</v>
      </c>
      <c r="AE489" s="12">
        <f t="shared" si="45"/>
        <v>4.9426267635297949E-2</v>
      </c>
      <c r="AF489" s="17">
        <v>1</v>
      </c>
      <c r="AG489" s="17">
        <v>1</v>
      </c>
      <c r="AH489" s="16">
        <f>IFERROR(VLOOKUP(D489,Teams!$B$2:$I$21,7,FALSE),1)</f>
        <v>1</v>
      </c>
      <c r="AI489" s="12">
        <f t="shared" si="46"/>
        <v>8.9225378458933996E-2</v>
      </c>
      <c r="AJ489" s="12">
        <f t="shared" si="47"/>
        <v>4.9426267635297949E-2</v>
      </c>
      <c r="AK489" s="6" t="s">
        <v>80</v>
      </c>
      <c r="AL489" s="18">
        <v>0</v>
      </c>
      <c r="AM489" s="23" t="s">
        <v>209</v>
      </c>
      <c r="AN489" s="24">
        <v>0</v>
      </c>
      <c r="AO489" s="25" t="b">
        <v>1</v>
      </c>
      <c r="AP489" s="23" t="s">
        <v>1339</v>
      </c>
      <c r="AQ489" s="25" t="b">
        <v>0</v>
      </c>
      <c r="AR489" s="23"/>
      <c r="AS489" s="23" t="s">
        <v>68</v>
      </c>
    </row>
    <row r="490" spans="1:45" ht="60">
      <c r="A490" s="6">
        <v>476</v>
      </c>
      <c r="B490" s="6" t="s">
        <v>1370</v>
      </c>
      <c r="C490" s="6" t="s">
        <v>1371</v>
      </c>
      <c r="D490" s="6" t="s">
        <v>1354</v>
      </c>
      <c r="E490" s="6" t="s">
        <v>9</v>
      </c>
      <c r="F490" s="9">
        <v>4</v>
      </c>
      <c r="G490" s="9">
        <v>4</v>
      </c>
      <c r="H490" s="10">
        <v>0</v>
      </c>
      <c r="I490" s="11">
        <v>0</v>
      </c>
      <c r="J490" s="11">
        <v>0</v>
      </c>
      <c r="K490" s="12">
        <f t="shared" si="42"/>
        <v>0</v>
      </c>
      <c r="L490" s="12">
        <f t="shared" si="43"/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1">
        <v>0</v>
      </c>
      <c r="S490" s="6"/>
      <c r="T490" s="6"/>
      <c r="U490" s="6"/>
      <c r="V490" s="7" t="b">
        <v>0</v>
      </c>
      <c r="W490" s="8">
        <f>IFERROR(VLOOKUP(D490,Teams!$B$2:$I$21,6,FALSE),"")</f>
        <v>0</v>
      </c>
      <c r="X490" s="2" t="s">
        <v>65</v>
      </c>
      <c r="Y490" s="13"/>
      <c r="Z490" s="14"/>
      <c r="AA490" s="15">
        <f>IFERROR(H490/(H490+Priors!$G$3),0)</f>
        <v>0</v>
      </c>
      <c r="AB490" s="16">
        <f>VLOOKUP(E490,Priors!$A$3:$C$6,2,FALSE)</f>
        <v>6.0081391379341341E-2</v>
      </c>
      <c r="AC490" s="16">
        <f>VLOOKUP(E490,Priors!$A$3:$C$6,3,FALSE)</f>
        <v>5.9588191961478354E-2</v>
      </c>
      <c r="AD490" s="12">
        <f t="shared" si="44"/>
        <v>6.0081391379341341E-2</v>
      </c>
      <c r="AE490" s="12">
        <f t="shared" si="45"/>
        <v>5.9588191961478354E-2</v>
      </c>
      <c r="AF490" s="17">
        <v>1</v>
      </c>
      <c r="AG490" s="17">
        <v>1</v>
      </c>
      <c r="AH490" s="16">
        <f>IFERROR(VLOOKUP(D490,Teams!$B$2:$I$21,7,FALSE),1)</f>
        <v>1</v>
      </c>
      <c r="AI490" s="12">
        <f t="shared" si="46"/>
        <v>6.0081391379341341E-2</v>
      </c>
      <c r="AJ490" s="12">
        <f t="shared" si="47"/>
        <v>5.9588191961478354E-2</v>
      </c>
      <c r="AK490" s="6" t="s">
        <v>66</v>
      </c>
      <c r="AL490" s="18"/>
      <c r="AM490" s="23"/>
      <c r="AN490" s="24">
        <v>2E-3</v>
      </c>
      <c r="AO490" s="25" t="b">
        <v>1</v>
      </c>
      <c r="AP490" s="23" t="s">
        <v>1372</v>
      </c>
      <c r="AQ490" s="25" t="b">
        <v>0</v>
      </c>
      <c r="AR490" s="23"/>
      <c r="AS490" s="23" t="s">
        <v>68</v>
      </c>
    </row>
    <row r="491" spans="1:45" ht="60">
      <c r="A491" s="6">
        <v>477</v>
      </c>
      <c r="B491" s="6" t="s">
        <v>1373</v>
      </c>
      <c r="C491" s="6" t="s">
        <v>1374</v>
      </c>
      <c r="D491" s="6" t="s">
        <v>1354</v>
      </c>
      <c r="E491" s="6" t="s">
        <v>9</v>
      </c>
      <c r="F491" s="9">
        <v>4</v>
      </c>
      <c r="G491" s="9">
        <v>4</v>
      </c>
      <c r="H491" s="10">
        <v>165</v>
      </c>
      <c r="I491" s="11">
        <v>0</v>
      </c>
      <c r="J491" s="11">
        <v>0.01</v>
      </c>
      <c r="K491" s="12">
        <f t="shared" si="42"/>
        <v>0</v>
      </c>
      <c r="L491" s="12">
        <f t="shared" si="43"/>
        <v>5.454545454545455E-3</v>
      </c>
      <c r="M491" s="10">
        <v>0</v>
      </c>
      <c r="N491" s="10">
        <v>0</v>
      </c>
      <c r="O491" s="10">
        <v>3</v>
      </c>
      <c r="P491" s="10">
        <v>1</v>
      </c>
      <c r="Q491" s="10">
        <v>2</v>
      </c>
      <c r="R491" s="11">
        <v>7.09</v>
      </c>
      <c r="S491" s="6"/>
      <c r="T491" s="6"/>
      <c r="U491" s="6"/>
      <c r="V491" s="7" t="b">
        <v>0</v>
      </c>
      <c r="W491" s="8">
        <f>IFERROR(VLOOKUP(D491,Teams!$B$2:$I$21,6,FALSE),"")</f>
        <v>0</v>
      </c>
      <c r="X491" s="2" t="s">
        <v>65</v>
      </c>
      <c r="Y491" s="13"/>
      <c r="Z491" s="14"/>
      <c r="AA491" s="15">
        <f>IFERROR(H491/(H491+Priors!$G$3),0)</f>
        <v>0.14163090128755365</v>
      </c>
      <c r="AB491" s="16">
        <f>VLOOKUP(E491,Priors!$A$3:$C$6,2,FALSE)</f>
        <v>6.0081391379341341E-2</v>
      </c>
      <c r="AC491" s="16">
        <f>VLOOKUP(E491,Priors!$A$3:$C$6,3,FALSE)</f>
        <v>5.9588191961478354E-2</v>
      </c>
      <c r="AD491" s="12">
        <f t="shared" si="44"/>
        <v>5.1572009767674974E-2</v>
      </c>
      <c r="AE491" s="12">
        <f t="shared" si="45"/>
        <v>5.1921194816719612E-2</v>
      </c>
      <c r="AF491" s="17">
        <v>1</v>
      </c>
      <c r="AG491" s="17">
        <v>1</v>
      </c>
      <c r="AH491" s="16">
        <f>IFERROR(VLOOKUP(D491,Teams!$B$2:$I$21,7,FALSE),1)</f>
        <v>1</v>
      </c>
      <c r="AI491" s="12">
        <f t="shared" si="46"/>
        <v>5.1572009767674974E-2</v>
      </c>
      <c r="AJ491" s="12">
        <f t="shared" si="47"/>
        <v>5.1921194816719612E-2</v>
      </c>
      <c r="AK491" s="6" t="s">
        <v>66</v>
      </c>
      <c r="AL491" s="18"/>
      <c r="AM491" s="23"/>
      <c r="AN491" s="24">
        <v>2E-3</v>
      </c>
      <c r="AO491" s="25" t="b">
        <v>1</v>
      </c>
      <c r="AP491" s="23" t="s">
        <v>1375</v>
      </c>
      <c r="AQ491" s="25" t="b">
        <v>0</v>
      </c>
      <c r="AR491" s="23"/>
      <c r="AS491" s="23" t="s">
        <v>68</v>
      </c>
    </row>
    <row r="492" spans="1:45" ht="60">
      <c r="A492" s="6">
        <v>478</v>
      </c>
      <c r="B492" s="6" t="s">
        <v>1376</v>
      </c>
      <c r="C492" s="6" t="s">
        <v>1377</v>
      </c>
      <c r="D492" s="6" t="s">
        <v>1354</v>
      </c>
      <c r="E492" s="6" t="s">
        <v>9</v>
      </c>
      <c r="F492" s="9">
        <v>4.5</v>
      </c>
      <c r="G492" s="9">
        <v>4.5</v>
      </c>
      <c r="H492" s="10">
        <v>353</v>
      </c>
      <c r="I492" s="11">
        <v>0</v>
      </c>
      <c r="J492" s="11">
        <v>0.41</v>
      </c>
      <c r="K492" s="12">
        <f t="shared" si="42"/>
        <v>0</v>
      </c>
      <c r="L492" s="12">
        <f t="shared" si="43"/>
        <v>0.10453257790368271</v>
      </c>
      <c r="M492" s="10">
        <v>0</v>
      </c>
      <c r="N492" s="10">
        <v>0</v>
      </c>
      <c r="O492" s="10">
        <v>11</v>
      </c>
      <c r="P492" s="10">
        <v>1.6</v>
      </c>
      <c r="Q492" s="10">
        <v>3</v>
      </c>
      <c r="R492" s="11">
        <v>6.88</v>
      </c>
      <c r="S492" s="6"/>
      <c r="T492" s="6"/>
      <c r="U492" s="6"/>
      <c r="V492" s="7" t="b">
        <v>0</v>
      </c>
      <c r="W492" s="8">
        <f>IFERROR(VLOOKUP(D492,Teams!$B$2:$I$21,6,FALSE),"")</f>
        <v>0</v>
      </c>
      <c r="X492" s="2" t="s">
        <v>65</v>
      </c>
      <c r="Y492" s="13"/>
      <c r="Z492" s="14"/>
      <c r="AA492" s="15">
        <f>IFERROR(H492/(H492+Priors!$G$3),0)</f>
        <v>0.26090169992609019</v>
      </c>
      <c r="AB492" s="16">
        <f>VLOOKUP(E492,Priors!$A$3:$C$6,2,FALSE)</f>
        <v>6.0081391379341341E-2</v>
      </c>
      <c r="AC492" s="16">
        <f>VLOOKUP(E492,Priors!$A$3:$C$6,3,FALSE)</f>
        <v>5.9588191961478354E-2</v>
      </c>
      <c r="AD492" s="12">
        <f t="shared" si="44"/>
        <v>4.4406054234546438E-2</v>
      </c>
      <c r="AE492" s="12">
        <f t="shared" si="45"/>
        <v>7.1314258655933743E-2</v>
      </c>
      <c r="AF492" s="17">
        <v>1</v>
      </c>
      <c r="AG492" s="17">
        <v>1</v>
      </c>
      <c r="AH492" s="16">
        <f>IFERROR(VLOOKUP(D492,Teams!$B$2:$I$21,7,FALSE),1)</f>
        <v>1</v>
      </c>
      <c r="AI492" s="12">
        <f t="shared" si="46"/>
        <v>4.4406054234546438E-2</v>
      </c>
      <c r="AJ492" s="12">
        <f t="shared" si="47"/>
        <v>7.1314258655933743E-2</v>
      </c>
      <c r="AK492" s="6" t="s">
        <v>66</v>
      </c>
      <c r="AL492" s="18"/>
      <c r="AM492" s="23"/>
      <c r="AN492" s="24">
        <v>0</v>
      </c>
      <c r="AO492" s="25" t="b">
        <v>1</v>
      </c>
      <c r="AP492" s="23" t="s">
        <v>699</v>
      </c>
      <c r="AQ492" s="25" t="b">
        <v>0</v>
      </c>
      <c r="AR492" s="23"/>
      <c r="AS492" s="23" t="s">
        <v>68</v>
      </c>
    </row>
    <row r="493" spans="1:45" ht="60">
      <c r="A493" s="6">
        <v>479</v>
      </c>
      <c r="B493" s="6" t="s">
        <v>1378</v>
      </c>
      <c r="C493" s="6" t="s">
        <v>1379</v>
      </c>
      <c r="D493" s="6" t="s">
        <v>1354</v>
      </c>
      <c r="E493" s="6" t="s">
        <v>9</v>
      </c>
      <c r="F493" s="9">
        <v>4</v>
      </c>
      <c r="G493" s="9">
        <v>4</v>
      </c>
      <c r="H493" s="10">
        <v>0</v>
      </c>
      <c r="I493" s="11">
        <v>0</v>
      </c>
      <c r="J493" s="11">
        <v>0</v>
      </c>
      <c r="K493" s="12">
        <f t="shared" si="42"/>
        <v>0</v>
      </c>
      <c r="L493" s="12">
        <f t="shared" si="43"/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1">
        <v>0</v>
      </c>
      <c r="S493" s="6"/>
      <c r="T493" s="6"/>
      <c r="U493" s="6"/>
      <c r="V493" s="7" t="b">
        <v>0</v>
      </c>
      <c r="W493" s="8">
        <f>IFERROR(VLOOKUP(D493,Teams!$B$2:$I$21,6,FALSE),"")</f>
        <v>0</v>
      </c>
      <c r="X493" s="2" t="s">
        <v>65</v>
      </c>
      <c r="Y493" s="13"/>
      <c r="Z493" s="14"/>
      <c r="AA493" s="15">
        <f>IFERROR(H493/(H493+Priors!$G$3),0)</f>
        <v>0</v>
      </c>
      <c r="AB493" s="16">
        <f>VLOOKUP(E493,Priors!$A$3:$C$6,2,FALSE)</f>
        <v>6.0081391379341341E-2</v>
      </c>
      <c r="AC493" s="16">
        <f>VLOOKUP(E493,Priors!$A$3:$C$6,3,FALSE)</f>
        <v>5.9588191961478354E-2</v>
      </c>
      <c r="AD493" s="12">
        <f t="shared" si="44"/>
        <v>6.0081391379341341E-2</v>
      </c>
      <c r="AE493" s="12">
        <f t="shared" si="45"/>
        <v>5.9588191961478354E-2</v>
      </c>
      <c r="AF493" s="17">
        <v>1</v>
      </c>
      <c r="AG493" s="17">
        <v>1</v>
      </c>
      <c r="AH493" s="16">
        <f>IFERROR(VLOOKUP(D493,Teams!$B$2:$I$21,7,FALSE),1)</f>
        <v>1</v>
      </c>
      <c r="AI493" s="12">
        <f t="shared" si="46"/>
        <v>6.0081391379341341E-2</v>
      </c>
      <c r="AJ493" s="12">
        <f t="shared" si="47"/>
        <v>5.9588191961478354E-2</v>
      </c>
      <c r="AK493" s="6" t="s">
        <v>66</v>
      </c>
      <c r="AL493" s="18"/>
      <c r="AM493" s="23"/>
      <c r="AN493" s="24">
        <v>2E-3</v>
      </c>
      <c r="AO493" s="25" t="b">
        <v>1</v>
      </c>
      <c r="AP493" s="23" t="s">
        <v>460</v>
      </c>
      <c r="AQ493" s="25" t="b">
        <v>0</v>
      </c>
      <c r="AR493" s="23"/>
      <c r="AS493" s="23" t="s">
        <v>68</v>
      </c>
    </row>
    <row r="494" spans="1:45" ht="60">
      <c r="A494" s="6">
        <v>480</v>
      </c>
      <c r="B494" s="6" t="s">
        <v>1380</v>
      </c>
      <c r="C494" s="6" t="s">
        <v>1381</v>
      </c>
      <c r="D494" s="6" t="s">
        <v>1354</v>
      </c>
      <c r="E494" s="6" t="s">
        <v>11</v>
      </c>
      <c r="F494" s="9">
        <v>8</v>
      </c>
      <c r="G494" s="9">
        <v>8</v>
      </c>
      <c r="H494" s="10">
        <v>3101</v>
      </c>
      <c r="I494" s="11">
        <v>10.81</v>
      </c>
      <c r="J494" s="11">
        <v>2.91</v>
      </c>
      <c r="K494" s="12">
        <f t="shared" si="42"/>
        <v>0.31373750403095779</v>
      </c>
      <c r="L494" s="12">
        <f t="shared" si="43"/>
        <v>8.4456626894550163E-2</v>
      </c>
      <c r="M494" s="10">
        <v>15</v>
      </c>
      <c r="N494" s="10">
        <v>4</v>
      </c>
      <c r="O494" s="10">
        <v>188</v>
      </c>
      <c r="P494" s="10">
        <v>5.0999999999999996</v>
      </c>
      <c r="Q494" s="10">
        <v>35</v>
      </c>
      <c r="R494" s="11">
        <v>5.17</v>
      </c>
      <c r="S494" s="6">
        <v>2</v>
      </c>
      <c r="T494" s="6">
        <v>1</v>
      </c>
      <c r="U494" s="6"/>
      <c r="V494" s="7" t="b">
        <v>0</v>
      </c>
      <c r="W494" s="8">
        <f>IFERROR(VLOOKUP(D494,Teams!$B$2:$I$21,6,FALSE),"")</f>
        <v>0</v>
      </c>
      <c r="X494" s="2" t="s">
        <v>65</v>
      </c>
      <c r="Y494" s="13"/>
      <c r="Z494" s="14"/>
      <c r="AA494" s="15">
        <f>IFERROR(H494/(H494+Priors!$G$3),0)</f>
        <v>0.756157034869544</v>
      </c>
      <c r="AB494" s="16">
        <f>VLOOKUP(E494,Priors!$A$3:$C$6,2,FALSE)</f>
        <v>0.15714383234350468</v>
      </c>
      <c r="AC494" s="16">
        <f>VLOOKUP(E494,Priors!$A$3:$C$6,3,FALSE)</f>
        <v>0.13222062939449797</v>
      </c>
      <c r="AD494" s="12">
        <f t="shared" si="44"/>
        <v>0.27555323880602411</v>
      </c>
      <c r="AE494" s="12">
        <f t="shared" si="45"/>
        <v>9.610354289063594E-2</v>
      </c>
      <c r="AF494" s="17">
        <v>1</v>
      </c>
      <c r="AG494" s="17">
        <v>1</v>
      </c>
      <c r="AH494" s="16">
        <f>IFERROR(VLOOKUP(D494,Teams!$B$2:$I$21,7,FALSE),1)</f>
        <v>1</v>
      </c>
      <c r="AI494" s="12">
        <f t="shared" si="46"/>
        <v>0.27555323880602411</v>
      </c>
      <c r="AJ494" s="12">
        <f t="shared" si="47"/>
        <v>9.610354289063594E-2</v>
      </c>
      <c r="AK494" s="6" t="s">
        <v>66</v>
      </c>
      <c r="AL494" s="18"/>
      <c r="AM494" s="23"/>
      <c r="AN494" s="24">
        <v>0.11800000000000001</v>
      </c>
      <c r="AO494" s="25" t="b">
        <v>1</v>
      </c>
      <c r="AP494" s="23" t="s">
        <v>1382</v>
      </c>
      <c r="AQ494" s="25" t="b">
        <v>0</v>
      </c>
      <c r="AR494" s="23"/>
      <c r="AS494" s="23" t="s">
        <v>68</v>
      </c>
    </row>
    <row r="495" spans="1:45" ht="60">
      <c r="A495" s="6">
        <v>482</v>
      </c>
      <c r="B495" s="6" t="s">
        <v>1383</v>
      </c>
      <c r="C495" s="6" t="s">
        <v>1384</v>
      </c>
      <c r="D495" s="6" t="s">
        <v>1354</v>
      </c>
      <c r="E495" s="6" t="s">
        <v>11</v>
      </c>
      <c r="F495" s="9">
        <v>6</v>
      </c>
      <c r="G495" s="9">
        <v>6</v>
      </c>
      <c r="H495" s="10">
        <v>1838</v>
      </c>
      <c r="I495" s="11">
        <v>2.77</v>
      </c>
      <c r="J495" s="11">
        <v>3.02</v>
      </c>
      <c r="K495" s="12">
        <f t="shared" si="42"/>
        <v>0.13563656147986944</v>
      </c>
      <c r="L495" s="12">
        <f t="shared" si="43"/>
        <v>0.14787812840043527</v>
      </c>
      <c r="M495" s="10">
        <v>3</v>
      </c>
      <c r="N495" s="10">
        <v>4</v>
      </c>
      <c r="O495" s="10">
        <v>88</v>
      </c>
      <c r="P495" s="10">
        <v>2.9</v>
      </c>
      <c r="Q495" s="10">
        <v>21</v>
      </c>
      <c r="R495" s="11">
        <v>5.19</v>
      </c>
      <c r="S495" s="6"/>
      <c r="T495" s="6">
        <v>4</v>
      </c>
      <c r="U495" s="6"/>
      <c r="V495" s="7" t="b">
        <v>0</v>
      </c>
      <c r="W495" s="8">
        <f>IFERROR(VLOOKUP(D495,Teams!$B$2:$I$21,6,FALSE),"")</f>
        <v>0</v>
      </c>
      <c r="X495" s="2" t="s">
        <v>65</v>
      </c>
      <c r="Y495" s="13"/>
      <c r="Z495" s="14"/>
      <c r="AA495" s="15">
        <f>IFERROR(H495/(H495+Priors!$G$3),0)</f>
        <v>0.64763918252290342</v>
      </c>
      <c r="AB495" s="16">
        <f>VLOOKUP(E495,Priors!$A$3:$C$6,2,FALSE)</f>
        <v>0.15714383234350468</v>
      </c>
      <c r="AC495" s="16">
        <f>VLOOKUP(E495,Priors!$A$3:$C$6,3,FALSE)</f>
        <v>0.13222062939449797</v>
      </c>
      <c r="AD495" s="12">
        <f t="shared" si="44"/>
        <v>0.1432148810230813</v>
      </c>
      <c r="AE495" s="12">
        <f t="shared" si="45"/>
        <v>0.14236103925105636</v>
      </c>
      <c r="AF495" s="17">
        <v>1</v>
      </c>
      <c r="AG495" s="17">
        <v>1</v>
      </c>
      <c r="AH495" s="16">
        <f>IFERROR(VLOOKUP(D495,Teams!$B$2:$I$21,7,FALSE),1)</f>
        <v>1</v>
      </c>
      <c r="AI495" s="12">
        <f t="shared" si="46"/>
        <v>0.1432148810230813</v>
      </c>
      <c r="AJ495" s="12">
        <f t="shared" si="47"/>
        <v>0.14236103925105636</v>
      </c>
      <c r="AK495" s="6" t="s">
        <v>204</v>
      </c>
      <c r="AL495" s="18">
        <v>75</v>
      </c>
      <c r="AM495" s="23" t="s">
        <v>1222</v>
      </c>
      <c r="AN495" s="24">
        <v>0</v>
      </c>
      <c r="AO495" s="25" t="b">
        <v>1</v>
      </c>
      <c r="AP495" s="23" t="s">
        <v>521</v>
      </c>
      <c r="AQ495" s="25" t="b">
        <v>0</v>
      </c>
      <c r="AR495" s="23"/>
      <c r="AS495" s="23" t="s">
        <v>68</v>
      </c>
    </row>
    <row r="496" spans="1:45" ht="60">
      <c r="A496" s="6">
        <v>483</v>
      </c>
      <c r="B496" s="6" t="s">
        <v>1385</v>
      </c>
      <c r="C496" s="6" t="s">
        <v>1386</v>
      </c>
      <c r="D496" s="6" t="s">
        <v>1354</v>
      </c>
      <c r="E496" s="6" t="s">
        <v>11</v>
      </c>
      <c r="F496" s="9">
        <v>5.5</v>
      </c>
      <c r="G496" s="9">
        <v>5.5</v>
      </c>
      <c r="H496" s="10">
        <v>1167</v>
      </c>
      <c r="I496" s="11">
        <v>1.05</v>
      </c>
      <c r="J496" s="11">
        <v>1.51</v>
      </c>
      <c r="K496" s="12">
        <f t="shared" si="42"/>
        <v>8.0976863753213363E-2</v>
      </c>
      <c r="L496" s="12">
        <f t="shared" si="43"/>
        <v>0.11645244215938304</v>
      </c>
      <c r="M496" s="10">
        <v>1</v>
      </c>
      <c r="N496" s="10">
        <v>2</v>
      </c>
      <c r="O496" s="10">
        <v>50</v>
      </c>
      <c r="P496" s="10">
        <v>2.1</v>
      </c>
      <c r="Q496" s="10">
        <v>14</v>
      </c>
      <c r="R496" s="11">
        <v>7.4</v>
      </c>
      <c r="S496" s="6"/>
      <c r="T496" s="6"/>
      <c r="U496" s="6"/>
      <c r="V496" s="7" t="b">
        <v>0</v>
      </c>
      <c r="W496" s="8">
        <f>IFERROR(VLOOKUP(D496,Teams!$B$2:$I$21,6,FALSE),"")</f>
        <v>0</v>
      </c>
      <c r="X496" s="2" t="s">
        <v>65</v>
      </c>
      <c r="Y496" s="13"/>
      <c r="Z496" s="14"/>
      <c r="AA496" s="15">
        <f>IFERROR(H496/(H496+Priors!$G$3),0)</f>
        <v>0.53853253345639129</v>
      </c>
      <c r="AB496" s="16">
        <f>VLOOKUP(E496,Priors!$A$3:$C$6,2,FALSE)</f>
        <v>0.15714383234350468</v>
      </c>
      <c r="AC496" s="16">
        <f>VLOOKUP(E496,Priors!$A$3:$C$6,3,FALSE)</f>
        <v>0.13222062939449797</v>
      </c>
      <c r="AD496" s="12">
        <f t="shared" si="44"/>
        <v>0.11612544178288171</v>
      </c>
      <c r="AE496" s="12">
        <f t="shared" si="45"/>
        <v>0.12372894757475679</v>
      </c>
      <c r="AF496" s="17">
        <v>1</v>
      </c>
      <c r="AG496" s="17">
        <v>1</v>
      </c>
      <c r="AH496" s="16">
        <f>IFERROR(VLOOKUP(D496,Teams!$B$2:$I$21,7,FALSE),1)</f>
        <v>1</v>
      </c>
      <c r="AI496" s="12">
        <f t="shared" si="46"/>
        <v>0.11612544178288171</v>
      </c>
      <c r="AJ496" s="12">
        <f t="shared" si="47"/>
        <v>0.12372894757475679</v>
      </c>
      <c r="AK496" s="6" t="s">
        <v>66</v>
      </c>
      <c r="AL496" s="18"/>
      <c r="AM496" s="23"/>
      <c r="AN496" s="24">
        <v>6.0000000000000001E-3</v>
      </c>
      <c r="AO496" s="25" t="b">
        <v>1</v>
      </c>
      <c r="AP496" s="23" t="s">
        <v>1387</v>
      </c>
      <c r="AQ496" s="25" t="b">
        <v>0</v>
      </c>
      <c r="AR496" s="23"/>
      <c r="AS496" s="23" t="s">
        <v>68</v>
      </c>
    </row>
    <row r="497" spans="1:45" ht="60">
      <c r="A497" s="6">
        <v>484</v>
      </c>
      <c r="B497" s="6" t="s">
        <v>1388</v>
      </c>
      <c r="C497" s="6" t="s">
        <v>1389</v>
      </c>
      <c r="D497" s="6" t="s">
        <v>1354</v>
      </c>
      <c r="E497" s="6" t="s">
        <v>11</v>
      </c>
      <c r="F497" s="9">
        <v>5.5</v>
      </c>
      <c r="G497" s="9">
        <v>5.5</v>
      </c>
      <c r="H497" s="10">
        <v>1676</v>
      </c>
      <c r="I497" s="11">
        <v>2.0099999999999998</v>
      </c>
      <c r="J497" s="11">
        <v>3.87</v>
      </c>
      <c r="K497" s="12">
        <f t="shared" si="42"/>
        <v>0.10793556085918853</v>
      </c>
      <c r="L497" s="12">
        <f t="shared" si="43"/>
        <v>0.20781622911694511</v>
      </c>
      <c r="M497" s="10">
        <v>1</v>
      </c>
      <c r="N497" s="10">
        <v>7</v>
      </c>
      <c r="O497" s="10">
        <v>82</v>
      </c>
      <c r="P497" s="10">
        <v>2.6</v>
      </c>
      <c r="Q497" s="10">
        <v>17</v>
      </c>
      <c r="R497" s="11">
        <v>6.93</v>
      </c>
      <c r="S497" s="6"/>
      <c r="T497" s="6"/>
      <c r="U497" s="6">
        <v>4</v>
      </c>
      <c r="V497" s="7" t="b">
        <v>0</v>
      </c>
      <c r="W497" s="8">
        <f>IFERROR(VLOOKUP(D497,Teams!$B$2:$I$21,6,FALSE),"")</f>
        <v>0</v>
      </c>
      <c r="X497" s="2" t="s">
        <v>65</v>
      </c>
      <c r="Y497" s="13"/>
      <c r="Z497" s="14"/>
      <c r="AA497" s="15">
        <f>IFERROR(H497/(H497+Priors!$G$3),0)</f>
        <v>0.62630792227204779</v>
      </c>
      <c r="AB497" s="16">
        <f>VLOOKUP(E497,Priors!$A$3:$C$6,2,FALSE)</f>
        <v>0.15714383234350468</v>
      </c>
      <c r="AC497" s="16">
        <f>VLOOKUP(E497,Priors!$A$3:$C$6,3,FALSE)</f>
        <v>0.13222062939449797</v>
      </c>
      <c r="AD497" s="12">
        <f t="shared" si="44"/>
        <v>0.12632430207156375</v>
      </c>
      <c r="AE497" s="12">
        <f t="shared" si="45"/>
        <v>0.17956675238957323</v>
      </c>
      <c r="AF497" s="17">
        <v>1</v>
      </c>
      <c r="AG497" s="17">
        <v>1</v>
      </c>
      <c r="AH497" s="16">
        <f>IFERROR(VLOOKUP(D497,Teams!$B$2:$I$21,7,FALSE),1)</f>
        <v>1</v>
      </c>
      <c r="AI497" s="12">
        <f t="shared" si="46"/>
        <v>0.12632430207156375</v>
      </c>
      <c r="AJ497" s="12">
        <f t="shared" si="47"/>
        <v>0.17956675238957323</v>
      </c>
      <c r="AK497" s="6" t="s">
        <v>66</v>
      </c>
      <c r="AL497" s="18"/>
      <c r="AM497" s="23"/>
      <c r="AN497" s="24">
        <v>1E-3</v>
      </c>
      <c r="AO497" s="25" t="b">
        <v>1</v>
      </c>
      <c r="AP497" s="23" t="s">
        <v>350</v>
      </c>
      <c r="AQ497" s="25" t="b">
        <v>0</v>
      </c>
      <c r="AR497" s="23"/>
      <c r="AS497" s="23" t="s">
        <v>68</v>
      </c>
    </row>
    <row r="498" spans="1:45" ht="60">
      <c r="A498" s="6">
        <v>485</v>
      </c>
      <c r="B498" s="6" t="s">
        <v>1390</v>
      </c>
      <c r="C498" s="6" t="s">
        <v>1391</v>
      </c>
      <c r="D498" s="6" t="s">
        <v>1354</v>
      </c>
      <c r="E498" s="6" t="s">
        <v>11</v>
      </c>
      <c r="F498" s="9">
        <v>5.5</v>
      </c>
      <c r="G498" s="9">
        <v>5.5</v>
      </c>
      <c r="H498" s="10">
        <v>549</v>
      </c>
      <c r="I498" s="11">
        <v>0.54</v>
      </c>
      <c r="J498" s="11">
        <v>1.01</v>
      </c>
      <c r="K498" s="12">
        <f t="shared" si="42"/>
        <v>8.8524590163934436E-2</v>
      </c>
      <c r="L498" s="12">
        <f t="shared" si="43"/>
        <v>0.1655737704918033</v>
      </c>
      <c r="M498" s="10">
        <v>0</v>
      </c>
      <c r="N498" s="10">
        <v>2</v>
      </c>
      <c r="O498" s="10">
        <v>26</v>
      </c>
      <c r="P498" s="10">
        <v>1.9</v>
      </c>
      <c r="Q498" s="10">
        <v>6</v>
      </c>
      <c r="R498" s="11">
        <v>5.74</v>
      </c>
      <c r="S498" s="6"/>
      <c r="T498" s="6"/>
      <c r="U498" s="6">
        <v>6</v>
      </c>
      <c r="V498" s="7" t="b">
        <v>0</v>
      </c>
      <c r="W498" s="8">
        <f>IFERROR(VLOOKUP(D498,Teams!$B$2:$I$21,6,FALSE),"")</f>
        <v>0</v>
      </c>
      <c r="X498" s="2" t="s">
        <v>65</v>
      </c>
      <c r="Y498" s="13"/>
      <c r="Z498" s="14"/>
      <c r="AA498" s="15">
        <f>IFERROR(H498/(H498+Priors!$G$3),0)</f>
        <v>0.35442220787604906</v>
      </c>
      <c r="AB498" s="16">
        <f>VLOOKUP(E498,Priors!$A$3:$C$6,2,FALSE)</f>
        <v>0.15714383234350468</v>
      </c>
      <c r="AC498" s="16">
        <f>VLOOKUP(E498,Priors!$A$3:$C$6,3,FALSE)</f>
        <v>0.13222062939449797</v>
      </c>
      <c r="AD498" s="12">
        <f t="shared" si="44"/>
        <v>0.13282364902744009</v>
      </c>
      <c r="AE498" s="12">
        <f t="shared" si="45"/>
        <v>0.14404172330180631</v>
      </c>
      <c r="AF498" s="17">
        <v>1</v>
      </c>
      <c r="AG498" s="17">
        <v>1</v>
      </c>
      <c r="AH498" s="16">
        <f>IFERROR(VLOOKUP(D498,Teams!$B$2:$I$21,7,FALSE),1)</f>
        <v>1</v>
      </c>
      <c r="AI498" s="12">
        <f t="shared" si="46"/>
        <v>0.13282364902744009</v>
      </c>
      <c r="AJ498" s="12">
        <f t="shared" si="47"/>
        <v>0.14404172330180631</v>
      </c>
      <c r="AK498" s="6" t="s">
        <v>66</v>
      </c>
      <c r="AL498" s="18"/>
      <c r="AM498" s="23"/>
      <c r="AN498" s="24">
        <v>0</v>
      </c>
      <c r="AO498" s="25" t="b">
        <v>1</v>
      </c>
      <c r="AP498" s="23" t="s">
        <v>181</v>
      </c>
      <c r="AQ498" s="25" t="b">
        <v>0</v>
      </c>
      <c r="AR498" s="23"/>
      <c r="AS498" s="23" t="s">
        <v>68</v>
      </c>
    </row>
    <row r="499" spans="1:45" ht="60">
      <c r="A499" s="6">
        <v>486</v>
      </c>
      <c r="B499" s="6" t="s">
        <v>1392</v>
      </c>
      <c r="C499" s="6" t="s">
        <v>1393</v>
      </c>
      <c r="D499" s="6" t="s">
        <v>1354</v>
      </c>
      <c r="E499" s="6" t="s">
        <v>11</v>
      </c>
      <c r="F499" s="9">
        <v>5.5</v>
      </c>
      <c r="G499" s="9">
        <v>5.5</v>
      </c>
      <c r="H499" s="10">
        <v>288</v>
      </c>
      <c r="I499" s="11">
        <v>0.18</v>
      </c>
      <c r="J499" s="11">
        <v>0.37</v>
      </c>
      <c r="K499" s="12">
        <f t="shared" si="42"/>
        <v>5.6249999999999994E-2</v>
      </c>
      <c r="L499" s="12">
        <f t="shared" si="43"/>
        <v>0.11562499999999999</v>
      </c>
      <c r="M499" s="10">
        <v>0</v>
      </c>
      <c r="N499" s="10">
        <v>1</v>
      </c>
      <c r="O499" s="10">
        <v>17</v>
      </c>
      <c r="P499" s="10">
        <v>1.2</v>
      </c>
      <c r="Q499" s="10">
        <v>2</v>
      </c>
      <c r="R499" s="11">
        <v>10</v>
      </c>
      <c r="S499" s="6"/>
      <c r="T499" s="6"/>
      <c r="U499" s="6"/>
      <c r="V499" s="7" t="b">
        <v>0</v>
      </c>
      <c r="W499" s="8">
        <f>IFERROR(VLOOKUP(D499,Teams!$B$2:$I$21,6,FALSE),"")</f>
        <v>0</v>
      </c>
      <c r="X499" s="2" t="s">
        <v>65</v>
      </c>
      <c r="Y499" s="13"/>
      <c r="Z499" s="14"/>
      <c r="AA499" s="15">
        <f>IFERROR(H499/(H499+Priors!$G$3),0)</f>
        <v>0.2236024844720497</v>
      </c>
      <c r="AB499" s="16">
        <f>VLOOKUP(E499,Priors!$A$3:$C$6,2,FALSE)</f>
        <v>0.15714383234350468</v>
      </c>
      <c r="AC499" s="16">
        <f>VLOOKUP(E499,Priors!$A$3:$C$6,3,FALSE)</f>
        <v>0.13222062939449797</v>
      </c>
      <c r="AD499" s="12">
        <f t="shared" si="44"/>
        <v>0.1345837207635906</v>
      </c>
      <c r="AE499" s="12">
        <f t="shared" si="45"/>
        <v>0.12850980543051083</v>
      </c>
      <c r="AF499" s="17">
        <v>1</v>
      </c>
      <c r="AG499" s="17">
        <v>1</v>
      </c>
      <c r="AH499" s="16">
        <f>IFERROR(VLOOKUP(D499,Teams!$B$2:$I$21,7,FALSE),1)</f>
        <v>1</v>
      </c>
      <c r="AI499" s="12">
        <f t="shared" si="46"/>
        <v>0.1345837207635906</v>
      </c>
      <c r="AJ499" s="12">
        <f t="shared" si="47"/>
        <v>0.12850980543051083</v>
      </c>
      <c r="AK499" s="6" t="s">
        <v>66</v>
      </c>
      <c r="AL499" s="18"/>
      <c r="AM499" s="23"/>
      <c r="AN499" s="24">
        <v>1E-3</v>
      </c>
      <c r="AO499" s="25" t="b">
        <v>1</v>
      </c>
      <c r="AP499" s="23" t="s">
        <v>350</v>
      </c>
      <c r="AQ499" s="25" t="b">
        <v>0</v>
      </c>
      <c r="AR499" s="23"/>
      <c r="AS499" s="23" t="s">
        <v>68</v>
      </c>
    </row>
    <row r="500" spans="1:45" ht="60">
      <c r="A500" s="6">
        <v>487</v>
      </c>
      <c r="B500" s="6" t="s">
        <v>1394</v>
      </c>
      <c r="C500" s="6" t="s">
        <v>1395</v>
      </c>
      <c r="D500" s="6" t="s">
        <v>1354</v>
      </c>
      <c r="E500" s="6" t="s">
        <v>11</v>
      </c>
      <c r="F500" s="9">
        <v>5</v>
      </c>
      <c r="G500" s="9">
        <v>5</v>
      </c>
      <c r="H500" s="10">
        <v>1168</v>
      </c>
      <c r="I500" s="11">
        <v>1.47</v>
      </c>
      <c r="J500" s="11">
        <v>0.77</v>
      </c>
      <c r="K500" s="12">
        <f t="shared" si="42"/>
        <v>0.11327054794520548</v>
      </c>
      <c r="L500" s="12">
        <f t="shared" si="43"/>
        <v>5.9332191780821913E-2</v>
      </c>
      <c r="M500" s="10">
        <v>1</v>
      </c>
      <c r="N500" s="10">
        <v>1</v>
      </c>
      <c r="O500" s="10">
        <v>48</v>
      </c>
      <c r="P500" s="10">
        <v>1.8</v>
      </c>
      <c r="Q500" s="10">
        <v>17</v>
      </c>
      <c r="R500" s="11">
        <v>11.02</v>
      </c>
      <c r="S500" s="6"/>
      <c r="T500" s="6"/>
      <c r="U500" s="6"/>
      <c r="V500" s="7" t="b">
        <v>0</v>
      </c>
      <c r="W500" s="8">
        <f>IFERROR(VLOOKUP(D500,Teams!$B$2:$I$21,6,FALSE),"")</f>
        <v>0</v>
      </c>
      <c r="X500" s="2" t="s">
        <v>65</v>
      </c>
      <c r="Y500" s="13"/>
      <c r="Z500" s="14"/>
      <c r="AA500" s="15">
        <f>IFERROR(H500/(H500+Priors!$G$3),0)</f>
        <v>0.53874538745387457</v>
      </c>
      <c r="AB500" s="16">
        <f>VLOOKUP(E500,Priors!$A$3:$C$6,2,FALSE)</f>
        <v>0.15714383234350468</v>
      </c>
      <c r="AC500" s="16">
        <f>VLOOKUP(E500,Priors!$A$3:$C$6,3,FALSE)</f>
        <v>0.13222062939449797</v>
      </c>
      <c r="AD500" s="12">
        <f t="shared" si="44"/>
        <v>0.13350730274146894</v>
      </c>
      <c r="AE500" s="12">
        <f t="shared" si="45"/>
        <v>9.2952319831410501E-2</v>
      </c>
      <c r="AF500" s="17">
        <v>1</v>
      </c>
      <c r="AG500" s="17">
        <v>1</v>
      </c>
      <c r="AH500" s="16">
        <f>IFERROR(VLOOKUP(D500,Teams!$B$2:$I$21,7,FALSE),1)</f>
        <v>1</v>
      </c>
      <c r="AI500" s="12">
        <f t="shared" si="46"/>
        <v>0.13350730274146894</v>
      </c>
      <c r="AJ500" s="12">
        <f t="shared" si="47"/>
        <v>9.2952319831410501E-2</v>
      </c>
      <c r="AK500" s="6" t="s">
        <v>66</v>
      </c>
      <c r="AL500" s="18"/>
      <c r="AM500" s="23"/>
      <c r="AN500" s="24">
        <v>1E-3</v>
      </c>
      <c r="AO500" s="25" t="b">
        <v>1</v>
      </c>
      <c r="AP500" s="23" t="s">
        <v>521</v>
      </c>
      <c r="AQ500" s="25" t="b">
        <v>0</v>
      </c>
      <c r="AR500" s="23"/>
      <c r="AS500" s="23" t="s">
        <v>68</v>
      </c>
    </row>
    <row r="501" spans="1:45" ht="60">
      <c r="A501" s="6">
        <v>488</v>
      </c>
      <c r="B501" s="6" t="s">
        <v>386</v>
      </c>
      <c r="C501" s="6" t="s">
        <v>1396</v>
      </c>
      <c r="D501" s="6" t="s">
        <v>1354</v>
      </c>
      <c r="E501" s="6" t="s">
        <v>11</v>
      </c>
      <c r="F501" s="9">
        <v>5</v>
      </c>
      <c r="G501" s="9">
        <v>5</v>
      </c>
      <c r="H501" s="10">
        <v>2073</v>
      </c>
      <c r="I501" s="11">
        <v>1.1599999999999999</v>
      </c>
      <c r="J501" s="11">
        <v>1.8</v>
      </c>
      <c r="K501" s="12">
        <f t="shared" si="42"/>
        <v>5.0361794500723582E-2</v>
      </c>
      <c r="L501" s="12">
        <f t="shared" si="43"/>
        <v>7.8147612156295218E-2</v>
      </c>
      <c r="M501" s="10">
        <v>2</v>
      </c>
      <c r="N501" s="10">
        <v>2</v>
      </c>
      <c r="O501" s="10">
        <v>89</v>
      </c>
      <c r="P501" s="10">
        <v>3.2</v>
      </c>
      <c r="Q501" s="10">
        <v>25</v>
      </c>
      <c r="R501" s="11">
        <v>11.59</v>
      </c>
      <c r="S501" s="6"/>
      <c r="T501" s="6"/>
      <c r="U501" s="6"/>
      <c r="V501" s="7" t="b">
        <v>0</v>
      </c>
      <c r="W501" s="8">
        <f>IFERROR(VLOOKUP(D501,Teams!$B$2:$I$21,6,FALSE),"")</f>
        <v>0</v>
      </c>
      <c r="X501" s="2" t="s">
        <v>65</v>
      </c>
      <c r="Y501" s="13"/>
      <c r="Z501" s="14"/>
      <c r="AA501" s="15">
        <f>IFERROR(H501/(H501+Priors!$G$3),0)</f>
        <v>0.67458509599739669</v>
      </c>
      <c r="AB501" s="16">
        <f>VLOOKUP(E501,Priors!$A$3:$C$6,2,FALSE)</f>
        <v>0.15714383234350468</v>
      </c>
      <c r="AC501" s="16">
        <f>VLOOKUP(E501,Priors!$A$3:$C$6,3,FALSE)</f>
        <v>0.13222062939449797</v>
      </c>
      <c r="AD501" s="12">
        <f t="shared" si="44"/>
        <v>8.5110261094534539E-2</v>
      </c>
      <c r="AE501" s="12">
        <f t="shared" si="45"/>
        <v>9.5743777869996077E-2</v>
      </c>
      <c r="AF501" s="17">
        <v>1</v>
      </c>
      <c r="AG501" s="17">
        <v>1</v>
      </c>
      <c r="AH501" s="16">
        <f>IFERROR(VLOOKUP(D501,Teams!$B$2:$I$21,7,FALSE),1)</f>
        <v>1</v>
      </c>
      <c r="AI501" s="12">
        <f t="shared" si="46"/>
        <v>8.5110261094534539E-2</v>
      </c>
      <c r="AJ501" s="12">
        <f t="shared" si="47"/>
        <v>9.5743777869996077E-2</v>
      </c>
      <c r="AK501" s="6" t="s">
        <v>66</v>
      </c>
      <c r="AL501" s="18"/>
      <c r="AM501" s="23"/>
      <c r="AN501" s="24">
        <v>5.0000000000000001E-3</v>
      </c>
      <c r="AO501" s="25" t="b">
        <v>1</v>
      </c>
      <c r="AP501" s="23" t="s">
        <v>521</v>
      </c>
      <c r="AQ501" s="25" t="b">
        <v>0</v>
      </c>
      <c r="AR501" s="23"/>
      <c r="AS501" s="23" t="s">
        <v>68</v>
      </c>
    </row>
    <row r="502" spans="1:45" ht="60">
      <c r="A502" s="6">
        <v>489</v>
      </c>
      <c r="B502" s="6" t="s">
        <v>1397</v>
      </c>
      <c r="C502" s="6" t="s">
        <v>1398</v>
      </c>
      <c r="D502" s="6" t="s">
        <v>1354</v>
      </c>
      <c r="E502" s="6" t="s">
        <v>11</v>
      </c>
      <c r="F502" s="9">
        <v>4.5</v>
      </c>
      <c r="G502" s="9">
        <v>4.5</v>
      </c>
      <c r="H502" s="10">
        <v>602</v>
      </c>
      <c r="I502" s="11">
        <v>0.49</v>
      </c>
      <c r="J502" s="11">
        <v>0.37</v>
      </c>
      <c r="K502" s="12">
        <f t="shared" si="42"/>
        <v>7.3255813953488375E-2</v>
      </c>
      <c r="L502" s="12">
        <f t="shared" si="43"/>
        <v>5.5315614617940198E-2</v>
      </c>
      <c r="M502" s="10">
        <v>0</v>
      </c>
      <c r="N502" s="10">
        <v>2</v>
      </c>
      <c r="O502" s="10">
        <v>30</v>
      </c>
      <c r="P502" s="10">
        <v>1.4</v>
      </c>
      <c r="Q502" s="10">
        <v>2</v>
      </c>
      <c r="R502" s="11">
        <v>10.32</v>
      </c>
      <c r="S502" s="6"/>
      <c r="T502" s="6"/>
      <c r="U502" s="6"/>
      <c r="V502" s="7" t="b">
        <v>0</v>
      </c>
      <c r="W502" s="8">
        <f>IFERROR(VLOOKUP(D502,Teams!$B$2:$I$21,6,FALSE),"")</f>
        <v>0</v>
      </c>
      <c r="X502" s="2" t="s">
        <v>65</v>
      </c>
      <c r="Y502" s="13"/>
      <c r="Z502" s="14"/>
      <c r="AA502" s="15">
        <f>IFERROR(H502/(H502+Priors!$G$3),0)</f>
        <v>0.37578027465667913</v>
      </c>
      <c r="AB502" s="16">
        <f>VLOOKUP(E502,Priors!$A$3:$C$6,2,FALSE)</f>
        <v>0.15714383234350468</v>
      </c>
      <c r="AC502" s="16">
        <f>VLOOKUP(E502,Priors!$A$3:$C$6,3,FALSE)</f>
        <v>0.13222062939449797</v>
      </c>
      <c r="AD502" s="12">
        <f t="shared" si="44"/>
        <v>0.12562036975249979</v>
      </c>
      <c r="AE502" s="12">
        <f t="shared" si="45"/>
        <v>0.10332124181928712</v>
      </c>
      <c r="AF502" s="17">
        <v>1</v>
      </c>
      <c r="AG502" s="17">
        <v>1</v>
      </c>
      <c r="AH502" s="16">
        <f>IFERROR(VLOOKUP(D502,Teams!$B$2:$I$21,7,FALSE),1)</f>
        <v>1</v>
      </c>
      <c r="AI502" s="12">
        <f t="shared" si="46"/>
        <v>0.12562036975249979</v>
      </c>
      <c r="AJ502" s="12">
        <f t="shared" si="47"/>
        <v>0.10332124181928712</v>
      </c>
      <c r="AK502" s="6" t="s">
        <v>66</v>
      </c>
      <c r="AL502" s="18"/>
      <c r="AM502" s="23"/>
      <c r="AN502" s="24">
        <v>7.400000000000001E-2</v>
      </c>
      <c r="AO502" s="25" t="b">
        <v>1</v>
      </c>
      <c r="AP502" s="23" t="s">
        <v>1399</v>
      </c>
      <c r="AQ502" s="25" t="b">
        <v>0</v>
      </c>
      <c r="AR502" s="23"/>
      <c r="AS502" s="23" t="s">
        <v>68</v>
      </c>
    </row>
    <row r="503" spans="1:45" ht="60">
      <c r="A503" s="6">
        <v>490</v>
      </c>
      <c r="B503" s="6" t="s">
        <v>1400</v>
      </c>
      <c r="C503" s="6" t="s">
        <v>1401</v>
      </c>
      <c r="D503" s="6" t="s">
        <v>1354</v>
      </c>
      <c r="E503" s="6" t="s">
        <v>14</v>
      </c>
      <c r="F503" s="9">
        <v>6</v>
      </c>
      <c r="G503" s="9">
        <v>6</v>
      </c>
      <c r="H503" s="10">
        <v>896</v>
      </c>
      <c r="I503" s="11">
        <v>4.29</v>
      </c>
      <c r="J503" s="11">
        <v>0.32</v>
      </c>
      <c r="K503" s="12">
        <f t="shared" si="42"/>
        <v>0.43091517857142858</v>
      </c>
      <c r="L503" s="12">
        <f t="shared" si="43"/>
        <v>3.2142857142857147E-2</v>
      </c>
      <c r="M503" s="10">
        <v>3</v>
      </c>
      <c r="N503" s="10">
        <v>0</v>
      </c>
      <c r="O503" s="10">
        <v>41</v>
      </c>
      <c r="P503" s="10">
        <v>2.7</v>
      </c>
      <c r="Q503" s="10">
        <v>11</v>
      </c>
      <c r="R503" s="11">
        <v>2.91</v>
      </c>
      <c r="S503" s="6">
        <v>1</v>
      </c>
      <c r="T503" s="6"/>
      <c r="U503" s="6"/>
      <c r="V503" s="7" t="b">
        <v>0</v>
      </c>
      <c r="W503" s="8">
        <f>IFERROR(VLOOKUP(D503,Teams!$B$2:$I$21,6,FALSE),"")</f>
        <v>0</v>
      </c>
      <c r="X503" s="2" t="s">
        <v>65</v>
      </c>
      <c r="Y503" s="13"/>
      <c r="Z503" s="14"/>
      <c r="AA503" s="15">
        <f>IFERROR(H503/(H503+Priors!$G$3),0)</f>
        <v>0.47257383966244726</v>
      </c>
      <c r="AB503" s="16">
        <f>VLOOKUP(E503,Priors!$A$3:$C$6,2,FALSE)</f>
        <v>0.44625207326425426</v>
      </c>
      <c r="AC503" s="16">
        <f>VLOOKUP(E503,Priors!$A$3:$C$6,3,FALSE)</f>
        <v>5.8217260259314105E-2</v>
      </c>
      <c r="AD503" s="12">
        <f t="shared" si="44"/>
        <v>0.43900425805076704</v>
      </c>
      <c r="AE503" s="12">
        <f t="shared" si="45"/>
        <v>4.5895179461663563E-2</v>
      </c>
      <c r="AF503" s="17">
        <v>1</v>
      </c>
      <c r="AG503" s="17">
        <v>1</v>
      </c>
      <c r="AH503" s="16">
        <f>IFERROR(VLOOKUP(D503,Teams!$B$2:$I$21,7,FALSE),1)</f>
        <v>1</v>
      </c>
      <c r="AI503" s="12">
        <f t="shared" si="46"/>
        <v>0.43900425805076704</v>
      </c>
      <c r="AJ503" s="12">
        <f t="shared" si="47"/>
        <v>4.5895179461663563E-2</v>
      </c>
      <c r="AK503" s="6" t="s">
        <v>66</v>
      </c>
      <c r="AL503" s="18"/>
      <c r="AM503" s="23"/>
      <c r="AN503" s="24">
        <v>1.8000000000000002E-2</v>
      </c>
      <c r="AO503" s="25" t="b">
        <v>1</v>
      </c>
      <c r="AP503" s="23" t="s">
        <v>273</v>
      </c>
      <c r="AQ503" s="25" t="b">
        <v>0</v>
      </c>
      <c r="AR503" s="23"/>
      <c r="AS503" s="23" t="s">
        <v>68</v>
      </c>
    </row>
    <row r="504" spans="1:45" ht="60">
      <c r="A504" s="6">
        <v>491</v>
      </c>
      <c r="B504" s="6" t="s">
        <v>1402</v>
      </c>
      <c r="C504" s="6" t="s">
        <v>1402</v>
      </c>
      <c r="D504" s="6" t="s">
        <v>1354</v>
      </c>
      <c r="E504" s="6" t="s">
        <v>14</v>
      </c>
      <c r="F504" s="9">
        <v>6</v>
      </c>
      <c r="G504" s="9">
        <v>6</v>
      </c>
      <c r="H504" s="10">
        <v>2293</v>
      </c>
      <c r="I504" s="11">
        <v>6.48</v>
      </c>
      <c r="J504" s="11">
        <v>1.26</v>
      </c>
      <c r="K504" s="12">
        <f t="shared" si="42"/>
        <v>0.25433929350196249</v>
      </c>
      <c r="L504" s="12">
        <f t="shared" si="43"/>
        <v>4.9454862625381596E-2</v>
      </c>
      <c r="M504" s="10">
        <v>6</v>
      </c>
      <c r="N504" s="10">
        <v>6</v>
      </c>
      <c r="O504" s="10">
        <v>114</v>
      </c>
      <c r="P504" s="10">
        <v>3.1</v>
      </c>
      <c r="Q504" s="10">
        <v>28</v>
      </c>
      <c r="R504" s="11">
        <v>4.83</v>
      </c>
      <c r="S504" s="6">
        <v>3</v>
      </c>
      <c r="T504" s="6"/>
      <c r="U504" s="6"/>
      <c r="V504" s="7" t="b">
        <v>0</v>
      </c>
      <c r="W504" s="8">
        <f>IFERROR(VLOOKUP(D504,Teams!$B$2:$I$21,6,FALSE),"")</f>
        <v>0</v>
      </c>
      <c r="X504" s="2" t="s">
        <v>65</v>
      </c>
      <c r="Y504" s="13"/>
      <c r="Z504" s="14"/>
      <c r="AA504" s="15">
        <f>IFERROR(H504/(H504+Priors!$G$3),0)</f>
        <v>0.69632553902216821</v>
      </c>
      <c r="AB504" s="16">
        <f>VLOOKUP(E504,Priors!$A$3:$C$6,2,FALSE)</f>
        <v>0.44625207326425426</v>
      </c>
      <c r="AC504" s="16">
        <f>VLOOKUP(E504,Priors!$A$3:$C$6,3,FALSE)</f>
        <v>5.8217260259314105E-2</v>
      </c>
      <c r="AD504" s="12">
        <f t="shared" si="44"/>
        <v>0.31261830345103381</v>
      </c>
      <c r="AE504" s="12">
        <f t="shared" si="45"/>
        <v>5.2115779003739475E-2</v>
      </c>
      <c r="AF504" s="17">
        <v>1</v>
      </c>
      <c r="AG504" s="17">
        <v>1</v>
      </c>
      <c r="AH504" s="16">
        <f>IFERROR(VLOOKUP(D504,Teams!$B$2:$I$21,7,FALSE),1)</f>
        <v>1</v>
      </c>
      <c r="AI504" s="12">
        <f t="shared" si="46"/>
        <v>0.31261830345103381</v>
      </c>
      <c r="AJ504" s="12">
        <f t="shared" si="47"/>
        <v>5.2115779003739475E-2</v>
      </c>
      <c r="AK504" s="6" t="s">
        <v>66</v>
      </c>
      <c r="AL504" s="18"/>
      <c r="AM504" s="23"/>
      <c r="AN504" s="24">
        <v>4.9000000000000002E-2</v>
      </c>
      <c r="AO504" s="25" t="b">
        <v>1</v>
      </c>
      <c r="AP504" s="23" t="s">
        <v>403</v>
      </c>
      <c r="AQ504" s="25" t="b">
        <v>0</v>
      </c>
      <c r="AR504" s="23"/>
      <c r="AS504" s="23" t="s">
        <v>68</v>
      </c>
    </row>
    <row r="505" spans="1:45" ht="60">
      <c r="A505" s="6">
        <v>492</v>
      </c>
      <c r="B505" s="6" t="s">
        <v>1403</v>
      </c>
      <c r="C505" s="6" t="s">
        <v>1404</v>
      </c>
      <c r="D505" s="6" t="s">
        <v>1354</v>
      </c>
      <c r="E505" s="6" t="s">
        <v>14</v>
      </c>
      <c r="F505" s="9">
        <v>5.5</v>
      </c>
      <c r="G505" s="9">
        <v>5.5</v>
      </c>
      <c r="H505" s="10">
        <v>480</v>
      </c>
      <c r="I505" s="11">
        <v>3.68</v>
      </c>
      <c r="J505" s="11">
        <v>0.77</v>
      </c>
      <c r="K505" s="12">
        <f t="shared" si="42"/>
        <v>0.69</v>
      </c>
      <c r="L505" s="12">
        <f t="shared" si="43"/>
        <v>0.144375</v>
      </c>
      <c r="M505" s="10">
        <v>4</v>
      </c>
      <c r="N505" s="10">
        <v>2</v>
      </c>
      <c r="O505" s="10">
        <v>43</v>
      </c>
      <c r="P505" s="10">
        <v>2.5</v>
      </c>
      <c r="Q505" s="10">
        <v>3</v>
      </c>
      <c r="R505" s="11">
        <v>4.88</v>
      </c>
      <c r="S505" s="6"/>
      <c r="T505" s="6"/>
      <c r="U505" s="6"/>
      <c r="V505" s="7" t="b">
        <v>0</v>
      </c>
      <c r="W505" s="8">
        <f>IFERROR(VLOOKUP(D505,Teams!$B$2:$I$21,6,FALSE),"")</f>
        <v>0</v>
      </c>
      <c r="X505" s="2" t="s">
        <v>65</v>
      </c>
      <c r="Y505" s="13"/>
      <c r="Z505" s="14"/>
      <c r="AA505" s="15">
        <f>IFERROR(H505/(H505+Priors!$G$3),0)</f>
        <v>0.32432432432432434</v>
      </c>
      <c r="AB505" s="16">
        <f>VLOOKUP(E505,Priors!$A$3:$C$6,2,FALSE)</f>
        <v>0.44625207326425426</v>
      </c>
      <c r="AC505" s="16">
        <f>VLOOKUP(E505,Priors!$A$3:$C$6,3,FALSE)</f>
        <v>5.8217260259314105E-2</v>
      </c>
      <c r="AD505" s="12">
        <f t="shared" si="44"/>
        <v>0.52530545490827985</v>
      </c>
      <c r="AE505" s="12">
        <f t="shared" si="45"/>
        <v>8.6160310986023045E-2</v>
      </c>
      <c r="AF505" s="17">
        <v>1</v>
      </c>
      <c r="AG505" s="17">
        <v>1</v>
      </c>
      <c r="AH505" s="16">
        <f>IFERROR(VLOOKUP(D505,Teams!$B$2:$I$21,7,FALSE),1)</f>
        <v>1</v>
      </c>
      <c r="AI505" s="12">
        <f t="shared" si="46"/>
        <v>0.52530545490827985</v>
      </c>
      <c r="AJ505" s="12">
        <f t="shared" si="47"/>
        <v>8.6160310986023045E-2</v>
      </c>
      <c r="AK505" s="6" t="s">
        <v>66</v>
      </c>
      <c r="AL505" s="18"/>
      <c r="AM505" s="23"/>
      <c r="AN505" s="24">
        <v>4.0000000000000001E-3</v>
      </c>
      <c r="AO505" s="25" t="b">
        <v>1</v>
      </c>
      <c r="AP505" s="23" t="s">
        <v>1405</v>
      </c>
      <c r="AQ505" s="25" t="b">
        <v>0</v>
      </c>
      <c r="AR505" s="23"/>
      <c r="AS505" s="23" t="s">
        <v>68</v>
      </c>
    </row>
    <row r="506" spans="1:45" ht="60">
      <c r="A506" s="6">
        <v>493</v>
      </c>
      <c r="B506" s="6" t="s">
        <v>1406</v>
      </c>
      <c r="C506" s="6" t="s">
        <v>1407</v>
      </c>
      <c r="D506" s="6" t="s">
        <v>1354</v>
      </c>
      <c r="E506" s="6" t="s">
        <v>14</v>
      </c>
      <c r="F506" s="9">
        <v>5.5</v>
      </c>
      <c r="G506" s="9">
        <v>5.5</v>
      </c>
      <c r="H506" s="10">
        <v>89</v>
      </c>
      <c r="I506" s="11">
        <v>0.44</v>
      </c>
      <c r="J506" s="11">
        <v>0.02</v>
      </c>
      <c r="K506" s="12">
        <f t="shared" si="42"/>
        <v>0.44494382022471912</v>
      </c>
      <c r="L506" s="12">
        <f t="shared" si="43"/>
        <v>2.0224719101123598E-2</v>
      </c>
      <c r="M506" s="10">
        <v>0</v>
      </c>
      <c r="N506" s="10">
        <v>0</v>
      </c>
      <c r="O506" s="10">
        <v>9</v>
      </c>
      <c r="P506" s="10">
        <v>1</v>
      </c>
      <c r="Q506" s="10">
        <v>0</v>
      </c>
      <c r="R506" s="11">
        <v>6.07</v>
      </c>
      <c r="S506" s="6"/>
      <c r="T506" s="6"/>
      <c r="U506" s="6"/>
      <c r="V506" s="7" t="b">
        <v>0</v>
      </c>
      <c r="W506" s="8">
        <f>IFERROR(VLOOKUP(D506,Teams!$B$2:$I$21,6,FALSE),"")</f>
        <v>0</v>
      </c>
      <c r="X506" s="2" t="s">
        <v>65</v>
      </c>
      <c r="Y506" s="13"/>
      <c r="Z506" s="14"/>
      <c r="AA506" s="15">
        <f>IFERROR(H506/(H506+Priors!$G$3),0)</f>
        <v>8.1726354453627179E-2</v>
      </c>
      <c r="AB506" s="16">
        <f>VLOOKUP(E506,Priors!$A$3:$C$6,2,FALSE)</f>
        <v>0.44625207326425426</v>
      </c>
      <c r="AC506" s="16">
        <f>VLOOKUP(E506,Priors!$A$3:$C$6,3,FALSE)</f>
        <v>5.8217260259314105E-2</v>
      </c>
      <c r="AD506" s="12">
        <f t="shared" si="44"/>
        <v>0.4461451545126302</v>
      </c>
      <c r="AE506" s="12">
        <f t="shared" si="45"/>
        <v>5.5112268374025809E-2</v>
      </c>
      <c r="AF506" s="17">
        <v>1</v>
      </c>
      <c r="AG506" s="17">
        <v>1</v>
      </c>
      <c r="AH506" s="16">
        <f>IFERROR(VLOOKUP(D506,Teams!$B$2:$I$21,7,FALSE),1)</f>
        <v>1</v>
      </c>
      <c r="AI506" s="12">
        <f t="shared" si="46"/>
        <v>0.4461451545126302</v>
      </c>
      <c r="AJ506" s="12">
        <f t="shared" si="47"/>
        <v>5.5112268374025809E-2</v>
      </c>
      <c r="AK506" s="6" t="s">
        <v>66</v>
      </c>
      <c r="AL506" s="18"/>
      <c r="AM506" s="23"/>
      <c r="AN506" s="24">
        <v>1E-3</v>
      </c>
      <c r="AO506" s="25" t="b">
        <v>1</v>
      </c>
      <c r="AP506" s="23" t="s">
        <v>279</v>
      </c>
      <c r="AQ506" s="25" t="b">
        <v>0</v>
      </c>
      <c r="AR506" s="23"/>
      <c r="AS506" s="23" t="s">
        <v>68</v>
      </c>
    </row>
    <row r="507" spans="1:45" ht="60">
      <c r="A507" s="6">
        <v>558</v>
      </c>
      <c r="B507" s="6" t="s">
        <v>1408</v>
      </c>
      <c r="C507" s="6" t="s">
        <v>1409</v>
      </c>
      <c r="D507" s="6" t="s">
        <v>1354</v>
      </c>
      <c r="E507" s="6" t="s">
        <v>11</v>
      </c>
      <c r="F507" s="9">
        <v>5</v>
      </c>
      <c r="G507" s="9">
        <v>5</v>
      </c>
      <c r="H507" s="10">
        <v>0</v>
      </c>
      <c r="I507" s="11">
        <v>0</v>
      </c>
      <c r="J507" s="11">
        <v>0</v>
      </c>
      <c r="K507" s="12">
        <f t="shared" si="42"/>
        <v>0</v>
      </c>
      <c r="L507" s="12">
        <f t="shared" si="43"/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1">
        <v>0</v>
      </c>
      <c r="S507" s="6"/>
      <c r="T507" s="6"/>
      <c r="U507" s="6"/>
      <c r="V507" s="7" t="b">
        <v>1</v>
      </c>
      <c r="W507" s="8">
        <f>IFERROR(VLOOKUP(D507,Teams!$B$2:$I$21,6,FALSE),"")</f>
        <v>0</v>
      </c>
      <c r="X507" s="2" t="s">
        <v>65</v>
      </c>
      <c r="Y507" s="13"/>
      <c r="Z507" s="14"/>
      <c r="AA507" s="15">
        <f>IFERROR(H507/(H507+Priors!$G$3),0)</f>
        <v>0</v>
      </c>
      <c r="AB507" s="16">
        <f>VLOOKUP(E507,Priors!$A$3:$C$6,2,FALSE)</f>
        <v>0.15714383234350468</v>
      </c>
      <c r="AC507" s="16">
        <f>VLOOKUP(E507,Priors!$A$3:$C$6,3,FALSE)</f>
        <v>0.13222062939449797</v>
      </c>
      <c r="AD507" s="12">
        <f t="shared" si="44"/>
        <v>0.15714383234350468</v>
      </c>
      <c r="AE507" s="12">
        <f t="shared" si="45"/>
        <v>0.13222062939449797</v>
      </c>
      <c r="AF507" s="17">
        <v>1</v>
      </c>
      <c r="AG507" s="17">
        <v>1</v>
      </c>
      <c r="AH507" s="16">
        <f>IFERROR(VLOOKUP(D507,Teams!$B$2:$I$21,7,FALSE),1)</f>
        <v>1</v>
      </c>
      <c r="AI507" s="12">
        <f t="shared" si="46"/>
        <v>0.15714383234350468</v>
      </c>
      <c r="AJ507" s="12">
        <f t="shared" si="47"/>
        <v>0.13222062939449797</v>
      </c>
      <c r="AK507" s="6" t="s">
        <v>66</v>
      </c>
      <c r="AL507" s="18"/>
      <c r="AM507" s="23"/>
      <c r="AN507" s="24">
        <v>1E-3</v>
      </c>
      <c r="AO507" s="25" t="b">
        <v>1</v>
      </c>
      <c r="AP507" s="23" t="s">
        <v>150</v>
      </c>
      <c r="AQ507" s="25" t="b">
        <v>0</v>
      </c>
      <c r="AR507" s="23"/>
      <c r="AS507" s="23" t="s">
        <v>68</v>
      </c>
    </row>
    <row r="508" spans="1:45" ht="60">
      <c r="A508" s="6">
        <v>112</v>
      </c>
      <c r="B508" s="6" t="s">
        <v>1410</v>
      </c>
      <c r="C508" s="6" t="s">
        <v>1411</v>
      </c>
      <c r="D508" s="6" t="s">
        <v>1412</v>
      </c>
      <c r="E508" s="6" t="s">
        <v>9</v>
      </c>
      <c r="F508" s="9">
        <v>5</v>
      </c>
      <c r="G508" s="9">
        <v>5</v>
      </c>
      <c r="H508" s="10">
        <v>3210</v>
      </c>
      <c r="I508" s="11">
        <v>3.31</v>
      </c>
      <c r="J508" s="11">
        <v>1.57</v>
      </c>
      <c r="K508" s="12">
        <f t="shared" si="42"/>
        <v>9.2803738317756998E-2</v>
      </c>
      <c r="L508" s="12">
        <f t="shared" si="43"/>
        <v>4.4018691588785047E-2</v>
      </c>
      <c r="M508" s="10">
        <v>3</v>
      </c>
      <c r="N508" s="10">
        <v>3</v>
      </c>
      <c r="O508" s="10">
        <v>148</v>
      </c>
      <c r="P508" s="10">
        <v>4.0999999999999996</v>
      </c>
      <c r="Q508" s="10">
        <v>36</v>
      </c>
      <c r="R508" s="11">
        <v>8.89</v>
      </c>
      <c r="S508" s="6"/>
      <c r="T508" s="6"/>
      <c r="U508" s="6"/>
      <c r="V508" s="7" t="b">
        <v>1</v>
      </c>
      <c r="W508" s="8">
        <f>IFERROR(VLOOKUP(D508,Teams!$B$2:$I$21,6,FALSE),"")</f>
        <v>0</v>
      </c>
      <c r="X508" s="2" t="s">
        <v>65</v>
      </c>
      <c r="Y508" s="13"/>
      <c r="Z508" s="14"/>
      <c r="AA508" s="15">
        <f>IFERROR(H508/(H508+Priors!$G$3),0)</f>
        <v>0.76247030878859856</v>
      </c>
      <c r="AB508" s="16">
        <f>VLOOKUP(E508,Priors!$A$3:$C$6,2,FALSE)</f>
        <v>6.0081391379341341E-2</v>
      </c>
      <c r="AC508" s="16">
        <f>VLOOKUP(E508,Priors!$A$3:$C$6,3,FALSE)</f>
        <v>5.9588191961478354E-2</v>
      </c>
      <c r="AD508" s="12">
        <f t="shared" si="44"/>
        <v>8.5031209353762793E-2</v>
      </c>
      <c r="AE508" s="12">
        <f t="shared" si="45"/>
        <v>4.7716910204626685E-2</v>
      </c>
      <c r="AF508" s="17">
        <v>1</v>
      </c>
      <c r="AG508" s="17">
        <v>1</v>
      </c>
      <c r="AH508" s="16">
        <f>IFERROR(VLOOKUP(D508,Teams!$B$2:$I$21,7,FALSE),1)</f>
        <v>1</v>
      </c>
      <c r="AI508" s="12">
        <f t="shared" si="46"/>
        <v>8.5031209353762793E-2</v>
      </c>
      <c r="AJ508" s="12">
        <f t="shared" si="47"/>
        <v>4.7716910204626685E-2</v>
      </c>
      <c r="AK508" s="6" t="s">
        <v>66</v>
      </c>
      <c r="AL508" s="18"/>
      <c r="AM508" s="23"/>
      <c r="AN508" s="24">
        <v>8.199999999999999E-2</v>
      </c>
      <c r="AO508" s="25" t="b">
        <v>1</v>
      </c>
      <c r="AP508" s="23" t="s">
        <v>1107</v>
      </c>
      <c r="AQ508" s="25" t="b">
        <v>0</v>
      </c>
      <c r="AR508" s="23"/>
      <c r="AS508" s="23" t="s">
        <v>68</v>
      </c>
    </row>
    <row r="509" spans="1:45" ht="60">
      <c r="A509" s="6">
        <v>455</v>
      </c>
      <c r="B509" s="6" t="s">
        <v>1413</v>
      </c>
      <c r="C509" s="6" t="s">
        <v>1414</v>
      </c>
      <c r="D509" s="6" t="s">
        <v>1412</v>
      </c>
      <c r="E509" s="6" t="s">
        <v>11</v>
      </c>
      <c r="F509" s="9">
        <v>5.5</v>
      </c>
      <c r="G509" s="9">
        <v>5.5</v>
      </c>
      <c r="H509" s="10">
        <v>2534</v>
      </c>
      <c r="I509" s="11">
        <v>1.75</v>
      </c>
      <c r="J509" s="11">
        <v>2.87</v>
      </c>
      <c r="K509" s="12">
        <f t="shared" si="42"/>
        <v>6.2154696132596686E-2</v>
      </c>
      <c r="L509" s="12">
        <f t="shared" si="43"/>
        <v>0.10193370165745856</v>
      </c>
      <c r="M509" s="10">
        <v>0</v>
      </c>
      <c r="N509" s="10">
        <v>2</v>
      </c>
      <c r="O509" s="10">
        <v>81</v>
      </c>
      <c r="P509" s="10">
        <v>2.2999999999999998</v>
      </c>
      <c r="Q509" s="10">
        <v>31</v>
      </c>
      <c r="R509" s="11">
        <v>9.1300000000000008</v>
      </c>
      <c r="S509" s="6"/>
      <c r="T509" s="6">
        <v>4</v>
      </c>
      <c r="U509" s="6">
        <v>10</v>
      </c>
      <c r="V509" s="7" t="b">
        <v>1</v>
      </c>
      <c r="W509" s="8">
        <f>IFERROR(VLOOKUP(D509,Teams!$B$2:$I$21,6,FALSE),"")</f>
        <v>0</v>
      </c>
      <c r="X509" s="2" t="s">
        <v>65</v>
      </c>
      <c r="Y509" s="13"/>
      <c r="Z509" s="14"/>
      <c r="AA509" s="15">
        <f>IFERROR(H509/(H509+Priors!$G$3),0)</f>
        <v>0.71703452178834182</v>
      </c>
      <c r="AB509" s="16">
        <f>VLOOKUP(E509,Priors!$A$3:$C$6,2,FALSE)</f>
        <v>0.15714383234350468</v>
      </c>
      <c r="AC509" s="16">
        <f>VLOOKUP(E509,Priors!$A$3:$C$6,3,FALSE)</f>
        <v>0.13222062939449797</v>
      </c>
      <c r="AD509" s="12">
        <f t="shared" si="44"/>
        <v>8.9033342485428602E-2</v>
      </c>
      <c r="AE509" s="12">
        <f t="shared" si="45"/>
        <v>0.11050385664813184</v>
      </c>
      <c r="AF509" s="17">
        <v>1</v>
      </c>
      <c r="AG509" s="17">
        <v>1</v>
      </c>
      <c r="AH509" s="16">
        <f>IFERROR(VLOOKUP(D509,Teams!$B$2:$I$21,7,FALSE),1)</f>
        <v>1</v>
      </c>
      <c r="AI509" s="12">
        <f t="shared" si="46"/>
        <v>8.9033342485428602E-2</v>
      </c>
      <c r="AJ509" s="12">
        <f t="shared" si="47"/>
        <v>0.11050385664813184</v>
      </c>
      <c r="AK509" s="6" t="s">
        <v>66</v>
      </c>
      <c r="AL509" s="18"/>
      <c r="AM509" s="23"/>
      <c r="AN509" s="24">
        <v>3.9E-2</v>
      </c>
      <c r="AO509" s="25" t="b">
        <v>1</v>
      </c>
      <c r="AP509" s="23" t="s">
        <v>758</v>
      </c>
      <c r="AQ509" s="25" t="b">
        <v>0</v>
      </c>
      <c r="AR509" s="23"/>
      <c r="AS509" s="23" t="s">
        <v>68</v>
      </c>
    </row>
    <row r="510" spans="1:45" ht="60">
      <c r="A510" s="6">
        <v>494</v>
      </c>
      <c r="B510" s="6" t="s">
        <v>1415</v>
      </c>
      <c r="C510" s="6" t="s">
        <v>1416</v>
      </c>
      <c r="D510" s="6" t="s">
        <v>1412</v>
      </c>
      <c r="E510" s="6" t="s">
        <v>7</v>
      </c>
      <c r="F510" s="9">
        <v>4.5</v>
      </c>
      <c r="G510" s="9">
        <v>4.5</v>
      </c>
      <c r="H510" s="10">
        <v>2790</v>
      </c>
      <c r="I510" s="11">
        <v>0</v>
      </c>
      <c r="J510" s="11">
        <v>0.04</v>
      </c>
      <c r="K510" s="12">
        <f t="shared" si="42"/>
        <v>0</v>
      </c>
      <c r="L510" s="12">
        <f t="shared" si="43"/>
        <v>1.2903225806451613E-3</v>
      </c>
      <c r="M510" s="10">
        <v>0</v>
      </c>
      <c r="N510" s="10">
        <v>0</v>
      </c>
      <c r="O510" s="10">
        <v>90</v>
      </c>
      <c r="P510" s="10">
        <v>2.9</v>
      </c>
      <c r="Q510" s="10">
        <v>31</v>
      </c>
      <c r="R510" s="11">
        <v>0</v>
      </c>
      <c r="S510" s="6"/>
      <c r="T510" s="6"/>
      <c r="U510" s="6"/>
      <c r="V510" s="7" t="b">
        <v>0</v>
      </c>
      <c r="W510" s="8">
        <f>IFERROR(VLOOKUP(D510,Teams!$B$2:$I$21,6,FALSE),"")</f>
        <v>0</v>
      </c>
      <c r="X510" s="2" t="s">
        <v>65</v>
      </c>
      <c r="Y510" s="13"/>
      <c r="Z510" s="14"/>
      <c r="AA510" s="15">
        <f>IFERROR(H510/(H510+Priors!$G$3),0)</f>
        <v>0.73614775725593673</v>
      </c>
      <c r="AB510" s="16">
        <f>VLOOKUP(E510,Priors!$A$3:$C$6,2,FALSE)</f>
        <v>2.4013207263995197E-4</v>
      </c>
      <c r="AC510" s="16">
        <f>VLOOKUP(E510,Priors!$A$3:$C$6,3,FALSE)</f>
        <v>1.9810895992796044E-3</v>
      </c>
      <c r="AD510" s="12">
        <f t="shared" si="44"/>
        <v>6.3359385920831642E-5</v>
      </c>
      <c r="AE510" s="12">
        <f t="shared" si="45"/>
        <v>1.4725830077254893E-3</v>
      </c>
      <c r="AF510" s="17">
        <v>1</v>
      </c>
      <c r="AG510" s="17">
        <v>1</v>
      </c>
      <c r="AH510" s="16">
        <f>IFERROR(VLOOKUP(D510,Teams!$B$2:$I$21,7,FALSE),1)</f>
        <v>1</v>
      </c>
      <c r="AI510" s="12">
        <f t="shared" si="46"/>
        <v>6.3359385920831642E-5</v>
      </c>
      <c r="AJ510" s="12">
        <f t="shared" si="47"/>
        <v>1.4725830077254893E-3</v>
      </c>
      <c r="AK510" s="6" t="s">
        <v>66</v>
      </c>
      <c r="AL510" s="18"/>
      <c r="AM510" s="23"/>
      <c r="AN510" s="24">
        <v>1.4999999999999999E-2</v>
      </c>
      <c r="AO510" s="25" t="b">
        <v>1</v>
      </c>
      <c r="AP510" s="23" t="s">
        <v>273</v>
      </c>
      <c r="AQ510" s="25" t="b">
        <v>0</v>
      </c>
      <c r="AR510" s="23"/>
      <c r="AS510" s="23" t="s">
        <v>68</v>
      </c>
    </row>
    <row r="511" spans="1:45" ht="60">
      <c r="A511" s="6">
        <v>495</v>
      </c>
      <c r="B511" s="6" t="s">
        <v>1417</v>
      </c>
      <c r="C511" s="6" t="s">
        <v>1418</v>
      </c>
      <c r="D511" s="6" t="s">
        <v>1412</v>
      </c>
      <c r="E511" s="6" t="s">
        <v>7</v>
      </c>
      <c r="F511" s="9">
        <v>4</v>
      </c>
      <c r="G511" s="9">
        <v>4</v>
      </c>
      <c r="H511" s="10">
        <v>0</v>
      </c>
      <c r="I511" s="11">
        <v>0</v>
      </c>
      <c r="J511" s="11">
        <v>0</v>
      </c>
      <c r="K511" s="12">
        <f t="shared" si="42"/>
        <v>0</v>
      </c>
      <c r="L511" s="12">
        <f t="shared" si="43"/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1">
        <v>0</v>
      </c>
      <c r="S511" s="6"/>
      <c r="T511" s="6"/>
      <c r="U511" s="6"/>
      <c r="V511" s="7" t="b">
        <v>0</v>
      </c>
      <c r="W511" s="8">
        <f>IFERROR(VLOOKUP(D511,Teams!$B$2:$I$21,6,FALSE),"")</f>
        <v>0</v>
      </c>
      <c r="X511" s="2" t="s">
        <v>65</v>
      </c>
      <c r="Y511" s="13"/>
      <c r="Z511" s="14"/>
      <c r="AA511" s="15">
        <f>IFERROR(H511/(H511+Priors!$G$3),0)</f>
        <v>0</v>
      </c>
      <c r="AB511" s="16">
        <f>VLOOKUP(E511,Priors!$A$3:$C$6,2,FALSE)</f>
        <v>2.4013207263995197E-4</v>
      </c>
      <c r="AC511" s="16">
        <f>VLOOKUP(E511,Priors!$A$3:$C$6,3,FALSE)</f>
        <v>1.9810895992796044E-3</v>
      </c>
      <c r="AD511" s="12">
        <f t="shared" si="44"/>
        <v>2.4013207263995197E-4</v>
      </c>
      <c r="AE511" s="12">
        <f t="shared" si="45"/>
        <v>1.9810895992796044E-3</v>
      </c>
      <c r="AF511" s="17">
        <v>1</v>
      </c>
      <c r="AG511" s="17">
        <v>1</v>
      </c>
      <c r="AH511" s="16">
        <f>IFERROR(VLOOKUP(D511,Teams!$B$2:$I$21,7,FALSE),1)</f>
        <v>1</v>
      </c>
      <c r="AI511" s="12">
        <f t="shared" si="46"/>
        <v>2.4013207263995197E-4</v>
      </c>
      <c r="AJ511" s="12">
        <f t="shared" si="47"/>
        <v>1.9810895992796044E-3</v>
      </c>
      <c r="AK511" s="6" t="s">
        <v>66</v>
      </c>
      <c r="AL511" s="18"/>
      <c r="AM511" s="23"/>
      <c r="AN511" s="24">
        <v>6.0000000000000001E-3</v>
      </c>
      <c r="AO511" s="25" t="b">
        <v>1</v>
      </c>
      <c r="AP511" s="23" t="s">
        <v>1419</v>
      </c>
      <c r="AQ511" s="25" t="b">
        <v>0</v>
      </c>
      <c r="AR511" s="23"/>
      <c r="AS511" s="23" t="s">
        <v>68</v>
      </c>
    </row>
    <row r="512" spans="1:45" ht="60">
      <c r="A512" s="6">
        <v>496</v>
      </c>
      <c r="B512" s="6" t="s">
        <v>1420</v>
      </c>
      <c r="C512" s="6" t="s">
        <v>1421</v>
      </c>
      <c r="D512" s="6" t="s">
        <v>1412</v>
      </c>
      <c r="E512" s="6" t="s">
        <v>7</v>
      </c>
      <c r="F512" s="9">
        <v>4.5</v>
      </c>
      <c r="G512" s="9">
        <v>4.5</v>
      </c>
      <c r="H512" s="10">
        <v>630</v>
      </c>
      <c r="I512" s="11">
        <v>0</v>
      </c>
      <c r="J512" s="11">
        <v>0</v>
      </c>
      <c r="K512" s="12">
        <f t="shared" si="42"/>
        <v>0</v>
      </c>
      <c r="L512" s="12">
        <f t="shared" si="43"/>
        <v>0</v>
      </c>
      <c r="M512" s="10">
        <v>0</v>
      </c>
      <c r="N512" s="10">
        <v>0</v>
      </c>
      <c r="O512" s="10">
        <v>20</v>
      </c>
      <c r="P512" s="10">
        <v>2.9</v>
      </c>
      <c r="Q512" s="10">
        <v>7</v>
      </c>
      <c r="R512" s="11">
        <v>0</v>
      </c>
      <c r="S512" s="6"/>
      <c r="T512" s="6"/>
      <c r="U512" s="6"/>
      <c r="V512" s="7" t="b">
        <v>0</v>
      </c>
      <c r="W512" s="8">
        <f>IFERROR(VLOOKUP(D512,Teams!$B$2:$I$21,6,FALSE),"")</f>
        <v>0</v>
      </c>
      <c r="X512" s="2" t="s">
        <v>65</v>
      </c>
      <c r="Y512" s="13"/>
      <c r="Z512" s="14"/>
      <c r="AA512" s="15">
        <f>IFERROR(H512/(H512+Priors!$G$3),0)</f>
        <v>0.38650306748466257</v>
      </c>
      <c r="AB512" s="16">
        <f>VLOOKUP(E512,Priors!$A$3:$C$6,2,FALSE)</f>
        <v>2.4013207263995197E-4</v>
      </c>
      <c r="AC512" s="16">
        <f>VLOOKUP(E512,Priors!$A$3:$C$6,3,FALSE)</f>
        <v>1.9810895992796044E-3</v>
      </c>
      <c r="AD512" s="12">
        <f t="shared" si="44"/>
        <v>1.4732028996316071E-4</v>
      </c>
      <c r="AE512" s="12">
        <f t="shared" si="45"/>
        <v>1.2153923921960762E-3</v>
      </c>
      <c r="AF512" s="17">
        <v>1</v>
      </c>
      <c r="AG512" s="17">
        <v>1</v>
      </c>
      <c r="AH512" s="16">
        <f>IFERROR(VLOOKUP(D512,Teams!$B$2:$I$21,7,FALSE),1)</f>
        <v>1</v>
      </c>
      <c r="AI512" s="12">
        <f t="shared" si="46"/>
        <v>1.4732028996316071E-4</v>
      </c>
      <c r="AJ512" s="12">
        <f t="shared" si="47"/>
        <v>1.2153923921960762E-3</v>
      </c>
      <c r="AK512" s="6" t="s">
        <v>66</v>
      </c>
      <c r="AL512" s="18"/>
      <c r="AM512" s="23"/>
      <c r="AN512" s="24">
        <v>0.187</v>
      </c>
      <c r="AO512" s="25" t="b">
        <v>1</v>
      </c>
      <c r="AP512" s="23" t="s">
        <v>1422</v>
      </c>
      <c r="AQ512" s="25" t="b">
        <v>0</v>
      </c>
      <c r="AR512" s="23"/>
      <c r="AS512" s="23" t="s">
        <v>68</v>
      </c>
    </row>
    <row r="513" spans="1:45" ht="60">
      <c r="A513" s="6">
        <v>497</v>
      </c>
      <c r="B513" s="6" t="s">
        <v>1423</v>
      </c>
      <c r="C513" s="6" t="s">
        <v>1424</v>
      </c>
      <c r="D513" s="6" t="s">
        <v>1412</v>
      </c>
      <c r="E513" s="6" t="s">
        <v>7</v>
      </c>
      <c r="F513" s="9">
        <v>4</v>
      </c>
      <c r="G513" s="9">
        <v>4</v>
      </c>
      <c r="H513" s="10">
        <v>3150</v>
      </c>
      <c r="I513" s="11">
        <v>0</v>
      </c>
      <c r="J513" s="11">
        <v>0.04</v>
      </c>
      <c r="K513" s="12">
        <f t="shared" si="42"/>
        <v>0</v>
      </c>
      <c r="L513" s="12">
        <f t="shared" si="43"/>
        <v>1.1428571428571429E-3</v>
      </c>
      <c r="M513" s="10">
        <v>0</v>
      </c>
      <c r="N513" s="10">
        <v>0</v>
      </c>
      <c r="O513" s="10">
        <v>96</v>
      </c>
      <c r="P513" s="10">
        <v>2.7</v>
      </c>
      <c r="Q513" s="10">
        <v>35</v>
      </c>
      <c r="R513" s="11">
        <v>0</v>
      </c>
      <c r="S513" s="6"/>
      <c r="T513" s="6"/>
      <c r="U513" s="6"/>
      <c r="V513" s="7" t="b">
        <v>1</v>
      </c>
      <c r="W513" s="8">
        <f>IFERROR(VLOOKUP(D513,Teams!$B$2:$I$21,6,FALSE),"")</f>
        <v>0</v>
      </c>
      <c r="X513" s="2" t="s">
        <v>65</v>
      </c>
      <c r="Y513" s="13"/>
      <c r="Z513" s="14"/>
      <c r="AA513" s="15">
        <f>IFERROR(H513/(H513+Priors!$G$3),0)</f>
        <v>0.75903614457831325</v>
      </c>
      <c r="AB513" s="16">
        <f>VLOOKUP(E513,Priors!$A$3:$C$6,2,FALSE)</f>
        <v>2.4013207263995197E-4</v>
      </c>
      <c r="AC513" s="16">
        <f>VLOOKUP(E513,Priors!$A$3:$C$6,3,FALSE)</f>
        <v>1.9810895992796044E-3</v>
      </c>
      <c r="AD513" s="12">
        <f t="shared" si="44"/>
        <v>5.7863150033723365E-5</v>
      </c>
      <c r="AE513" s="12">
        <f t="shared" si="45"/>
        <v>1.3448408672962903E-3</v>
      </c>
      <c r="AF513" s="17">
        <v>1</v>
      </c>
      <c r="AG513" s="17">
        <v>1</v>
      </c>
      <c r="AH513" s="16">
        <f>IFERROR(VLOOKUP(D513,Teams!$B$2:$I$21,7,FALSE),1)</f>
        <v>1</v>
      </c>
      <c r="AI513" s="12">
        <f t="shared" si="46"/>
        <v>5.7863150033723365E-5</v>
      </c>
      <c r="AJ513" s="12">
        <f t="shared" si="47"/>
        <v>1.3448408672962903E-3</v>
      </c>
      <c r="AK513" s="6" t="s">
        <v>66</v>
      </c>
      <c r="AL513" s="18"/>
      <c r="AM513" s="23"/>
      <c r="AN513" s="24">
        <v>0.24600000000000002</v>
      </c>
      <c r="AO513" s="25" t="b">
        <v>1</v>
      </c>
      <c r="AP513" s="23" t="s">
        <v>95</v>
      </c>
      <c r="AQ513" s="25" t="b">
        <v>0</v>
      </c>
      <c r="AR513" s="23"/>
      <c r="AS513" s="23" t="s">
        <v>68</v>
      </c>
    </row>
    <row r="514" spans="1:45" ht="60">
      <c r="A514" s="6">
        <v>498</v>
      </c>
      <c r="B514" s="6" t="s">
        <v>1425</v>
      </c>
      <c r="C514" s="6" t="s">
        <v>1426</v>
      </c>
      <c r="D514" s="6" t="s">
        <v>1412</v>
      </c>
      <c r="E514" s="6" t="s">
        <v>9</v>
      </c>
      <c r="F514" s="9">
        <v>6</v>
      </c>
      <c r="G514" s="9">
        <v>6</v>
      </c>
      <c r="H514" s="10">
        <v>3288</v>
      </c>
      <c r="I514" s="11">
        <v>1.53</v>
      </c>
      <c r="J514" s="11">
        <v>4.72</v>
      </c>
      <c r="K514" s="12">
        <f t="shared" ref="K514:K568" si="48">IFERROR(I514*90/H514,0)</f>
        <v>4.1879562043795615E-2</v>
      </c>
      <c r="L514" s="12">
        <f t="shared" ref="L514:L568" si="49">IFERROR(J514*90/H514,0)</f>
        <v>0.1291970802919708</v>
      </c>
      <c r="M514" s="10">
        <v>0</v>
      </c>
      <c r="N514" s="10">
        <v>6</v>
      </c>
      <c r="O514" s="10">
        <v>175</v>
      </c>
      <c r="P514" s="10">
        <v>4.7</v>
      </c>
      <c r="Q514" s="10">
        <v>37</v>
      </c>
      <c r="R514" s="11">
        <v>11.47</v>
      </c>
      <c r="S514" s="6"/>
      <c r="T514" s="6"/>
      <c r="U514" s="6"/>
      <c r="V514" s="7" t="b">
        <v>1</v>
      </c>
      <c r="W514" s="8">
        <f>IFERROR(VLOOKUP(D514,Teams!$B$2:$I$21,6,FALSE),"")</f>
        <v>0</v>
      </c>
      <c r="X514" s="2" t="s">
        <v>65</v>
      </c>
      <c r="Y514" s="13"/>
      <c r="Z514" s="14"/>
      <c r="AA514" s="15">
        <f>IFERROR(H514/(H514+Priors!$G$3),0)</f>
        <v>0.76679104477611937</v>
      </c>
      <c r="AB514" s="16">
        <f>VLOOKUP(E514,Priors!$A$3:$C$6,2,FALSE)</f>
        <v>6.0081391379341341E-2</v>
      </c>
      <c r="AC514" s="16">
        <f>VLOOKUP(E514,Priors!$A$3:$C$6,3,FALSE)</f>
        <v>5.9588191961478354E-2</v>
      </c>
      <c r="AD514" s="12">
        <f t="shared" ref="AD514:AD568" si="50">AA514*K514+(1-AA514)*AB514</f>
        <v>4.6124391646301617E-2</v>
      </c>
      <c r="AE514" s="12">
        <f t="shared" ref="AE514:AE568" si="51">AA514*L514+(1-AA514)*AC514</f>
        <v>0.11296366417012088</v>
      </c>
      <c r="AF514" s="17">
        <v>1</v>
      </c>
      <c r="AG514" s="17">
        <v>1</v>
      </c>
      <c r="AH514" s="16">
        <f>IFERROR(VLOOKUP(D514,Teams!$B$2:$I$21,7,FALSE),1)</f>
        <v>1</v>
      </c>
      <c r="AI514" s="12">
        <f t="shared" ref="AI514:AI577" si="52">AD514*AF514*AG514*AH514</f>
        <v>4.6124391646301617E-2</v>
      </c>
      <c r="AJ514" s="12">
        <f t="shared" ref="AJ514:AJ568" si="53">AE514*AF514*AG514*AH514</f>
        <v>0.11296366417012088</v>
      </c>
      <c r="AK514" s="6" t="s">
        <v>66</v>
      </c>
      <c r="AL514" s="18"/>
      <c r="AM514" s="23"/>
      <c r="AN514" s="24">
        <v>0.109</v>
      </c>
      <c r="AO514" s="25" t="b">
        <v>1</v>
      </c>
      <c r="AP514" s="23" t="s">
        <v>95</v>
      </c>
      <c r="AQ514" s="25" t="b">
        <v>0</v>
      </c>
      <c r="AR514" s="23"/>
      <c r="AS514" s="23" t="s">
        <v>68</v>
      </c>
    </row>
    <row r="515" spans="1:45" ht="60">
      <c r="A515" s="6">
        <v>499</v>
      </c>
      <c r="B515" s="6" t="s">
        <v>1427</v>
      </c>
      <c r="C515" s="6" t="s">
        <v>1428</v>
      </c>
      <c r="D515" s="6" t="s">
        <v>1412</v>
      </c>
      <c r="E515" s="6" t="s">
        <v>9</v>
      </c>
      <c r="F515" s="9">
        <v>5.5</v>
      </c>
      <c r="G515" s="9">
        <v>5.5</v>
      </c>
      <c r="H515" s="10">
        <v>2793</v>
      </c>
      <c r="I515" s="11">
        <v>1.05</v>
      </c>
      <c r="J515" s="11">
        <v>4.37</v>
      </c>
      <c r="K515" s="12">
        <f t="shared" si="48"/>
        <v>3.3834586466165412E-2</v>
      </c>
      <c r="L515" s="12">
        <f t="shared" si="49"/>
        <v>0.14081632653061224</v>
      </c>
      <c r="M515" s="10">
        <v>1</v>
      </c>
      <c r="N515" s="10">
        <v>3</v>
      </c>
      <c r="O515" s="10">
        <v>117</v>
      </c>
      <c r="P515" s="10">
        <v>3.4</v>
      </c>
      <c r="Q515" s="10">
        <v>32</v>
      </c>
      <c r="R515" s="11">
        <v>7.02</v>
      </c>
      <c r="S515" s="6"/>
      <c r="T515" s="6">
        <v>1</v>
      </c>
      <c r="U515" s="6">
        <v>6</v>
      </c>
      <c r="V515" s="7" t="b">
        <v>0</v>
      </c>
      <c r="W515" s="8">
        <f>IFERROR(VLOOKUP(D515,Teams!$B$2:$I$21,6,FALSE),"")</f>
        <v>0</v>
      </c>
      <c r="X515" s="2" t="s">
        <v>65</v>
      </c>
      <c r="Y515" s="13"/>
      <c r="Z515" s="14"/>
      <c r="AA515" s="15">
        <f>IFERROR(H515/(H515+Priors!$G$3),0)</f>
        <v>0.73635644608489326</v>
      </c>
      <c r="AB515" s="16">
        <f>VLOOKUP(E515,Priors!$A$3:$C$6,2,FALSE)</f>
        <v>6.0081391379341341E-2</v>
      </c>
      <c r="AC515" s="16">
        <f>VLOOKUP(E515,Priors!$A$3:$C$6,3,FALSE)</f>
        <v>5.9588191961478354E-2</v>
      </c>
      <c r="AD515" s="12">
        <f t="shared" si="50"/>
        <v>4.0754387392391594E-2</v>
      </c>
      <c r="AE515" s="12">
        <f t="shared" si="51"/>
        <v>0.11940105245491124</v>
      </c>
      <c r="AF515" s="17">
        <v>1</v>
      </c>
      <c r="AG515" s="17">
        <v>1</v>
      </c>
      <c r="AH515" s="16">
        <f>IFERROR(VLOOKUP(D515,Teams!$B$2:$I$21,7,FALSE),1)</f>
        <v>1</v>
      </c>
      <c r="AI515" s="12">
        <f t="shared" si="52"/>
        <v>4.0754387392391594E-2</v>
      </c>
      <c r="AJ515" s="12">
        <f t="shared" si="53"/>
        <v>0.11940105245491124</v>
      </c>
      <c r="AK515" s="6" t="s">
        <v>66</v>
      </c>
      <c r="AL515" s="18"/>
      <c r="AM515" s="23"/>
      <c r="AN515" s="24">
        <v>0.23899999999999999</v>
      </c>
      <c r="AO515" s="25" t="b">
        <v>1</v>
      </c>
      <c r="AP515" s="23" t="s">
        <v>273</v>
      </c>
      <c r="AQ515" s="25" t="b">
        <v>0</v>
      </c>
      <c r="AR515" s="23"/>
      <c r="AS515" s="23" t="s">
        <v>68</v>
      </c>
    </row>
    <row r="516" spans="1:45" ht="60">
      <c r="A516" s="6">
        <v>500</v>
      </c>
      <c r="B516" s="6" t="s">
        <v>1429</v>
      </c>
      <c r="C516" s="6" t="s">
        <v>1430</v>
      </c>
      <c r="D516" s="6" t="s">
        <v>1412</v>
      </c>
      <c r="E516" s="6" t="s">
        <v>9</v>
      </c>
      <c r="F516" s="9">
        <v>5</v>
      </c>
      <c r="G516" s="9">
        <v>5</v>
      </c>
      <c r="H516" s="10">
        <v>1869</v>
      </c>
      <c r="I516" s="11">
        <v>1.39</v>
      </c>
      <c r="J516" s="11">
        <v>1.25</v>
      </c>
      <c r="K516" s="12">
        <f t="shared" si="48"/>
        <v>6.693418940609952E-2</v>
      </c>
      <c r="L516" s="12">
        <f t="shared" si="49"/>
        <v>6.0192616372391657E-2</v>
      </c>
      <c r="M516" s="10">
        <v>4</v>
      </c>
      <c r="N516" s="10">
        <v>1</v>
      </c>
      <c r="O516" s="10">
        <v>91</v>
      </c>
      <c r="P516" s="10">
        <v>4</v>
      </c>
      <c r="Q516" s="10">
        <v>22</v>
      </c>
      <c r="R516" s="11">
        <v>9.49</v>
      </c>
      <c r="S516" s="6"/>
      <c r="T516" s="6"/>
      <c r="U516" s="6"/>
      <c r="V516" s="7" t="b">
        <v>0</v>
      </c>
      <c r="W516" s="8">
        <f>IFERROR(VLOOKUP(D516,Teams!$B$2:$I$21,6,FALSE),"")</f>
        <v>0</v>
      </c>
      <c r="X516" s="2" t="s">
        <v>65</v>
      </c>
      <c r="Y516" s="13"/>
      <c r="Z516" s="14"/>
      <c r="AA516" s="15">
        <f>IFERROR(H516/(H516+Priors!$G$3),0)</f>
        <v>0.65144649703729518</v>
      </c>
      <c r="AB516" s="16">
        <f>VLOOKUP(E516,Priors!$A$3:$C$6,2,FALSE)</f>
        <v>6.0081391379341341E-2</v>
      </c>
      <c r="AC516" s="16">
        <f>VLOOKUP(E516,Priors!$A$3:$C$6,3,FALSE)</f>
        <v>5.9588191961478354E-2</v>
      </c>
      <c r="AD516" s="12">
        <f t="shared" si="50"/>
        <v>6.4545622648777043E-2</v>
      </c>
      <c r="AE516" s="12">
        <f t="shared" si="51"/>
        <v>5.9981942126691654E-2</v>
      </c>
      <c r="AF516" s="17">
        <v>1</v>
      </c>
      <c r="AG516" s="17">
        <v>1</v>
      </c>
      <c r="AH516" s="16">
        <f>IFERROR(VLOOKUP(D516,Teams!$B$2:$I$21,7,FALSE),1)</f>
        <v>1</v>
      </c>
      <c r="AI516" s="12">
        <f t="shared" si="52"/>
        <v>6.4545622648777043E-2</v>
      </c>
      <c r="AJ516" s="12">
        <f t="shared" si="53"/>
        <v>5.9981942126691654E-2</v>
      </c>
      <c r="AK516" s="6" t="s">
        <v>66</v>
      </c>
      <c r="AL516" s="18"/>
      <c r="AM516" s="23"/>
      <c r="AN516" s="24">
        <v>1.1000000000000001E-2</v>
      </c>
      <c r="AO516" s="25" t="b">
        <v>1</v>
      </c>
      <c r="AP516" s="23" t="s">
        <v>1431</v>
      </c>
      <c r="AQ516" s="25" t="b">
        <v>0</v>
      </c>
      <c r="AR516" s="23"/>
      <c r="AS516" s="23" t="s">
        <v>68</v>
      </c>
    </row>
    <row r="517" spans="1:45" ht="60">
      <c r="A517" s="6">
        <v>501</v>
      </c>
      <c r="B517" s="6" t="s">
        <v>1432</v>
      </c>
      <c r="C517" s="6" t="s">
        <v>1433</v>
      </c>
      <c r="D517" s="6" t="s">
        <v>1412</v>
      </c>
      <c r="E517" s="6" t="s">
        <v>9</v>
      </c>
      <c r="F517" s="9">
        <v>5</v>
      </c>
      <c r="G517" s="9">
        <v>5</v>
      </c>
      <c r="H517" s="10">
        <v>1489</v>
      </c>
      <c r="I517" s="11">
        <v>0.62</v>
      </c>
      <c r="J517" s="11">
        <v>0.28000000000000003</v>
      </c>
      <c r="K517" s="12">
        <f t="shared" si="48"/>
        <v>3.7474815312290126E-2</v>
      </c>
      <c r="L517" s="12">
        <f t="shared" si="49"/>
        <v>1.6924110141034253E-2</v>
      </c>
      <c r="M517" s="10">
        <v>0</v>
      </c>
      <c r="N517" s="10">
        <v>0</v>
      </c>
      <c r="O517" s="10">
        <v>63</v>
      </c>
      <c r="P517" s="10">
        <v>2.6</v>
      </c>
      <c r="Q517" s="10">
        <v>17</v>
      </c>
      <c r="R517" s="11">
        <v>11.61</v>
      </c>
      <c r="S517" s="6"/>
      <c r="T517" s="6"/>
      <c r="U517" s="6"/>
      <c r="V517" s="7" t="b">
        <v>0</v>
      </c>
      <c r="W517" s="8">
        <f>IFERROR(VLOOKUP(D517,Teams!$B$2:$I$21,6,FALSE),"")</f>
        <v>0</v>
      </c>
      <c r="X517" s="2" t="s">
        <v>65</v>
      </c>
      <c r="Y517" s="13"/>
      <c r="Z517" s="14"/>
      <c r="AA517" s="15">
        <f>IFERROR(H517/(H517+Priors!$G$3),0)</f>
        <v>0.59823222177581359</v>
      </c>
      <c r="AB517" s="16">
        <f>VLOOKUP(E517,Priors!$A$3:$C$6,2,FALSE)</f>
        <v>6.0081391379341341E-2</v>
      </c>
      <c r="AC517" s="16">
        <f>VLOOKUP(E517,Priors!$A$3:$C$6,3,FALSE)</f>
        <v>5.9588191961478354E-2</v>
      </c>
      <c r="AD517" s="12">
        <f t="shared" si="50"/>
        <v>4.6557409152005361E-2</v>
      </c>
      <c r="AE517" s="12">
        <f t="shared" si="51"/>
        <v>3.4065163504008983E-2</v>
      </c>
      <c r="AF517" s="17">
        <v>1</v>
      </c>
      <c r="AG517" s="17">
        <v>1</v>
      </c>
      <c r="AH517" s="16">
        <f>IFERROR(VLOOKUP(D517,Teams!$B$2:$I$21,7,FALSE),1)</f>
        <v>1</v>
      </c>
      <c r="AI517" s="12">
        <f t="shared" si="52"/>
        <v>4.6557409152005361E-2</v>
      </c>
      <c r="AJ517" s="12">
        <f t="shared" si="53"/>
        <v>3.4065163504008983E-2</v>
      </c>
      <c r="AK517" s="6" t="s">
        <v>66</v>
      </c>
      <c r="AL517" s="18"/>
      <c r="AM517" s="23"/>
      <c r="AN517" s="24">
        <v>2E-3</v>
      </c>
      <c r="AO517" s="25" t="b">
        <v>1</v>
      </c>
      <c r="AP517" s="23" t="s">
        <v>71</v>
      </c>
      <c r="AQ517" s="25" t="b">
        <v>0</v>
      </c>
      <c r="AR517" s="23"/>
      <c r="AS517" s="23" t="s">
        <v>68</v>
      </c>
    </row>
    <row r="518" spans="1:45" ht="60">
      <c r="A518" s="6">
        <v>502</v>
      </c>
      <c r="B518" s="6" t="s">
        <v>1434</v>
      </c>
      <c r="C518" s="6" t="s">
        <v>1435</v>
      </c>
      <c r="D518" s="6" t="s">
        <v>1412</v>
      </c>
      <c r="E518" s="6" t="s">
        <v>9</v>
      </c>
      <c r="F518" s="9">
        <v>4.5</v>
      </c>
      <c r="G518" s="9">
        <v>4.5</v>
      </c>
      <c r="H518" s="10">
        <v>1165</v>
      </c>
      <c r="I518" s="11">
        <v>1.1000000000000001</v>
      </c>
      <c r="J518" s="11">
        <v>1.4</v>
      </c>
      <c r="K518" s="12">
        <f t="shared" si="48"/>
        <v>8.4978540772532196E-2</v>
      </c>
      <c r="L518" s="12">
        <f t="shared" si="49"/>
        <v>0.10815450643776822</v>
      </c>
      <c r="M518" s="10">
        <v>1</v>
      </c>
      <c r="N518" s="10">
        <v>0</v>
      </c>
      <c r="O518" s="10">
        <v>55</v>
      </c>
      <c r="P518" s="10">
        <v>2.2999999999999998</v>
      </c>
      <c r="Q518" s="10">
        <v>11</v>
      </c>
      <c r="R518" s="11">
        <v>4.25</v>
      </c>
      <c r="S518" s="6"/>
      <c r="T518" s="6"/>
      <c r="U518" s="6"/>
      <c r="V518" s="7" t="b">
        <v>1</v>
      </c>
      <c r="W518" s="8">
        <f>IFERROR(VLOOKUP(D518,Teams!$B$2:$I$21,6,FALSE),"")</f>
        <v>0</v>
      </c>
      <c r="X518" s="2" t="s">
        <v>65</v>
      </c>
      <c r="Y518" s="13"/>
      <c r="Z518" s="14"/>
      <c r="AA518" s="15">
        <f>IFERROR(H518/(H518+Priors!$G$3),0)</f>
        <v>0.53810623556581982</v>
      </c>
      <c r="AB518" s="16">
        <f>VLOOKUP(E518,Priors!$A$3:$C$6,2,FALSE)</f>
        <v>6.0081391379341341E-2</v>
      </c>
      <c r="AC518" s="16">
        <f>VLOOKUP(E518,Priors!$A$3:$C$6,3,FALSE)</f>
        <v>5.9588191961478354E-2</v>
      </c>
      <c r="AD518" s="12">
        <f t="shared" si="50"/>
        <v>7.3478702715631103E-2</v>
      </c>
      <c r="AE518" s="12">
        <f t="shared" si="51"/>
        <v>8.5722028619620472E-2</v>
      </c>
      <c r="AF518" s="17">
        <v>1</v>
      </c>
      <c r="AG518" s="17">
        <v>1</v>
      </c>
      <c r="AH518" s="16">
        <f>IFERROR(VLOOKUP(D518,Teams!$B$2:$I$21,7,FALSE),1)</f>
        <v>1</v>
      </c>
      <c r="AI518" s="12">
        <f t="shared" si="52"/>
        <v>7.3478702715631103E-2</v>
      </c>
      <c r="AJ518" s="12">
        <f t="shared" si="53"/>
        <v>8.5722028619620472E-2</v>
      </c>
      <c r="AK518" s="6" t="s">
        <v>66</v>
      </c>
      <c r="AL518" s="18"/>
      <c r="AM518" s="23"/>
      <c r="AN518" s="24">
        <v>1.8000000000000002E-2</v>
      </c>
      <c r="AO518" s="25" t="b">
        <v>1</v>
      </c>
      <c r="AP518" s="23" t="s">
        <v>95</v>
      </c>
      <c r="AQ518" s="25" t="b">
        <v>0</v>
      </c>
      <c r="AR518" s="23"/>
      <c r="AS518" s="23" t="s">
        <v>68</v>
      </c>
    </row>
    <row r="519" spans="1:45" ht="60">
      <c r="A519" s="6">
        <v>503</v>
      </c>
      <c r="B519" s="6" t="s">
        <v>1436</v>
      </c>
      <c r="C519" s="6" t="s">
        <v>1437</v>
      </c>
      <c r="D519" s="6" t="s">
        <v>1412</v>
      </c>
      <c r="E519" s="6" t="s">
        <v>9</v>
      </c>
      <c r="F519" s="9">
        <v>5</v>
      </c>
      <c r="G519" s="9">
        <v>5</v>
      </c>
      <c r="H519" s="10">
        <v>3041</v>
      </c>
      <c r="I519" s="11">
        <v>2.82</v>
      </c>
      <c r="J519" s="11">
        <v>0.38</v>
      </c>
      <c r="K519" s="12">
        <f t="shared" si="48"/>
        <v>8.3459388359092404E-2</v>
      </c>
      <c r="L519" s="12">
        <f t="shared" si="49"/>
        <v>1.1246300559026636E-2</v>
      </c>
      <c r="M519" s="10">
        <v>4</v>
      </c>
      <c r="N519" s="10">
        <v>1</v>
      </c>
      <c r="O519" s="10">
        <v>116</v>
      </c>
      <c r="P519" s="10">
        <v>3.3</v>
      </c>
      <c r="Q519" s="10">
        <v>35</v>
      </c>
      <c r="R519" s="11">
        <v>6.27</v>
      </c>
      <c r="S519" s="6"/>
      <c r="T519" s="6"/>
      <c r="U519" s="6"/>
      <c r="V519" s="7" t="b">
        <v>0</v>
      </c>
      <c r="W519" s="8">
        <f>IFERROR(VLOOKUP(D519,Teams!$B$2:$I$21,6,FALSE),"")</f>
        <v>0</v>
      </c>
      <c r="X519" s="2" t="s">
        <v>65</v>
      </c>
      <c r="Y519" s="13"/>
      <c r="Z519" s="14"/>
      <c r="AA519" s="15">
        <f>IFERROR(H519/(H519+Priors!$G$3),0)</f>
        <v>0.75253650086612223</v>
      </c>
      <c r="AB519" s="16">
        <f>VLOOKUP(E519,Priors!$A$3:$C$6,2,FALSE)</f>
        <v>6.0081391379341341E-2</v>
      </c>
      <c r="AC519" s="16">
        <f>VLOOKUP(E519,Priors!$A$3:$C$6,3,FALSE)</f>
        <v>5.9588191961478354E-2</v>
      </c>
      <c r="AD519" s="12">
        <f t="shared" si="50"/>
        <v>7.7674187423741978E-2</v>
      </c>
      <c r="AE519" s="12">
        <f t="shared" si="51"/>
        <v>2.3209154160227258E-2</v>
      </c>
      <c r="AF519" s="17">
        <v>1</v>
      </c>
      <c r="AG519" s="17">
        <v>1</v>
      </c>
      <c r="AH519" s="16">
        <f>IFERROR(VLOOKUP(D519,Teams!$B$2:$I$21,7,FALSE),1)</f>
        <v>1</v>
      </c>
      <c r="AI519" s="12">
        <f t="shared" si="52"/>
        <v>7.7674187423741978E-2</v>
      </c>
      <c r="AJ519" s="12">
        <f t="shared" si="53"/>
        <v>2.3209154160227258E-2</v>
      </c>
      <c r="AK519" s="6" t="s">
        <v>66</v>
      </c>
      <c r="AL519" s="18"/>
      <c r="AM519" s="23"/>
      <c r="AN519" s="24">
        <v>6.4000000000000001E-2</v>
      </c>
      <c r="AO519" s="25" t="b">
        <v>1</v>
      </c>
      <c r="AP519" s="23" t="s">
        <v>1306</v>
      </c>
      <c r="AQ519" s="25" t="b">
        <v>0</v>
      </c>
      <c r="AR519" s="23"/>
      <c r="AS519" s="23" t="s">
        <v>68</v>
      </c>
    </row>
    <row r="520" spans="1:45" ht="60">
      <c r="A520" s="6">
        <v>505</v>
      </c>
      <c r="B520" s="6" t="s">
        <v>1438</v>
      </c>
      <c r="C520" s="6" t="s">
        <v>1439</v>
      </c>
      <c r="D520" s="6" t="s">
        <v>1412</v>
      </c>
      <c r="E520" s="6" t="s">
        <v>9</v>
      </c>
      <c r="F520" s="9">
        <v>4.5</v>
      </c>
      <c r="G520" s="9">
        <v>4.5</v>
      </c>
      <c r="H520" s="10">
        <v>2049</v>
      </c>
      <c r="I520" s="11">
        <v>0.9</v>
      </c>
      <c r="J520" s="11">
        <v>1.77</v>
      </c>
      <c r="K520" s="12">
        <f t="shared" si="48"/>
        <v>3.9531478770131773E-2</v>
      </c>
      <c r="L520" s="12">
        <f t="shared" si="49"/>
        <v>7.7745241581259159E-2</v>
      </c>
      <c r="M520" s="10">
        <v>0</v>
      </c>
      <c r="N520" s="10">
        <v>0</v>
      </c>
      <c r="O520" s="10">
        <v>78</v>
      </c>
      <c r="P520" s="10">
        <v>2.6</v>
      </c>
      <c r="Q520" s="10">
        <v>23</v>
      </c>
      <c r="R520" s="11">
        <v>5.0999999999999996</v>
      </c>
      <c r="S520" s="6"/>
      <c r="T520" s="6"/>
      <c r="U520" s="6"/>
      <c r="V520" s="7" t="b">
        <v>0</v>
      </c>
      <c r="W520" s="8">
        <f>IFERROR(VLOOKUP(D520,Teams!$B$2:$I$21,6,FALSE),"")</f>
        <v>0</v>
      </c>
      <c r="X520" s="2" t="s">
        <v>65</v>
      </c>
      <c r="Y520" s="13"/>
      <c r="Z520" s="14"/>
      <c r="AA520" s="15">
        <f>IFERROR(H520/(H520+Priors!$G$3),0)</f>
        <v>0.67202361429977042</v>
      </c>
      <c r="AB520" s="16">
        <f>VLOOKUP(E520,Priors!$A$3:$C$6,2,FALSE)</f>
        <v>6.0081391379341341E-2</v>
      </c>
      <c r="AC520" s="16">
        <f>VLOOKUP(E520,Priors!$A$3:$C$6,3,FALSE)</f>
        <v>5.9588191961478354E-2</v>
      </c>
      <c r="AD520" s="12">
        <f t="shared" si="50"/>
        <v>4.6271364834155906E-2</v>
      </c>
      <c r="AE520" s="12">
        <f t="shared" si="51"/>
        <v>7.1790158071983717E-2</v>
      </c>
      <c r="AF520" s="17">
        <v>1</v>
      </c>
      <c r="AG520" s="17">
        <v>1</v>
      </c>
      <c r="AH520" s="16">
        <f>IFERROR(VLOOKUP(D520,Teams!$B$2:$I$21,7,FALSE),1)</f>
        <v>1</v>
      </c>
      <c r="AI520" s="12">
        <f t="shared" si="52"/>
        <v>4.6271364834155906E-2</v>
      </c>
      <c r="AJ520" s="12">
        <f t="shared" si="53"/>
        <v>7.1790158071983717E-2</v>
      </c>
      <c r="AK520" s="6" t="s">
        <v>66</v>
      </c>
      <c r="AL520" s="18"/>
      <c r="AM520" s="23"/>
      <c r="AN520" s="24">
        <v>9.6000000000000002E-2</v>
      </c>
      <c r="AO520" s="25" t="b">
        <v>1</v>
      </c>
      <c r="AP520" s="23" t="s">
        <v>1440</v>
      </c>
      <c r="AQ520" s="25" t="b">
        <v>0</v>
      </c>
      <c r="AR520" s="23"/>
      <c r="AS520" s="23" t="s">
        <v>68</v>
      </c>
    </row>
    <row r="521" spans="1:45" ht="60">
      <c r="A521" s="6">
        <v>506</v>
      </c>
      <c r="B521" s="6" t="s">
        <v>1441</v>
      </c>
      <c r="C521" s="6" t="s">
        <v>1442</v>
      </c>
      <c r="D521" s="6" t="s">
        <v>1412</v>
      </c>
      <c r="E521" s="6" t="s">
        <v>9</v>
      </c>
      <c r="F521" s="9">
        <v>4.5</v>
      </c>
      <c r="G521" s="9">
        <v>4.5</v>
      </c>
      <c r="H521" s="10">
        <v>1335</v>
      </c>
      <c r="I521" s="11">
        <v>0.18</v>
      </c>
      <c r="J521" s="11">
        <v>0.72</v>
      </c>
      <c r="K521" s="12">
        <f t="shared" si="48"/>
        <v>1.2134831460674157E-2</v>
      </c>
      <c r="L521" s="12">
        <f t="shared" si="49"/>
        <v>4.8539325842696629E-2</v>
      </c>
      <c r="M521" s="10">
        <v>0</v>
      </c>
      <c r="N521" s="10">
        <v>1</v>
      </c>
      <c r="O521" s="10">
        <v>29</v>
      </c>
      <c r="P521" s="10">
        <v>1.4</v>
      </c>
      <c r="Q521" s="10">
        <v>14</v>
      </c>
      <c r="R521" s="11">
        <v>4.58</v>
      </c>
      <c r="S521" s="6"/>
      <c r="T521" s="6"/>
      <c r="U521" s="6"/>
      <c r="V521" s="7" t="b">
        <v>0</v>
      </c>
      <c r="W521" s="8">
        <f>IFERROR(VLOOKUP(D521,Teams!$B$2:$I$21,6,FALSE),"")</f>
        <v>0</v>
      </c>
      <c r="X521" s="2" t="s">
        <v>65</v>
      </c>
      <c r="Y521" s="13"/>
      <c r="Z521" s="14"/>
      <c r="AA521" s="15">
        <f>IFERROR(H521/(H521+Priors!$G$3),0)</f>
        <v>0.57173447537473232</v>
      </c>
      <c r="AB521" s="16">
        <f>VLOOKUP(E521,Priors!$A$3:$C$6,2,FALSE)</f>
        <v>6.0081391379341341E-2</v>
      </c>
      <c r="AC521" s="16">
        <f>VLOOKUP(E521,Priors!$A$3:$C$6,3,FALSE)</f>
        <v>5.9588191961478354E-2</v>
      </c>
      <c r="AD521" s="12">
        <f t="shared" si="50"/>
        <v>3.2668690098218989E-2</v>
      </c>
      <c r="AE521" s="12">
        <f t="shared" si="51"/>
        <v>5.3271174287571027E-2</v>
      </c>
      <c r="AF521" s="17">
        <v>1</v>
      </c>
      <c r="AG521" s="17">
        <v>1</v>
      </c>
      <c r="AH521" s="16">
        <f>IFERROR(VLOOKUP(D521,Teams!$B$2:$I$21,7,FALSE),1)</f>
        <v>1</v>
      </c>
      <c r="AI521" s="12">
        <f t="shared" si="52"/>
        <v>3.2668690098218989E-2</v>
      </c>
      <c r="AJ521" s="12">
        <f t="shared" si="53"/>
        <v>5.3271174287571027E-2</v>
      </c>
      <c r="AK521" s="6" t="s">
        <v>66</v>
      </c>
      <c r="AL521" s="18"/>
      <c r="AM521" s="23"/>
      <c r="AN521" s="24">
        <v>4.0000000000000001E-3</v>
      </c>
      <c r="AO521" s="25" t="b">
        <v>1</v>
      </c>
      <c r="AP521" s="23" t="s">
        <v>1443</v>
      </c>
      <c r="AQ521" s="25" t="b">
        <v>0</v>
      </c>
      <c r="AR521" s="23"/>
      <c r="AS521" s="23" t="s">
        <v>68</v>
      </c>
    </row>
    <row r="522" spans="1:45" ht="60">
      <c r="A522" s="6">
        <v>507</v>
      </c>
      <c r="B522" s="6" t="s">
        <v>829</v>
      </c>
      <c r="C522" s="6" t="s">
        <v>1444</v>
      </c>
      <c r="D522" s="6" t="s">
        <v>1412</v>
      </c>
      <c r="E522" s="6" t="s">
        <v>9</v>
      </c>
      <c r="F522" s="9">
        <v>4.5</v>
      </c>
      <c r="G522" s="9">
        <v>4.5</v>
      </c>
      <c r="H522" s="10">
        <v>0</v>
      </c>
      <c r="I522" s="11">
        <v>0</v>
      </c>
      <c r="J522" s="11">
        <v>0</v>
      </c>
      <c r="K522" s="12">
        <f t="shared" si="48"/>
        <v>0</v>
      </c>
      <c r="L522" s="12">
        <f t="shared" si="49"/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1">
        <v>0</v>
      </c>
      <c r="S522" s="6"/>
      <c r="T522" s="6"/>
      <c r="U522" s="6"/>
      <c r="V522" s="7" t="b">
        <v>0</v>
      </c>
      <c r="W522" s="8">
        <f>IFERROR(VLOOKUP(D522,Teams!$B$2:$I$21,6,FALSE),"")</f>
        <v>0</v>
      </c>
      <c r="X522" s="2" t="s">
        <v>65</v>
      </c>
      <c r="Y522" s="13"/>
      <c r="Z522" s="14"/>
      <c r="AA522" s="15">
        <f>IFERROR(H522/(H522+Priors!$G$3),0)</f>
        <v>0</v>
      </c>
      <c r="AB522" s="16">
        <f>VLOOKUP(E522,Priors!$A$3:$C$6,2,FALSE)</f>
        <v>6.0081391379341341E-2</v>
      </c>
      <c r="AC522" s="16">
        <f>VLOOKUP(E522,Priors!$A$3:$C$6,3,FALSE)</f>
        <v>5.9588191961478354E-2</v>
      </c>
      <c r="AD522" s="12">
        <f t="shared" si="50"/>
        <v>6.0081391379341341E-2</v>
      </c>
      <c r="AE522" s="12">
        <f t="shared" si="51"/>
        <v>5.9588191961478354E-2</v>
      </c>
      <c r="AF522" s="17">
        <v>1</v>
      </c>
      <c r="AG522" s="17">
        <v>1</v>
      </c>
      <c r="AH522" s="16">
        <f>IFERROR(VLOOKUP(D522,Teams!$B$2:$I$21,7,FALSE),1)</f>
        <v>1</v>
      </c>
      <c r="AI522" s="12">
        <f t="shared" si="52"/>
        <v>6.0081391379341341E-2</v>
      </c>
      <c r="AJ522" s="12">
        <f t="shared" si="53"/>
        <v>5.9588191961478354E-2</v>
      </c>
      <c r="AK522" s="6" t="s">
        <v>66</v>
      </c>
      <c r="AL522" s="18"/>
      <c r="AM522" s="23"/>
      <c r="AN522" s="24">
        <v>1E-3</v>
      </c>
      <c r="AO522" s="25" t="b">
        <v>1</v>
      </c>
      <c r="AP522" s="23" t="s">
        <v>480</v>
      </c>
      <c r="AQ522" s="25" t="b">
        <v>0</v>
      </c>
      <c r="AR522" s="23"/>
      <c r="AS522" s="23" t="s">
        <v>68</v>
      </c>
    </row>
    <row r="523" spans="1:45" ht="60">
      <c r="A523" s="6">
        <v>508</v>
      </c>
      <c r="B523" s="6" t="s">
        <v>1047</v>
      </c>
      <c r="C523" s="6" t="s">
        <v>1445</v>
      </c>
      <c r="D523" s="6" t="s">
        <v>1412</v>
      </c>
      <c r="E523" s="6" t="s">
        <v>9</v>
      </c>
      <c r="F523" s="9">
        <v>4</v>
      </c>
      <c r="G523" s="9">
        <v>4</v>
      </c>
      <c r="H523" s="10">
        <v>136</v>
      </c>
      <c r="I523" s="11">
        <v>0.49</v>
      </c>
      <c r="J523" s="11">
        <v>7.0000000000000007E-2</v>
      </c>
      <c r="K523" s="12">
        <f t="shared" si="48"/>
        <v>0.32426470588235295</v>
      </c>
      <c r="L523" s="12">
        <f t="shared" si="49"/>
        <v>4.6323529411764708E-2</v>
      </c>
      <c r="M523" s="10">
        <v>1</v>
      </c>
      <c r="N523" s="10">
        <v>0</v>
      </c>
      <c r="O523" s="10">
        <v>10</v>
      </c>
      <c r="P523" s="10">
        <v>3.3</v>
      </c>
      <c r="Q523" s="10">
        <v>2</v>
      </c>
      <c r="R523" s="11">
        <v>9.26</v>
      </c>
      <c r="S523" s="6"/>
      <c r="T523" s="6"/>
      <c r="U523" s="6"/>
      <c r="V523" s="7" t="b">
        <v>0</v>
      </c>
      <c r="W523" s="8">
        <f>IFERROR(VLOOKUP(D523,Teams!$B$2:$I$21,6,FALSE),"")</f>
        <v>0</v>
      </c>
      <c r="X523" s="2" t="s">
        <v>65</v>
      </c>
      <c r="Y523" s="13"/>
      <c r="Z523" s="14"/>
      <c r="AA523" s="15">
        <f>IFERROR(H523/(H523+Priors!$G$3),0)</f>
        <v>0.11971830985915492</v>
      </c>
      <c r="AB523" s="16">
        <f>VLOOKUP(E523,Priors!$A$3:$C$6,2,FALSE)</f>
        <v>6.0081391379341341E-2</v>
      </c>
      <c r="AC523" s="16">
        <f>VLOOKUP(E523,Priors!$A$3:$C$6,3,FALSE)</f>
        <v>5.9588191961478354E-2</v>
      </c>
      <c r="AD523" s="12">
        <f t="shared" si="50"/>
        <v>9.1708971284631458E-2</v>
      </c>
      <c r="AE523" s="12">
        <f t="shared" si="51"/>
        <v>5.8000168980174613E-2</v>
      </c>
      <c r="AF523" s="17">
        <v>1</v>
      </c>
      <c r="AG523" s="17">
        <v>1</v>
      </c>
      <c r="AH523" s="16">
        <f>IFERROR(VLOOKUP(D523,Teams!$B$2:$I$21,7,FALSE),1)</f>
        <v>1</v>
      </c>
      <c r="AI523" s="12">
        <f t="shared" si="52"/>
        <v>9.1708971284631458E-2</v>
      </c>
      <c r="AJ523" s="12">
        <f t="shared" si="53"/>
        <v>5.8000168980174613E-2</v>
      </c>
      <c r="AK523" s="6" t="s">
        <v>66</v>
      </c>
      <c r="AL523" s="18"/>
      <c r="AM523" s="23"/>
      <c r="AN523" s="24">
        <v>8.0000000000000002E-3</v>
      </c>
      <c r="AO523" s="25" t="b">
        <v>1</v>
      </c>
      <c r="AP523" s="23" t="s">
        <v>1446</v>
      </c>
      <c r="AQ523" s="25" t="b">
        <v>0</v>
      </c>
      <c r="AR523" s="23"/>
      <c r="AS523" s="23" t="s">
        <v>68</v>
      </c>
    </row>
    <row r="524" spans="1:45" ht="60">
      <c r="A524" s="6">
        <v>509</v>
      </c>
      <c r="B524" s="6" t="s">
        <v>1447</v>
      </c>
      <c r="C524" s="6" t="s">
        <v>1448</v>
      </c>
      <c r="D524" s="6" t="s">
        <v>1412</v>
      </c>
      <c r="E524" s="6" t="s">
        <v>9</v>
      </c>
      <c r="F524" s="9">
        <v>4</v>
      </c>
      <c r="G524" s="9">
        <v>4</v>
      </c>
      <c r="H524" s="10">
        <v>1</v>
      </c>
      <c r="I524" s="11">
        <v>0</v>
      </c>
      <c r="J524" s="11">
        <v>0</v>
      </c>
      <c r="K524" s="12">
        <f t="shared" si="48"/>
        <v>0</v>
      </c>
      <c r="L524" s="12">
        <f t="shared" si="49"/>
        <v>0</v>
      </c>
      <c r="M524" s="10">
        <v>0</v>
      </c>
      <c r="N524" s="10">
        <v>0</v>
      </c>
      <c r="O524" s="10">
        <v>1</v>
      </c>
      <c r="P524" s="10">
        <v>1</v>
      </c>
      <c r="Q524" s="10">
        <v>0</v>
      </c>
      <c r="R524" s="11">
        <v>0</v>
      </c>
      <c r="S524" s="6"/>
      <c r="T524" s="6"/>
      <c r="U524" s="6"/>
      <c r="V524" s="7" t="b">
        <v>1</v>
      </c>
      <c r="W524" s="8">
        <f>IFERROR(VLOOKUP(D524,Teams!$B$2:$I$21,6,FALSE),"")</f>
        <v>0</v>
      </c>
      <c r="X524" s="2" t="s">
        <v>65</v>
      </c>
      <c r="Y524" s="13"/>
      <c r="Z524" s="14"/>
      <c r="AA524" s="15">
        <f>IFERROR(H524/(H524+Priors!$G$3),0)</f>
        <v>9.99000999000999E-4</v>
      </c>
      <c r="AB524" s="16">
        <f>VLOOKUP(E524,Priors!$A$3:$C$6,2,FALSE)</f>
        <v>6.0081391379341341E-2</v>
      </c>
      <c r="AC524" s="16">
        <f>VLOOKUP(E524,Priors!$A$3:$C$6,3,FALSE)</f>
        <v>5.9588191961478354E-2</v>
      </c>
      <c r="AD524" s="12">
        <f t="shared" si="50"/>
        <v>6.0021370009332012E-2</v>
      </c>
      <c r="AE524" s="12">
        <f t="shared" si="51"/>
        <v>5.9528663298180177E-2</v>
      </c>
      <c r="AF524" s="17">
        <v>1</v>
      </c>
      <c r="AG524" s="17">
        <v>1</v>
      </c>
      <c r="AH524" s="16">
        <f>IFERROR(VLOOKUP(D524,Teams!$B$2:$I$21,7,FALSE),1)</f>
        <v>1</v>
      </c>
      <c r="AI524" s="12">
        <f t="shared" si="52"/>
        <v>6.0021370009332012E-2</v>
      </c>
      <c r="AJ524" s="12">
        <f t="shared" si="53"/>
        <v>5.9528663298180177E-2</v>
      </c>
      <c r="AK524" s="6" t="s">
        <v>66</v>
      </c>
      <c r="AL524" s="18"/>
      <c r="AM524" s="23"/>
      <c r="AN524" s="24">
        <v>1E-3</v>
      </c>
      <c r="AO524" s="25" t="b">
        <v>1</v>
      </c>
      <c r="AP524" s="23" t="s">
        <v>65</v>
      </c>
      <c r="AQ524" s="25" t="b">
        <v>0</v>
      </c>
      <c r="AR524" s="23"/>
      <c r="AS524" s="23" t="s">
        <v>68</v>
      </c>
    </row>
    <row r="525" spans="1:45" ht="60">
      <c r="A525" s="6">
        <v>510</v>
      </c>
      <c r="B525" s="6" t="s">
        <v>1449</v>
      </c>
      <c r="C525" s="6" t="s">
        <v>1450</v>
      </c>
      <c r="D525" s="6" t="s">
        <v>1412</v>
      </c>
      <c r="E525" s="6" t="s">
        <v>9</v>
      </c>
      <c r="F525" s="9">
        <v>4</v>
      </c>
      <c r="G525" s="9">
        <v>4</v>
      </c>
      <c r="H525" s="10">
        <v>1</v>
      </c>
      <c r="I525" s="11">
        <v>0</v>
      </c>
      <c r="J525" s="11">
        <v>0</v>
      </c>
      <c r="K525" s="12">
        <f t="shared" si="48"/>
        <v>0</v>
      </c>
      <c r="L525" s="12">
        <f t="shared" si="49"/>
        <v>0</v>
      </c>
      <c r="M525" s="10">
        <v>0</v>
      </c>
      <c r="N525" s="10">
        <v>0</v>
      </c>
      <c r="O525" s="10">
        <v>1</v>
      </c>
      <c r="P525" s="10">
        <v>1</v>
      </c>
      <c r="Q525" s="10">
        <v>0</v>
      </c>
      <c r="R525" s="11">
        <v>0</v>
      </c>
      <c r="S525" s="6"/>
      <c r="T525" s="6"/>
      <c r="U525" s="6"/>
      <c r="V525" s="7" t="b">
        <v>1</v>
      </c>
      <c r="W525" s="8">
        <f>IFERROR(VLOOKUP(D525,Teams!$B$2:$I$21,6,FALSE),"")</f>
        <v>0</v>
      </c>
      <c r="X525" s="2" t="s">
        <v>65</v>
      </c>
      <c r="Y525" s="13"/>
      <c r="Z525" s="14"/>
      <c r="AA525" s="15">
        <f>IFERROR(H525/(H525+Priors!$G$3),0)</f>
        <v>9.99000999000999E-4</v>
      </c>
      <c r="AB525" s="16">
        <f>VLOOKUP(E525,Priors!$A$3:$C$6,2,FALSE)</f>
        <v>6.0081391379341341E-2</v>
      </c>
      <c r="AC525" s="16">
        <f>VLOOKUP(E525,Priors!$A$3:$C$6,3,FALSE)</f>
        <v>5.9588191961478354E-2</v>
      </c>
      <c r="AD525" s="12">
        <f t="shared" si="50"/>
        <v>6.0021370009332012E-2</v>
      </c>
      <c r="AE525" s="12">
        <f t="shared" si="51"/>
        <v>5.9528663298180177E-2</v>
      </c>
      <c r="AF525" s="17">
        <v>1</v>
      </c>
      <c r="AG525" s="17">
        <v>1</v>
      </c>
      <c r="AH525" s="16">
        <f>IFERROR(VLOOKUP(D525,Teams!$B$2:$I$21,7,FALSE),1)</f>
        <v>1</v>
      </c>
      <c r="AI525" s="12">
        <f t="shared" si="52"/>
        <v>6.0021370009332012E-2</v>
      </c>
      <c r="AJ525" s="12">
        <f t="shared" si="53"/>
        <v>5.9528663298180177E-2</v>
      </c>
      <c r="AK525" s="6" t="s">
        <v>66</v>
      </c>
      <c r="AL525" s="18"/>
      <c r="AM525" s="23"/>
      <c r="AN525" s="24">
        <v>1E-3</v>
      </c>
      <c r="AO525" s="25" t="b">
        <v>1</v>
      </c>
      <c r="AP525" s="23" t="s">
        <v>65</v>
      </c>
      <c r="AQ525" s="25" t="b">
        <v>0</v>
      </c>
      <c r="AR525" s="23"/>
      <c r="AS525" s="23" t="s">
        <v>68</v>
      </c>
    </row>
    <row r="526" spans="1:45" ht="60">
      <c r="A526" s="6">
        <v>511</v>
      </c>
      <c r="B526" s="6" t="s">
        <v>1451</v>
      </c>
      <c r="C526" s="6" t="s">
        <v>1451</v>
      </c>
      <c r="D526" s="6" t="s">
        <v>1412</v>
      </c>
      <c r="E526" s="6" t="s">
        <v>9</v>
      </c>
      <c r="F526" s="9">
        <v>4</v>
      </c>
      <c r="G526" s="9">
        <v>4</v>
      </c>
      <c r="H526" s="10">
        <v>142</v>
      </c>
      <c r="I526" s="11">
        <v>0.02</v>
      </c>
      <c r="J526" s="11">
        <v>0.03</v>
      </c>
      <c r="K526" s="12">
        <f t="shared" si="48"/>
        <v>1.2676056338028169E-2</v>
      </c>
      <c r="L526" s="12">
        <f t="shared" si="49"/>
        <v>1.9014084507042252E-2</v>
      </c>
      <c r="M526" s="10">
        <v>0</v>
      </c>
      <c r="N526" s="10">
        <v>0</v>
      </c>
      <c r="O526" s="10">
        <v>3</v>
      </c>
      <c r="P526" s="10">
        <v>0.8</v>
      </c>
      <c r="Q526" s="10">
        <v>2</v>
      </c>
      <c r="R526" s="11">
        <v>3.8</v>
      </c>
      <c r="S526" s="6"/>
      <c r="T526" s="6"/>
      <c r="U526" s="6"/>
      <c r="V526" s="7" t="b">
        <v>0</v>
      </c>
      <c r="W526" s="8">
        <f>IFERROR(VLOOKUP(D526,Teams!$B$2:$I$21,6,FALSE),"")</f>
        <v>0</v>
      </c>
      <c r="X526" s="2" t="s">
        <v>65</v>
      </c>
      <c r="Y526" s="13"/>
      <c r="Z526" s="14"/>
      <c r="AA526" s="15">
        <f>IFERROR(H526/(H526+Priors!$G$3),0)</f>
        <v>0.12434325744308231</v>
      </c>
      <c r="AB526" s="16">
        <f>VLOOKUP(E526,Priors!$A$3:$C$6,2,FALSE)</f>
        <v>6.0081391379341341E-2</v>
      </c>
      <c r="AC526" s="16">
        <f>VLOOKUP(E526,Priors!$A$3:$C$6,3,FALSE)</f>
        <v>5.9588191961478354E-2</v>
      </c>
      <c r="AD526" s="12">
        <f t="shared" si="50"/>
        <v>5.4186857600123768E-2</v>
      </c>
      <c r="AE526" s="12">
        <f t="shared" si="51"/>
        <v>5.4543075272748119E-2</v>
      </c>
      <c r="AF526" s="17">
        <v>1</v>
      </c>
      <c r="AG526" s="17">
        <v>1</v>
      </c>
      <c r="AH526" s="16">
        <f>IFERROR(VLOOKUP(D526,Teams!$B$2:$I$21,7,FALSE),1)</f>
        <v>1</v>
      </c>
      <c r="AI526" s="12">
        <f t="shared" si="52"/>
        <v>5.4186857600123768E-2</v>
      </c>
      <c r="AJ526" s="12">
        <f t="shared" si="53"/>
        <v>5.4543075272748119E-2</v>
      </c>
      <c r="AK526" s="6" t="s">
        <v>66</v>
      </c>
      <c r="AL526" s="18"/>
      <c r="AM526" s="23"/>
      <c r="AN526" s="24">
        <v>3.0000000000000001E-3</v>
      </c>
      <c r="AO526" s="25" t="b">
        <v>1</v>
      </c>
      <c r="AP526" s="23" t="s">
        <v>1452</v>
      </c>
      <c r="AQ526" s="25" t="b">
        <v>0</v>
      </c>
      <c r="AR526" s="23"/>
      <c r="AS526" s="23" t="s">
        <v>68</v>
      </c>
    </row>
    <row r="527" spans="1:45" ht="60">
      <c r="A527" s="6">
        <v>512</v>
      </c>
      <c r="B527" s="6" t="s">
        <v>1453</v>
      </c>
      <c r="C527" s="6" t="s">
        <v>1454</v>
      </c>
      <c r="D527" s="6" t="s">
        <v>1412</v>
      </c>
      <c r="E527" s="6" t="s">
        <v>11</v>
      </c>
      <c r="F527" s="9">
        <v>6.5</v>
      </c>
      <c r="G527" s="9">
        <v>6.5</v>
      </c>
      <c r="H527" s="10">
        <v>1535</v>
      </c>
      <c r="I527" s="11">
        <v>1.92</v>
      </c>
      <c r="J527" s="11">
        <v>2.41</v>
      </c>
      <c r="K527" s="12">
        <f t="shared" si="48"/>
        <v>0.11257328990228012</v>
      </c>
      <c r="L527" s="12">
        <f t="shared" si="49"/>
        <v>0.1413029315960912</v>
      </c>
      <c r="M527" s="10">
        <v>2</v>
      </c>
      <c r="N527" s="10">
        <v>6</v>
      </c>
      <c r="O527" s="10">
        <v>75</v>
      </c>
      <c r="P527" s="10">
        <v>3.9</v>
      </c>
      <c r="Q527" s="10">
        <v>19</v>
      </c>
      <c r="R527" s="11">
        <v>7.8</v>
      </c>
      <c r="S527" s="6">
        <v>2</v>
      </c>
      <c r="T527" s="6">
        <v>3</v>
      </c>
      <c r="U527" s="6">
        <v>7</v>
      </c>
      <c r="V527" s="7" t="b">
        <v>0</v>
      </c>
      <c r="W527" s="8">
        <f>IFERROR(VLOOKUP(D527,Teams!$B$2:$I$21,6,FALSE),"")</f>
        <v>0</v>
      </c>
      <c r="X527" s="2" t="s">
        <v>65</v>
      </c>
      <c r="Y527" s="13"/>
      <c r="Z527" s="14"/>
      <c r="AA527" s="15">
        <f>IFERROR(H527/(H527+Priors!$G$3),0)</f>
        <v>0.60552268244575935</v>
      </c>
      <c r="AB527" s="16">
        <f>VLOOKUP(E527,Priors!$A$3:$C$6,2,FALSE)</f>
        <v>0.15714383234350468</v>
      </c>
      <c r="AC527" s="16">
        <f>VLOOKUP(E527,Priors!$A$3:$C$6,3,FALSE)</f>
        <v>0.13222062939449797</v>
      </c>
      <c r="AD527" s="12">
        <f t="shared" si="50"/>
        <v>0.13015535792643182</v>
      </c>
      <c r="AE527" s="12">
        <f t="shared" si="51"/>
        <v>0.13772016938638973</v>
      </c>
      <c r="AF527" s="17">
        <v>1</v>
      </c>
      <c r="AG527" s="17">
        <v>1</v>
      </c>
      <c r="AH527" s="16">
        <f>IFERROR(VLOOKUP(D527,Teams!$B$2:$I$21,7,FALSE),1)</f>
        <v>1</v>
      </c>
      <c r="AI527" s="12">
        <f t="shared" si="52"/>
        <v>0.13015535792643182</v>
      </c>
      <c r="AJ527" s="12">
        <f t="shared" si="53"/>
        <v>0.13772016938638973</v>
      </c>
      <c r="AK527" s="6" t="s">
        <v>204</v>
      </c>
      <c r="AL527" s="18">
        <v>75</v>
      </c>
      <c r="AM527" s="23" t="s">
        <v>1222</v>
      </c>
      <c r="AN527" s="24">
        <v>2E-3</v>
      </c>
      <c r="AO527" s="25" t="b">
        <v>1</v>
      </c>
      <c r="AP527" s="23" t="s">
        <v>130</v>
      </c>
      <c r="AQ527" s="25" t="b">
        <v>0</v>
      </c>
      <c r="AR527" s="23"/>
      <c r="AS527" s="23" t="s">
        <v>68</v>
      </c>
    </row>
    <row r="528" spans="1:45" ht="60">
      <c r="A528" s="6">
        <v>513</v>
      </c>
      <c r="B528" s="6" t="s">
        <v>1455</v>
      </c>
      <c r="C528" s="6" t="s">
        <v>1456</v>
      </c>
      <c r="D528" s="6" t="s">
        <v>1412</v>
      </c>
      <c r="E528" s="6" t="s">
        <v>11</v>
      </c>
      <c r="F528" s="9">
        <v>6</v>
      </c>
      <c r="G528" s="9">
        <v>6</v>
      </c>
      <c r="H528" s="10">
        <v>1747</v>
      </c>
      <c r="I528" s="11">
        <v>3.06</v>
      </c>
      <c r="J528" s="11">
        <v>3.85</v>
      </c>
      <c r="K528" s="12">
        <f t="shared" si="48"/>
        <v>0.1576416714367487</v>
      </c>
      <c r="L528" s="12">
        <f t="shared" si="49"/>
        <v>0.19834001144819691</v>
      </c>
      <c r="M528" s="10">
        <v>2</v>
      </c>
      <c r="N528" s="10">
        <v>5</v>
      </c>
      <c r="O528" s="10">
        <v>80</v>
      </c>
      <c r="P528" s="10">
        <v>2.9</v>
      </c>
      <c r="Q528" s="10">
        <v>19</v>
      </c>
      <c r="R528" s="11">
        <v>7.68</v>
      </c>
      <c r="S528" s="6">
        <v>3</v>
      </c>
      <c r="T528" s="6">
        <v>2</v>
      </c>
      <c r="U528" s="6">
        <v>8</v>
      </c>
      <c r="V528" s="7" t="b">
        <v>0</v>
      </c>
      <c r="W528" s="8">
        <f>IFERROR(VLOOKUP(D528,Teams!$B$2:$I$21,6,FALSE),"")</f>
        <v>0</v>
      </c>
      <c r="X528" s="2" t="s">
        <v>65</v>
      </c>
      <c r="Y528" s="13"/>
      <c r="Z528" s="14"/>
      <c r="AA528" s="15">
        <f>IFERROR(H528/(H528+Priors!$G$3),0)</f>
        <v>0.63596650891882056</v>
      </c>
      <c r="AB528" s="16">
        <f>VLOOKUP(E528,Priors!$A$3:$C$6,2,FALSE)</f>
        <v>0.15714383234350468</v>
      </c>
      <c r="AC528" s="16">
        <f>VLOOKUP(E528,Priors!$A$3:$C$6,3,FALSE)</f>
        <v>0.13222062939449797</v>
      </c>
      <c r="AD528" s="12">
        <f t="shared" si="50"/>
        <v>0.1574604413336384</v>
      </c>
      <c r="AE528" s="12">
        <f t="shared" si="51"/>
        <v>0.17427034197105862</v>
      </c>
      <c r="AF528" s="17">
        <v>1</v>
      </c>
      <c r="AG528" s="17">
        <v>1</v>
      </c>
      <c r="AH528" s="16">
        <f>IFERROR(VLOOKUP(D528,Teams!$B$2:$I$21,7,FALSE),1)</f>
        <v>1</v>
      </c>
      <c r="AI528" s="12">
        <f t="shared" si="52"/>
        <v>0.1574604413336384</v>
      </c>
      <c r="AJ528" s="12">
        <f t="shared" si="53"/>
        <v>0.17427034197105862</v>
      </c>
      <c r="AK528" s="6" t="s">
        <v>80</v>
      </c>
      <c r="AL528" s="18">
        <v>0</v>
      </c>
      <c r="AM528" s="23" t="s">
        <v>209</v>
      </c>
      <c r="AN528" s="24">
        <v>0</v>
      </c>
      <c r="AO528" s="25" t="b">
        <v>1</v>
      </c>
      <c r="AP528" s="23" t="s">
        <v>670</v>
      </c>
      <c r="AQ528" s="25" t="b">
        <v>0</v>
      </c>
      <c r="AR528" s="23"/>
      <c r="AS528" s="23" t="s">
        <v>68</v>
      </c>
    </row>
    <row r="529" spans="1:45" ht="60">
      <c r="A529" s="6">
        <v>514</v>
      </c>
      <c r="B529" s="6" t="s">
        <v>1457</v>
      </c>
      <c r="C529" s="6" t="s">
        <v>1458</v>
      </c>
      <c r="D529" s="6" t="s">
        <v>1412</v>
      </c>
      <c r="E529" s="6" t="s">
        <v>11</v>
      </c>
      <c r="F529" s="9">
        <v>6</v>
      </c>
      <c r="G529" s="9">
        <v>6</v>
      </c>
      <c r="H529" s="10">
        <v>1334</v>
      </c>
      <c r="I529" s="11">
        <v>2.4700000000000002</v>
      </c>
      <c r="J529" s="11">
        <v>2.4300000000000002</v>
      </c>
      <c r="K529" s="12">
        <f t="shared" si="48"/>
        <v>0.1666416791604198</v>
      </c>
      <c r="L529" s="12">
        <f t="shared" si="49"/>
        <v>0.16394302848575715</v>
      </c>
      <c r="M529" s="10">
        <v>4</v>
      </c>
      <c r="N529" s="10">
        <v>2</v>
      </c>
      <c r="O529" s="10">
        <v>78</v>
      </c>
      <c r="P529" s="10">
        <v>2.5</v>
      </c>
      <c r="Q529" s="10">
        <v>13</v>
      </c>
      <c r="R529" s="11">
        <v>7.49</v>
      </c>
      <c r="S529" s="6"/>
      <c r="T529" s="6"/>
      <c r="U529" s="6">
        <v>9</v>
      </c>
      <c r="V529" s="7" t="b">
        <v>0</v>
      </c>
      <c r="W529" s="8">
        <f>IFERROR(VLOOKUP(D529,Teams!$B$2:$I$21,6,FALSE),"")</f>
        <v>0</v>
      </c>
      <c r="X529" s="2" t="s">
        <v>65</v>
      </c>
      <c r="Y529" s="13"/>
      <c r="Z529" s="14"/>
      <c r="AA529" s="15">
        <f>IFERROR(H529/(H529+Priors!$G$3),0)</f>
        <v>0.57155098543273353</v>
      </c>
      <c r="AB529" s="16">
        <f>VLOOKUP(E529,Priors!$A$3:$C$6,2,FALSE)</f>
        <v>0.15714383234350468</v>
      </c>
      <c r="AC529" s="16">
        <f>VLOOKUP(E529,Priors!$A$3:$C$6,3,FALSE)</f>
        <v>0.13222062939449797</v>
      </c>
      <c r="AD529" s="12">
        <f t="shared" si="50"/>
        <v>0.16257233605120169</v>
      </c>
      <c r="AE529" s="12">
        <f t="shared" si="51"/>
        <v>0.15035159785539759</v>
      </c>
      <c r="AF529" s="17">
        <v>1</v>
      </c>
      <c r="AG529" s="17">
        <v>1</v>
      </c>
      <c r="AH529" s="16">
        <f>IFERROR(VLOOKUP(D529,Teams!$B$2:$I$21,7,FALSE),1)</f>
        <v>1</v>
      </c>
      <c r="AI529" s="12">
        <f t="shared" si="52"/>
        <v>0.16257233605120169</v>
      </c>
      <c r="AJ529" s="12">
        <f t="shared" si="53"/>
        <v>0.15035159785539759</v>
      </c>
      <c r="AK529" s="6" t="s">
        <v>66</v>
      </c>
      <c r="AL529" s="18"/>
      <c r="AM529" s="23"/>
      <c r="AN529" s="24">
        <v>4.0000000000000001E-3</v>
      </c>
      <c r="AO529" s="25" t="b">
        <v>1</v>
      </c>
      <c r="AP529" s="23" t="s">
        <v>71</v>
      </c>
      <c r="AQ529" s="25" t="b">
        <v>0</v>
      </c>
      <c r="AR529" s="23"/>
      <c r="AS529" s="23" t="s">
        <v>68</v>
      </c>
    </row>
    <row r="530" spans="1:45" ht="60">
      <c r="A530" s="6">
        <v>515</v>
      </c>
      <c r="B530" s="6" t="s">
        <v>1459</v>
      </c>
      <c r="C530" s="6" t="s">
        <v>1460</v>
      </c>
      <c r="D530" s="6" t="s">
        <v>1412</v>
      </c>
      <c r="E530" s="6" t="s">
        <v>11</v>
      </c>
      <c r="F530" s="9">
        <v>6.5</v>
      </c>
      <c r="G530" s="9">
        <v>6.5</v>
      </c>
      <c r="H530" s="10">
        <v>34</v>
      </c>
      <c r="I530" s="11">
        <v>0.21</v>
      </c>
      <c r="J530" s="11">
        <v>0.06</v>
      </c>
      <c r="K530" s="12">
        <f t="shared" si="48"/>
        <v>0.55588235294117638</v>
      </c>
      <c r="L530" s="12">
        <f t="shared" si="49"/>
        <v>0.1588235294117647</v>
      </c>
      <c r="M530" s="10">
        <v>0</v>
      </c>
      <c r="N530" s="10">
        <v>0</v>
      </c>
      <c r="O530" s="10">
        <v>3</v>
      </c>
      <c r="P530" s="10">
        <v>1</v>
      </c>
      <c r="Q530" s="10">
        <v>0</v>
      </c>
      <c r="R530" s="11">
        <v>13.24</v>
      </c>
      <c r="S530" s="6"/>
      <c r="T530" s="6"/>
      <c r="U530" s="6"/>
      <c r="V530" s="7" t="b">
        <v>0</v>
      </c>
      <c r="W530" s="8">
        <f>IFERROR(VLOOKUP(D530,Teams!$B$2:$I$21,6,FALSE),"")</f>
        <v>0</v>
      </c>
      <c r="X530" s="2" t="s">
        <v>65</v>
      </c>
      <c r="Y530" s="13"/>
      <c r="Z530" s="14"/>
      <c r="AA530" s="15">
        <f>IFERROR(H530/(H530+Priors!$G$3),0)</f>
        <v>3.2882011605415859E-2</v>
      </c>
      <c r="AB530" s="16">
        <f>VLOOKUP(E530,Priors!$A$3:$C$6,2,FALSE)</f>
        <v>0.15714383234350468</v>
      </c>
      <c r="AC530" s="16">
        <f>VLOOKUP(E530,Priors!$A$3:$C$6,3,FALSE)</f>
        <v>0.13222062939449797</v>
      </c>
      <c r="AD530" s="12">
        <f t="shared" si="50"/>
        <v>0.17025515700532368</v>
      </c>
      <c r="AE530" s="12">
        <f t="shared" si="51"/>
        <v>0.13309538626160344</v>
      </c>
      <c r="AF530" s="17">
        <v>1</v>
      </c>
      <c r="AG530" s="17">
        <v>1</v>
      </c>
      <c r="AH530" s="16">
        <f>IFERROR(VLOOKUP(D530,Teams!$B$2:$I$21,7,FALSE),1)</f>
        <v>1</v>
      </c>
      <c r="AI530" s="12">
        <f t="shared" si="52"/>
        <v>0.17025515700532368</v>
      </c>
      <c r="AJ530" s="12">
        <f t="shared" si="53"/>
        <v>0.13309538626160344</v>
      </c>
      <c r="AK530" s="6" t="s">
        <v>66</v>
      </c>
      <c r="AL530" s="18"/>
      <c r="AM530" s="23"/>
      <c r="AN530" s="24">
        <v>2.1000000000000001E-2</v>
      </c>
      <c r="AO530" s="25" t="b">
        <v>1</v>
      </c>
      <c r="AP530" s="23" t="s">
        <v>144</v>
      </c>
      <c r="AQ530" s="25" t="b">
        <v>0</v>
      </c>
      <c r="AR530" s="23"/>
      <c r="AS530" s="23" t="s">
        <v>68</v>
      </c>
    </row>
    <row r="531" spans="1:45" ht="60">
      <c r="A531" s="6">
        <v>516</v>
      </c>
      <c r="B531" s="6" t="s">
        <v>1461</v>
      </c>
      <c r="C531" s="6" t="s">
        <v>1462</v>
      </c>
      <c r="D531" s="6" t="s">
        <v>1412</v>
      </c>
      <c r="E531" s="6" t="s">
        <v>11</v>
      </c>
      <c r="F531" s="9">
        <v>5.5</v>
      </c>
      <c r="G531" s="9">
        <v>5.5</v>
      </c>
      <c r="H531" s="10">
        <v>1880</v>
      </c>
      <c r="I531" s="11">
        <v>0.72</v>
      </c>
      <c r="J531" s="11">
        <v>0.84</v>
      </c>
      <c r="K531" s="12">
        <f t="shared" si="48"/>
        <v>3.4468085106382974E-2</v>
      </c>
      <c r="L531" s="12">
        <f t="shared" si="49"/>
        <v>4.0212765957446807E-2</v>
      </c>
      <c r="M531" s="10">
        <v>1</v>
      </c>
      <c r="N531" s="10">
        <v>1</v>
      </c>
      <c r="O531" s="10">
        <v>86</v>
      </c>
      <c r="P531" s="10">
        <v>3.3</v>
      </c>
      <c r="Q531" s="10">
        <v>23</v>
      </c>
      <c r="R531" s="11">
        <v>13.31</v>
      </c>
      <c r="S531" s="6"/>
      <c r="T531" s="6"/>
      <c r="U531" s="6"/>
      <c r="V531" s="7" t="b">
        <v>0</v>
      </c>
      <c r="W531" s="8">
        <f>IFERROR(VLOOKUP(D531,Teams!$B$2:$I$21,6,FALSE),"")</f>
        <v>0</v>
      </c>
      <c r="X531" s="2" t="s">
        <v>65</v>
      </c>
      <c r="Y531" s="13"/>
      <c r="Z531" s="14"/>
      <c r="AA531" s="15">
        <f>IFERROR(H531/(H531+Priors!$G$3),0)</f>
        <v>0.65277777777777779</v>
      </c>
      <c r="AB531" s="16">
        <f>VLOOKUP(E531,Priors!$A$3:$C$6,2,FALSE)</f>
        <v>0.15714383234350468</v>
      </c>
      <c r="AC531" s="16">
        <f>VLOOKUP(E531,Priors!$A$3:$C$6,3,FALSE)</f>
        <v>0.13222062939449797</v>
      </c>
      <c r="AD531" s="12">
        <f t="shared" si="50"/>
        <v>7.7063830674828013E-2</v>
      </c>
      <c r="AE531" s="12">
        <f t="shared" si="51"/>
        <v>7.2159940761978458E-2</v>
      </c>
      <c r="AF531" s="17">
        <v>1</v>
      </c>
      <c r="AG531" s="17">
        <v>1</v>
      </c>
      <c r="AH531" s="16">
        <f>IFERROR(VLOOKUP(D531,Teams!$B$2:$I$21,7,FALSE),1)</f>
        <v>1</v>
      </c>
      <c r="AI531" s="12">
        <f t="shared" si="52"/>
        <v>7.7063830674828013E-2</v>
      </c>
      <c r="AJ531" s="12">
        <f t="shared" si="53"/>
        <v>7.2159940761978458E-2</v>
      </c>
      <c r="AK531" s="6" t="s">
        <v>66</v>
      </c>
      <c r="AL531" s="18"/>
      <c r="AM531" s="23"/>
      <c r="AN531" s="24">
        <v>1E-3</v>
      </c>
      <c r="AO531" s="25" t="b">
        <v>1</v>
      </c>
      <c r="AP531" s="23" t="s">
        <v>702</v>
      </c>
      <c r="AQ531" s="25" t="b">
        <v>0</v>
      </c>
      <c r="AR531" s="23"/>
      <c r="AS531" s="23" t="s">
        <v>68</v>
      </c>
    </row>
    <row r="532" spans="1:45" ht="60">
      <c r="A532" s="6">
        <v>517</v>
      </c>
      <c r="B532" s="6" t="s">
        <v>1463</v>
      </c>
      <c r="C532" s="6" t="s">
        <v>1464</v>
      </c>
      <c r="D532" s="6" t="s">
        <v>1412</v>
      </c>
      <c r="E532" s="6" t="s">
        <v>11</v>
      </c>
      <c r="F532" s="9">
        <v>5.5</v>
      </c>
      <c r="G532" s="9">
        <v>5.5</v>
      </c>
      <c r="H532" s="10">
        <v>972</v>
      </c>
      <c r="I532" s="11">
        <v>1.92</v>
      </c>
      <c r="J532" s="11">
        <v>1.21</v>
      </c>
      <c r="K532" s="12">
        <f t="shared" si="48"/>
        <v>0.17777777777777776</v>
      </c>
      <c r="L532" s="12">
        <f t="shared" si="49"/>
        <v>0.11203703703703703</v>
      </c>
      <c r="M532" s="10">
        <v>0</v>
      </c>
      <c r="N532" s="10">
        <v>2</v>
      </c>
      <c r="O532" s="10">
        <v>46</v>
      </c>
      <c r="P532" s="10">
        <v>1.9</v>
      </c>
      <c r="Q532" s="10">
        <v>10</v>
      </c>
      <c r="R532" s="11">
        <v>7.13</v>
      </c>
      <c r="S532" s="6"/>
      <c r="T532" s="6"/>
      <c r="U532" s="6"/>
      <c r="V532" s="7" t="b">
        <v>0</v>
      </c>
      <c r="W532" s="8">
        <f>IFERROR(VLOOKUP(D532,Teams!$B$2:$I$21,6,FALSE),"")</f>
        <v>0</v>
      </c>
      <c r="X532" s="2" t="s">
        <v>65</v>
      </c>
      <c r="Y532" s="13"/>
      <c r="Z532" s="14"/>
      <c r="AA532" s="15">
        <f>IFERROR(H532/(H532+Priors!$G$3),0)</f>
        <v>0.49290060851926976</v>
      </c>
      <c r="AB532" s="16">
        <f>VLOOKUP(E532,Priors!$A$3:$C$6,2,FALSE)</f>
        <v>0.15714383234350468</v>
      </c>
      <c r="AC532" s="16">
        <f>VLOOKUP(E532,Priors!$A$3:$C$6,3,FALSE)</f>
        <v>0.13222062939449797</v>
      </c>
      <c r="AD532" s="12">
        <f t="shared" si="50"/>
        <v>0.16731431660421128</v>
      </c>
      <c r="AE532" s="12">
        <f t="shared" si="51"/>
        <v>0.12227212443940058</v>
      </c>
      <c r="AF532" s="17">
        <v>1</v>
      </c>
      <c r="AG532" s="17">
        <v>1</v>
      </c>
      <c r="AH532" s="16">
        <f>IFERROR(VLOOKUP(D532,Teams!$B$2:$I$21,7,FALSE),1)</f>
        <v>1</v>
      </c>
      <c r="AI532" s="12">
        <f t="shared" si="52"/>
        <v>0.16731431660421128</v>
      </c>
      <c r="AJ532" s="12">
        <f t="shared" si="53"/>
        <v>0.12227212443940058</v>
      </c>
      <c r="AK532" s="6" t="s">
        <v>80</v>
      </c>
      <c r="AL532" s="18">
        <v>0</v>
      </c>
      <c r="AM532" s="23" t="s">
        <v>209</v>
      </c>
      <c r="AN532" s="24">
        <v>0</v>
      </c>
      <c r="AO532" s="25" t="b">
        <v>1</v>
      </c>
      <c r="AP532" s="23" t="s">
        <v>302</v>
      </c>
      <c r="AQ532" s="25" t="b">
        <v>0</v>
      </c>
      <c r="AR532" s="23"/>
      <c r="AS532" s="23" t="s">
        <v>68</v>
      </c>
    </row>
    <row r="533" spans="1:45" ht="60">
      <c r="A533" s="6">
        <v>518</v>
      </c>
      <c r="B533" s="6" t="s">
        <v>1465</v>
      </c>
      <c r="C533" s="6" t="s">
        <v>1466</v>
      </c>
      <c r="D533" s="6" t="s">
        <v>1412</v>
      </c>
      <c r="E533" s="6" t="s">
        <v>11</v>
      </c>
      <c r="F533" s="9">
        <v>5</v>
      </c>
      <c r="G533" s="9">
        <v>5</v>
      </c>
      <c r="H533" s="10">
        <v>1388</v>
      </c>
      <c r="I533" s="11">
        <v>1.63</v>
      </c>
      <c r="J533" s="11">
        <v>1.1100000000000001</v>
      </c>
      <c r="K533" s="12">
        <f t="shared" si="48"/>
        <v>0.10569164265129682</v>
      </c>
      <c r="L533" s="12">
        <f t="shared" si="49"/>
        <v>7.1974063400576369E-2</v>
      </c>
      <c r="M533" s="10">
        <v>2</v>
      </c>
      <c r="N533" s="10">
        <v>4</v>
      </c>
      <c r="O533" s="10">
        <v>71</v>
      </c>
      <c r="P533" s="10">
        <v>2.7</v>
      </c>
      <c r="Q533" s="10">
        <v>13</v>
      </c>
      <c r="R533" s="11">
        <v>11.87</v>
      </c>
      <c r="S533" s="6"/>
      <c r="T533" s="6"/>
      <c r="U533" s="6"/>
      <c r="V533" s="7" t="b">
        <v>0</v>
      </c>
      <c r="W533" s="8">
        <f>IFERROR(VLOOKUP(D533,Teams!$B$2:$I$21,6,FALSE),"")</f>
        <v>0</v>
      </c>
      <c r="X533" s="2" t="s">
        <v>65</v>
      </c>
      <c r="Y533" s="13"/>
      <c r="Z533" s="14"/>
      <c r="AA533" s="15">
        <f>IFERROR(H533/(H533+Priors!$G$3),0)</f>
        <v>0.58123953098827474</v>
      </c>
      <c r="AB533" s="16">
        <f>VLOOKUP(E533,Priors!$A$3:$C$6,2,FALSE)</f>
        <v>0.15714383234350468</v>
      </c>
      <c r="AC533" s="16">
        <f>VLOOKUP(E533,Priors!$A$3:$C$6,3,FALSE)</f>
        <v>0.13222062939449797</v>
      </c>
      <c r="AD533" s="12">
        <f t="shared" si="50"/>
        <v>0.12723778573848604</v>
      </c>
      <c r="AE533" s="12">
        <f t="shared" si="51"/>
        <v>9.7202943632536842E-2</v>
      </c>
      <c r="AF533" s="17">
        <v>1</v>
      </c>
      <c r="AG533" s="17">
        <v>1</v>
      </c>
      <c r="AH533" s="16">
        <f>IFERROR(VLOOKUP(D533,Teams!$B$2:$I$21,7,FALSE),1)</f>
        <v>1</v>
      </c>
      <c r="AI533" s="12">
        <f t="shared" si="52"/>
        <v>0.12723778573848604</v>
      </c>
      <c r="AJ533" s="12">
        <f t="shared" si="53"/>
        <v>9.7202943632536842E-2</v>
      </c>
      <c r="AK533" s="6" t="s">
        <v>66</v>
      </c>
      <c r="AL533" s="18"/>
      <c r="AM533" s="23"/>
      <c r="AN533" s="24">
        <v>4.0000000000000001E-3</v>
      </c>
      <c r="AO533" s="25" t="b">
        <v>1</v>
      </c>
      <c r="AP533" s="23" t="s">
        <v>1467</v>
      </c>
      <c r="AQ533" s="25" t="b">
        <v>0</v>
      </c>
      <c r="AR533" s="23"/>
      <c r="AS533" s="23" t="s">
        <v>68</v>
      </c>
    </row>
    <row r="534" spans="1:45" ht="60">
      <c r="A534" s="6">
        <v>519</v>
      </c>
      <c r="B534" s="6" t="s">
        <v>1468</v>
      </c>
      <c r="C534" s="6" t="s">
        <v>1469</v>
      </c>
      <c r="D534" s="6" t="s">
        <v>1412</v>
      </c>
      <c r="E534" s="6" t="s">
        <v>11</v>
      </c>
      <c r="F534" s="9">
        <v>5.5</v>
      </c>
      <c r="G534" s="9">
        <v>5.5</v>
      </c>
      <c r="H534" s="10">
        <v>1183</v>
      </c>
      <c r="I534" s="11">
        <v>1.23</v>
      </c>
      <c r="J534" s="11">
        <v>0.7</v>
      </c>
      <c r="K534" s="12">
        <f t="shared" si="48"/>
        <v>9.3575655114116654E-2</v>
      </c>
      <c r="L534" s="12">
        <f t="shared" si="49"/>
        <v>5.325443786982248E-2</v>
      </c>
      <c r="M534" s="10">
        <v>1</v>
      </c>
      <c r="N534" s="10">
        <v>1</v>
      </c>
      <c r="O534" s="10">
        <v>44</v>
      </c>
      <c r="P534" s="10">
        <v>2.8</v>
      </c>
      <c r="Q534" s="10">
        <v>14</v>
      </c>
      <c r="R534" s="11">
        <v>9.43</v>
      </c>
      <c r="S534" s="6"/>
      <c r="T534" s="6"/>
      <c r="U534" s="6"/>
      <c r="V534" s="7" t="b">
        <v>0</v>
      </c>
      <c r="W534" s="8">
        <f>IFERROR(VLOOKUP(D534,Teams!$B$2:$I$21,6,FALSE),"")</f>
        <v>0</v>
      </c>
      <c r="X534" s="2" t="s">
        <v>65</v>
      </c>
      <c r="Y534" s="13"/>
      <c r="Z534" s="14"/>
      <c r="AA534" s="15">
        <f>IFERROR(H534/(H534+Priors!$G$3),0)</f>
        <v>0.54191479615208427</v>
      </c>
      <c r="AB534" s="16">
        <f>VLOOKUP(E534,Priors!$A$3:$C$6,2,FALSE)</f>
        <v>0.15714383234350468</v>
      </c>
      <c r="AC534" s="16">
        <f>VLOOKUP(E534,Priors!$A$3:$C$6,3,FALSE)</f>
        <v>0.13222062939449797</v>
      </c>
      <c r="AD534" s="12">
        <f t="shared" si="50"/>
        <v>0.1226952965384813</v>
      </c>
      <c r="AE534" s="12">
        <f t="shared" si="51"/>
        <v>8.9427681811497017E-2</v>
      </c>
      <c r="AF534" s="17">
        <v>1</v>
      </c>
      <c r="AG534" s="17">
        <v>1</v>
      </c>
      <c r="AH534" s="16">
        <f>IFERROR(VLOOKUP(D534,Teams!$B$2:$I$21,7,FALSE),1)</f>
        <v>1</v>
      </c>
      <c r="AI534" s="12">
        <f t="shared" si="52"/>
        <v>0.1226952965384813</v>
      </c>
      <c r="AJ534" s="12">
        <f t="shared" si="53"/>
        <v>8.9427681811497017E-2</v>
      </c>
      <c r="AK534" s="6" t="s">
        <v>66</v>
      </c>
      <c r="AL534" s="18"/>
      <c r="AM534" s="23"/>
      <c r="AN534" s="24">
        <v>2E-3</v>
      </c>
      <c r="AO534" s="25" t="b">
        <v>1</v>
      </c>
      <c r="AP534" s="23" t="s">
        <v>1470</v>
      </c>
      <c r="AQ534" s="25" t="b">
        <v>0</v>
      </c>
      <c r="AR534" s="23"/>
      <c r="AS534" s="23" t="s">
        <v>68</v>
      </c>
    </row>
    <row r="535" spans="1:45" ht="60">
      <c r="A535" s="6">
        <v>520</v>
      </c>
      <c r="B535" s="6" t="s">
        <v>1471</v>
      </c>
      <c r="C535" s="6" t="s">
        <v>1472</v>
      </c>
      <c r="D535" s="6" t="s">
        <v>1412</v>
      </c>
      <c r="E535" s="6" t="s">
        <v>11</v>
      </c>
      <c r="F535" s="9">
        <v>5.5</v>
      </c>
      <c r="G535" s="9">
        <v>5.5</v>
      </c>
      <c r="H535" s="10">
        <v>955</v>
      </c>
      <c r="I535" s="11">
        <v>1.23</v>
      </c>
      <c r="J535" s="11">
        <v>0.43</v>
      </c>
      <c r="K535" s="12">
        <f t="shared" si="48"/>
        <v>0.11591623036649215</v>
      </c>
      <c r="L535" s="12">
        <f t="shared" si="49"/>
        <v>4.0523560209424089E-2</v>
      </c>
      <c r="M535" s="10">
        <v>1</v>
      </c>
      <c r="N535" s="10">
        <v>3</v>
      </c>
      <c r="O535" s="10">
        <v>49</v>
      </c>
      <c r="P535" s="10">
        <v>2.1</v>
      </c>
      <c r="Q535" s="10">
        <v>11</v>
      </c>
      <c r="R535" s="11">
        <v>7.45</v>
      </c>
      <c r="S535" s="6"/>
      <c r="T535" s="6"/>
      <c r="U535" s="6"/>
      <c r="V535" s="7" t="b">
        <v>0</v>
      </c>
      <c r="W535" s="8">
        <f>IFERROR(VLOOKUP(D535,Teams!$B$2:$I$21,6,FALSE),"")</f>
        <v>0</v>
      </c>
      <c r="X535" s="2" t="s">
        <v>65</v>
      </c>
      <c r="Y535" s="13"/>
      <c r="Z535" s="14"/>
      <c r="AA535" s="15">
        <f>IFERROR(H535/(H535+Priors!$G$3),0)</f>
        <v>0.48849104859335041</v>
      </c>
      <c r="AB535" s="16">
        <f>VLOOKUP(E535,Priors!$A$3:$C$6,2,FALSE)</f>
        <v>0.15714383234350468</v>
      </c>
      <c r="AC535" s="16">
        <f>VLOOKUP(E535,Priors!$A$3:$C$6,3,FALSE)</f>
        <v>0.13222062939449797</v>
      </c>
      <c r="AD535" s="12">
        <f t="shared" si="50"/>
        <v>0.13700451782276452</v>
      </c>
      <c r="AE535" s="12">
        <f t="shared" si="51"/>
        <v>8.7427431915344217E-2</v>
      </c>
      <c r="AF535" s="17">
        <v>1</v>
      </c>
      <c r="AG535" s="17">
        <v>1</v>
      </c>
      <c r="AH535" s="16">
        <f>IFERROR(VLOOKUP(D535,Teams!$B$2:$I$21,7,FALSE),1)</f>
        <v>1</v>
      </c>
      <c r="AI535" s="12">
        <f t="shared" si="52"/>
        <v>0.13700451782276452</v>
      </c>
      <c r="AJ535" s="12">
        <f t="shared" si="53"/>
        <v>8.7427431915344217E-2</v>
      </c>
      <c r="AK535" s="6" t="s">
        <v>66</v>
      </c>
      <c r="AL535" s="18"/>
      <c r="AM535" s="23"/>
      <c r="AN535" s="24">
        <v>2E-3</v>
      </c>
      <c r="AO535" s="25" t="b">
        <v>1</v>
      </c>
      <c r="AP535" s="23" t="s">
        <v>201</v>
      </c>
      <c r="AQ535" s="25" t="b">
        <v>0</v>
      </c>
      <c r="AR535" s="23"/>
      <c r="AS535" s="23" t="s">
        <v>68</v>
      </c>
    </row>
    <row r="536" spans="1:45" ht="60">
      <c r="A536" s="6">
        <v>521</v>
      </c>
      <c r="B536" s="6" t="s">
        <v>1473</v>
      </c>
      <c r="C536" s="6" t="s">
        <v>1474</v>
      </c>
      <c r="D536" s="6" t="s">
        <v>1412</v>
      </c>
      <c r="E536" s="6" t="s">
        <v>11</v>
      </c>
      <c r="F536" s="9">
        <v>6.5</v>
      </c>
      <c r="G536" s="9">
        <v>6.5</v>
      </c>
      <c r="H536" s="10">
        <v>0</v>
      </c>
      <c r="I536" s="11">
        <v>0</v>
      </c>
      <c r="J536" s="11">
        <v>0</v>
      </c>
      <c r="K536" s="12">
        <f t="shared" si="48"/>
        <v>0</v>
      </c>
      <c r="L536" s="12">
        <f t="shared" si="49"/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1">
        <v>0</v>
      </c>
      <c r="S536" s="6"/>
      <c r="T536" s="6"/>
      <c r="U536" s="6"/>
      <c r="V536" s="7" t="b">
        <v>0</v>
      </c>
      <c r="W536" s="8">
        <f>IFERROR(VLOOKUP(D536,Teams!$B$2:$I$21,6,FALSE),"")</f>
        <v>0</v>
      </c>
      <c r="X536" s="2" t="s">
        <v>65</v>
      </c>
      <c r="Y536" s="13"/>
      <c r="Z536" s="14"/>
      <c r="AA536" s="15">
        <f>IFERROR(H536/(H536+Priors!$G$3),0)</f>
        <v>0</v>
      </c>
      <c r="AB536" s="16">
        <f>VLOOKUP(E536,Priors!$A$3:$C$6,2,FALSE)</f>
        <v>0.15714383234350468</v>
      </c>
      <c r="AC536" s="16">
        <f>VLOOKUP(E536,Priors!$A$3:$C$6,3,FALSE)</f>
        <v>0.13222062939449797</v>
      </c>
      <c r="AD536" s="12">
        <f t="shared" si="50"/>
        <v>0.15714383234350468</v>
      </c>
      <c r="AE536" s="12">
        <f t="shared" si="51"/>
        <v>0.13222062939449797</v>
      </c>
      <c r="AF536" s="17">
        <v>1</v>
      </c>
      <c r="AG536" s="17">
        <v>1</v>
      </c>
      <c r="AH536" s="16">
        <f>IFERROR(VLOOKUP(D536,Teams!$B$2:$I$21,7,FALSE),1)</f>
        <v>1</v>
      </c>
      <c r="AI536" s="12">
        <f t="shared" si="52"/>
        <v>0.15714383234350468</v>
      </c>
      <c r="AJ536" s="12">
        <f t="shared" si="53"/>
        <v>0.13222062939449797</v>
      </c>
      <c r="AK536" s="6" t="s">
        <v>80</v>
      </c>
      <c r="AL536" s="18">
        <v>0</v>
      </c>
      <c r="AM536" s="23" t="s">
        <v>209</v>
      </c>
      <c r="AN536" s="24">
        <v>0</v>
      </c>
      <c r="AO536" s="25" t="b">
        <v>1</v>
      </c>
      <c r="AP536" s="23" t="s">
        <v>273</v>
      </c>
      <c r="AQ536" s="25" t="b">
        <v>0</v>
      </c>
      <c r="AR536" s="23"/>
      <c r="AS536" s="23" t="s">
        <v>68</v>
      </c>
    </row>
    <row r="537" spans="1:45" ht="60">
      <c r="A537" s="6">
        <v>522</v>
      </c>
      <c r="B537" s="6" t="s">
        <v>1475</v>
      </c>
      <c r="C537" s="6" t="s">
        <v>1476</v>
      </c>
      <c r="D537" s="6" t="s">
        <v>1412</v>
      </c>
      <c r="E537" s="6" t="s">
        <v>11</v>
      </c>
      <c r="F537" s="9">
        <v>5</v>
      </c>
      <c r="G537" s="9">
        <v>5</v>
      </c>
      <c r="H537" s="10">
        <v>1471</v>
      </c>
      <c r="I537" s="11">
        <v>1.5</v>
      </c>
      <c r="J537" s="11">
        <v>1.29</v>
      </c>
      <c r="K537" s="12">
        <f t="shared" si="48"/>
        <v>9.1774303195105364E-2</v>
      </c>
      <c r="L537" s="12">
        <f t="shared" si="49"/>
        <v>7.8925900747790628E-2</v>
      </c>
      <c r="M537" s="10">
        <v>2</v>
      </c>
      <c r="N537" s="10">
        <v>2</v>
      </c>
      <c r="O537" s="10">
        <v>61</v>
      </c>
      <c r="P537" s="10">
        <v>2.5</v>
      </c>
      <c r="Q537" s="10">
        <v>18</v>
      </c>
      <c r="R537" s="11">
        <v>8.08</v>
      </c>
      <c r="S537" s="6"/>
      <c r="T537" s="6"/>
      <c r="U537" s="6"/>
      <c r="V537" s="7" t="b">
        <v>0</v>
      </c>
      <c r="W537" s="8">
        <f>IFERROR(VLOOKUP(D537,Teams!$B$2:$I$21,6,FALSE),"")</f>
        <v>0</v>
      </c>
      <c r="X537" s="2" t="s">
        <v>65</v>
      </c>
      <c r="Y537" s="13"/>
      <c r="Z537" s="14"/>
      <c r="AA537" s="15">
        <f>IFERROR(H537/(H537+Priors!$G$3),0)</f>
        <v>0.59530554431404292</v>
      </c>
      <c r="AB537" s="16">
        <f>VLOOKUP(E537,Priors!$A$3:$C$6,2,FALSE)</f>
        <v>0.15714383234350468</v>
      </c>
      <c r="AC537" s="16">
        <f>VLOOKUP(E537,Priors!$A$3:$C$6,3,FALSE)</f>
        <v>0.13222062939449797</v>
      </c>
      <c r="AD537" s="12">
        <f t="shared" si="50"/>
        <v>0.11822898921226413</v>
      </c>
      <c r="AE537" s="12">
        <f t="shared" si="51"/>
        <v>0.10049398194840065</v>
      </c>
      <c r="AF537" s="17">
        <v>1</v>
      </c>
      <c r="AG537" s="17">
        <v>1</v>
      </c>
      <c r="AH537" s="16">
        <f>IFERROR(VLOOKUP(D537,Teams!$B$2:$I$21,7,FALSE),1)</f>
        <v>1</v>
      </c>
      <c r="AI537" s="12">
        <f t="shared" si="52"/>
        <v>0.11822898921226413</v>
      </c>
      <c r="AJ537" s="12">
        <f t="shared" si="53"/>
        <v>0.10049398194840065</v>
      </c>
      <c r="AK537" s="6" t="s">
        <v>66</v>
      </c>
      <c r="AL537" s="18"/>
      <c r="AM537" s="23"/>
      <c r="AN537" s="24">
        <v>2E-3</v>
      </c>
      <c r="AO537" s="25" t="b">
        <v>1</v>
      </c>
      <c r="AP537" s="23" t="s">
        <v>986</v>
      </c>
      <c r="AQ537" s="25" t="b">
        <v>0</v>
      </c>
      <c r="AR537" s="23"/>
      <c r="AS537" s="23" t="s">
        <v>68</v>
      </c>
    </row>
    <row r="538" spans="1:45" ht="60">
      <c r="A538" s="6">
        <v>523</v>
      </c>
      <c r="B538" s="6" t="s">
        <v>1477</v>
      </c>
      <c r="C538" s="6" t="s">
        <v>1478</v>
      </c>
      <c r="D538" s="6" t="s">
        <v>1412</v>
      </c>
      <c r="E538" s="6" t="s">
        <v>11</v>
      </c>
      <c r="F538" s="9">
        <v>5</v>
      </c>
      <c r="G538" s="9">
        <v>5</v>
      </c>
      <c r="H538" s="10">
        <v>0</v>
      </c>
      <c r="I538" s="11">
        <v>0</v>
      </c>
      <c r="J538" s="11">
        <v>0</v>
      </c>
      <c r="K538" s="12">
        <f t="shared" si="48"/>
        <v>0</v>
      </c>
      <c r="L538" s="12">
        <f t="shared" si="49"/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1">
        <v>0</v>
      </c>
      <c r="S538" s="6"/>
      <c r="T538" s="6"/>
      <c r="U538" s="6"/>
      <c r="V538" s="7" t="b">
        <v>0</v>
      </c>
      <c r="W538" s="8">
        <f>IFERROR(VLOOKUP(D538,Teams!$B$2:$I$21,6,FALSE),"")</f>
        <v>0</v>
      </c>
      <c r="X538" s="2" t="s">
        <v>65</v>
      </c>
      <c r="Y538" s="13"/>
      <c r="Z538" s="14"/>
      <c r="AA538" s="15">
        <f>IFERROR(H538/(H538+Priors!$G$3),0)</f>
        <v>0</v>
      </c>
      <c r="AB538" s="16">
        <f>VLOOKUP(E538,Priors!$A$3:$C$6,2,FALSE)</f>
        <v>0.15714383234350468</v>
      </c>
      <c r="AC538" s="16">
        <f>VLOOKUP(E538,Priors!$A$3:$C$6,3,FALSE)</f>
        <v>0.13222062939449797</v>
      </c>
      <c r="AD538" s="12">
        <f t="shared" si="50"/>
        <v>0.15714383234350468</v>
      </c>
      <c r="AE538" s="12">
        <f t="shared" si="51"/>
        <v>0.13222062939449797</v>
      </c>
      <c r="AF538" s="17">
        <v>1</v>
      </c>
      <c r="AG538" s="17">
        <v>1</v>
      </c>
      <c r="AH538" s="16">
        <f>IFERROR(VLOOKUP(D538,Teams!$B$2:$I$21,7,FALSE),1)</f>
        <v>1</v>
      </c>
      <c r="AI538" s="12">
        <f t="shared" si="52"/>
        <v>0.15714383234350468</v>
      </c>
      <c r="AJ538" s="12">
        <f t="shared" si="53"/>
        <v>0.13222062939449797</v>
      </c>
      <c r="AK538" s="6" t="s">
        <v>66</v>
      </c>
      <c r="AL538" s="18"/>
      <c r="AM538" s="23"/>
      <c r="AN538" s="24">
        <v>1E-3</v>
      </c>
      <c r="AO538" s="25" t="b">
        <v>1</v>
      </c>
      <c r="AP538" s="23" t="s">
        <v>1479</v>
      </c>
      <c r="AQ538" s="25" t="b">
        <v>0</v>
      </c>
      <c r="AR538" s="23"/>
      <c r="AS538" s="23" t="s">
        <v>68</v>
      </c>
    </row>
    <row r="539" spans="1:45" ht="60">
      <c r="A539" s="6">
        <v>524</v>
      </c>
      <c r="B539" s="6" t="s">
        <v>1480</v>
      </c>
      <c r="C539" s="6" t="s">
        <v>1481</v>
      </c>
      <c r="D539" s="6" t="s">
        <v>1412</v>
      </c>
      <c r="E539" s="6" t="s">
        <v>11</v>
      </c>
      <c r="F539" s="9">
        <v>4.5</v>
      </c>
      <c r="G539" s="9">
        <v>4.5</v>
      </c>
      <c r="H539" s="10">
        <v>14</v>
      </c>
      <c r="I539" s="11">
        <v>0</v>
      </c>
      <c r="J539" s="11">
        <v>0.01</v>
      </c>
      <c r="K539" s="12">
        <f t="shared" si="48"/>
        <v>0</v>
      </c>
      <c r="L539" s="12">
        <f t="shared" si="49"/>
        <v>6.4285714285714293E-2</v>
      </c>
      <c r="M539" s="10">
        <v>0</v>
      </c>
      <c r="N539" s="10">
        <v>0</v>
      </c>
      <c r="O539" s="10">
        <v>1</v>
      </c>
      <c r="P539" s="10">
        <v>1</v>
      </c>
      <c r="Q539" s="10">
        <v>0</v>
      </c>
      <c r="R539" s="11">
        <v>12.86</v>
      </c>
      <c r="S539" s="6"/>
      <c r="T539" s="6"/>
      <c r="U539" s="6"/>
      <c r="V539" s="7" t="b">
        <v>1</v>
      </c>
      <c r="W539" s="8">
        <f>IFERROR(VLOOKUP(D539,Teams!$B$2:$I$21,6,FALSE),"")</f>
        <v>0</v>
      </c>
      <c r="X539" s="2" t="s">
        <v>65</v>
      </c>
      <c r="Y539" s="13"/>
      <c r="Z539" s="14"/>
      <c r="AA539" s="15">
        <f>IFERROR(H539/(H539+Priors!$G$3),0)</f>
        <v>1.3806706114398421E-2</v>
      </c>
      <c r="AB539" s="16">
        <f>VLOOKUP(E539,Priors!$A$3:$C$6,2,FALSE)</f>
        <v>0.15714383234350468</v>
      </c>
      <c r="AC539" s="16">
        <f>VLOOKUP(E539,Priors!$A$3:$C$6,3,FALSE)</f>
        <v>0.13222062939449797</v>
      </c>
      <c r="AD539" s="12">
        <f t="shared" si="50"/>
        <v>0.15497419363264761</v>
      </c>
      <c r="AE539" s="12">
        <f t="shared" si="51"/>
        <v>0.13128267198668439</v>
      </c>
      <c r="AF539" s="17">
        <v>1</v>
      </c>
      <c r="AG539" s="17">
        <v>1</v>
      </c>
      <c r="AH539" s="16">
        <f>IFERROR(VLOOKUP(D539,Teams!$B$2:$I$21,7,FALSE),1)</f>
        <v>1</v>
      </c>
      <c r="AI539" s="12">
        <f t="shared" si="52"/>
        <v>0.15497419363264761</v>
      </c>
      <c r="AJ539" s="12">
        <f t="shared" si="53"/>
        <v>0.13128267198668439</v>
      </c>
      <c r="AK539" s="6" t="s">
        <v>66</v>
      </c>
      <c r="AL539" s="18"/>
      <c r="AM539" s="23"/>
      <c r="AN539" s="24">
        <v>9.0000000000000011E-3</v>
      </c>
      <c r="AO539" s="25" t="b">
        <v>1</v>
      </c>
      <c r="AP539" s="23" t="s">
        <v>65</v>
      </c>
      <c r="AQ539" s="25" t="b">
        <v>0</v>
      </c>
      <c r="AR539" s="23"/>
      <c r="AS539" s="23" t="s">
        <v>68</v>
      </c>
    </row>
    <row r="540" spans="1:45" ht="60">
      <c r="A540" s="6">
        <v>525</v>
      </c>
      <c r="B540" s="6" t="s">
        <v>1482</v>
      </c>
      <c r="C540" s="6" t="s">
        <v>1483</v>
      </c>
      <c r="D540" s="6" t="s">
        <v>1412</v>
      </c>
      <c r="E540" s="6" t="s">
        <v>11</v>
      </c>
      <c r="F540" s="9">
        <v>6</v>
      </c>
      <c r="G540" s="9">
        <v>6</v>
      </c>
      <c r="H540" s="10">
        <v>3017</v>
      </c>
      <c r="I540" s="11">
        <v>1.99</v>
      </c>
      <c r="J540" s="11">
        <v>2.96</v>
      </c>
      <c r="K540" s="12">
        <f t="shared" si="48"/>
        <v>5.9363606231355649E-2</v>
      </c>
      <c r="L540" s="12">
        <f t="shared" si="49"/>
        <v>8.8299635399403373E-2</v>
      </c>
      <c r="M540" s="10">
        <v>3</v>
      </c>
      <c r="N540" s="10">
        <v>4</v>
      </c>
      <c r="O540" s="10">
        <v>135</v>
      </c>
      <c r="P540" s="10">
        <v>3.8</v>
      </c>
      <c r="Q540" s="10">
        <v>35</v>
      </c>
      <c r="R540" s="11">
        <v>11.01</v>
      </c>
      <c r="S540" s="6"/>
      <c r="T540" s="6"/>
      <c r="U540" s="6"/>
      <c r="V540" s="7" t="b">
        <v>1</v>
      </c>
      <c r="W540" s="8">
        <f>IFERROR(VLOOKUP(D540,Teams!$B$2:$I$21,6,FALSE),"")</f>
        <v>0</v>
      </c>
      <c r="X540" s="2" t="s">
        <v>65</v>
      </c>
      <c r="Y540" s="13"/>
      <c r="Z540" s="14"/>
      <c r="AA540" s="15">
        <f>IFERROR(H540/(H540+Priors!$G$3),0)</f>
        <v>0.75105800348518792</v>
      </c>
      <c r="AB540" s="16">
        <f>VLOOKUP(E540,Priors!$A$3:$C$6,2,FALSE)</f>
        <v>0.15714383234350468</v>
      </c>
      <c r="AC540" s="16">
        <f>VLOOKUP(E540,Priors!$A$3:$C$6,3,FALSE)</f>
        <v>0.13222062939449797</v>
      </c>
      <c r="AD540" s="12">
        <f t="shared" si="50"/>
        <v>8.3705210939383795E-2</v>
      </c>
      <c r="AE540" s="12">
        <f t="shared" si="51"/>
        <v>9.9233415333457309E-2</v>
      </c>
      <c r="AF540" s="17">
        <v>1</v>
      </c>
      <c r="AG540" s="17">
        <v>1</v>
      </c>
      <c r="AH540" s="16">
        <f>IFERROR(VLOOKUP(D540,Teams!$B$2:$I$21,7,FALSE),1)</f>
        <v>1</v>
      </c>
      <c r="AI540" s="12">
        <f t="shared" si="52"/>
        <v>8.3705210939383795E-2</v>
      </c>
      <c r="AJ540" s="12">
        <f t="shared" si="53"/>
        <v>9.9233415333457309E-2</v>
      </c>
      <c r="AK540" s="6" t="s">
        <v>66</v>
      </c>
      <c r="AL540" s="18"/>
      <c r="AM540" s="23"/>
      <c r="AN540" s="24">
        <v>3.7000000000000005E-2</v>
      </c>
      <c r="AO540" s="25" t="b">
        <v>1</v>
      </c>
      <c r="AP540" s="23" t="s">
        <v>415</v>
      </c>
      <c r="AQ540" s="25" t="b">
        <v>0</v>
      </c>
      <c r="AR540" s="23"/>
      <c r="AS540" s="23" t="s">
        <v>68</v>
      </c>
    </row>
    <row r="541" spans="1:45" ht="60">
      <c r="A541" s="6">
        <v>526</v>
      </c>
      <c r="B541" s="6" t="s">
        <v>1484</v>
      </c>
      <c r="C541" s="6" t="s">
        <v>1485</v>
      </c>
      <c r="D541" s="6" t="s">
        <v>1412</v>
      </c>
      <c r="E541" s="6" t="s">
        <v>14</v>
      </c>
      <c r="F541" s="9">
        <v>6</v>
      </c>
      <c r="G541" s="9">
        <v>6</v>
      </c>
      <c r="H541" s="10">
        <v>997</v>
      </c>
      <c r="I541" s="11">
        <v>2.97</v>
      </c>
      <c r="J541" s="11">
        <v>0.34</v>
      </c>
      <c r="K541" s="12">
        <f t="shared" si="48"/>
        <v>0.26810431293881648</v>
      </c>
      <c r="L541" s="12">
        <f t="shared" si="49"/>
        <v>3.0692076228686058E-2</v>
      </c>
      <c r="M541" s="10">
        <v>3</v>
      </c>
      <c r="N541" s="10">
        <v>0</v>
      </c>
      <c r="O541" s="10">
        <v>40</v>
      </c>
      <c r="P541" s="10">
        <v>2.7</v>
      </c>
      <c r="Q541" s="10">
        <v>11</v>
      </c>
      <c r="R541" s="11">
        <v>6.41</v>
      </c>
      <c r="S541" s="6">
        <v>1</v>
      </c>
      <c r="T541" s="6"/>
      <c r="U541" s="6"/>
      <c r="V541" s="7" t="b">
        <v>0</v>
      </c>
      <c r="W541" s="8">
        <f>IFERROR(VLOOKUP(D541,Teams!$B$2:$I$21,6,FALSE),"")</f>
        <v>0</v>
      </c>
      <c r="X541" s="2" t="s">
        <v>65</v>
      </c>
      <c r="Y541" s="13"/>
      <c r="Z541" s="14"/>
      <c r="AA541" s="15">
        <f>IFERROR(H541/(H541+Priors!$G$3),0)</f>
        <v>0.49924887330996492</v>
      </c>
      <c r="AB541" s="16">
        <f>VLOOKUP(E541,Priors!$A$3:$C$6,2,FALSE)</f>
        <v>0.44625207326425426</v>
      </c>
      <c r="AC541" s="16">
        <f>VLOOKUP(E541,Priors!$A$3:$C$6,3,FALSE)</f>
        <v>5.8217260259314105E-2</v>
      </c>
      <c r="AD541" s="12">
        <f t="shared" si="50"/>
        <v>0.35731200463908575</v>
      </c>
      <c r="AE541" s="12">
        <f t="shared" si="51"/>
        <v>4.4475343144373611E-2</v>
      </c>
      <c r="AF541" s="17">
        <v>1</v>
      </c>
      <c r="AG541" s="17">
        <v>1</v>
      </c>
      <c r="AH541" s="16">
        <f>IFERROR(VLOOKUP(D541,Teams!$B$2:$I$21,7,FALSE),1)</f>
        <v>1</v>
      </c>
      <c r="AI541" s="12">
        <f t="shared" si="52"/>
        <v>0.35731200463908575</v>
      </c>
      <c r="AJ541" s="12">
        <f t="shared" si="53"/>
        <v>4.4475343144373611E-2</v>
      </c>
      <c r="AK541" s="6" t="s">
        <v>66</v>
      </c>
      <c r="AL541" s="18"/>
      <c r="AM541" s="23"/>
      <c r="AN541" s="24">
        <v>2.6000000000000002E-2</v>
      </c>
      <c r="AO541" s="25" t="b">
        <v>1</v>
      </c>
      <c r="AP541" s="23" t="s">
        <v>1486</v>
      </c>
      <c r="AQ541" s="25" t="b">
        <v>0</v>
      </c>
      <c r="AR541" s="23"/>
      <c r="AS541" s="23" t="s">
        <v>68</v>
      </c>
    </row>
    <row r="542" spans="1:45" ht="60">
      <c r="A542" s="6">
        <v>527</v>
      </c>
      <c r="B542" s="6" t="s">
        <v>1487</v>
      </c>
      <c r="C542" s="6" t="s">
        <v>1487</v>
      </c>
      <c r="D542" s="6" t="s">
        <v>1412</v>
      </c>
      <c r="E542" s="6" t="s">
        <v>14</v>
      </c>
      <c r="F542" s="9">
        <v>6</v>
      </c>
      <c r="G542" s="9">
        <v>6</v>
      </c>
      <c r="H542" s="10">
        <v>1954</v>
      </c>
      <c r="I542" s="11">
        <v>8.64</v>
      </c>
      <c r="J542" s="11">
        <v>1.46</v>
      </c>
      <c r="K542" s="12">
        <f t="shared" si="48"/>
        <v>0.39795291709314229</v>
      </c>
      <c r="L542" s="12">
        <f t="shared" si="49"/>
        <v>6.7246673490276354E-2</v>
      </c>
      <c r="M542" s="10">
        <v>11</v>
      </c>
      <c r="N542" s="10">
        <v>4</v>
      </c>
      <c r="O542" s="10">
        <v>119</v>
      </c>
      <c r="P542" s="10">
        <v>3.7</v>
      </c>
      <c r="Q542" s="10">
        <v>20</v>
      </c>
      <c r="R542" s="11">
        <v>6.77</v>
      </c>
      <c r="S542" s="6">
        <v>4</v>
      </c>
      <c r="T542" s="6"/>
      <c r="U542" s="6"/>
      <c r="V542" s="7" t="b">
        <v>0</v>
      </c>
      <c r="W542" s="8">
        <f>IFERROR(VLOOKUP(D542,Teams!$B$2:$I$21,6,FALSE),"")</f>
        <v>0</v>
      </c>
      <c r="X542" s="2" t="s">
        <v>65</v>
      </c>
      <c r="Y542" s="13"/>
      <c r="Z542" s="14"/>
      <c r="AA542" s="15">
        <f>IFERROR(H542/(H542+Priors!$G$3),0)</f>
        <v>0.66147596479350035</v>
      </c>
      <c r="AB542" s="16">
        <f>VLOOKUP(E542,Priors!$A$3:$C$6,2,FALSE)</f>
        <v>0.44625207326425426</v>
      </c>
      <c r="AC542" s="16">
        <f>VLOOKUP(E542,Priors!$A$3:$C$6,3,FALSE)</f>
        <v>5.8217260259314105E-2</v>
      </c>
      <c r="AD542" s="12">
        <f t="shared" si="50"/>
        <v>0.41430334233725602</v>
      </c>
      <c r="AE542" s="12">
        <f t="shared" si="51"/>
        <v>6.4190000087784055E-2</v>
      </c>
      <c r="AF542" s="17">
        <v>1</v>
      </c>
      <c r="AG542" s="17">
        <v>1</v>
      </c>
      <c r="AH542" s="16">
        <f>IFERROR(VLOOKUP(D542,Teams!$B$2:$I$21,7,FALSE),1)</f>
        <v>1</v>
      </c>
      <c r="AI542" s="12">
        <f t="shared" si="52"/>
        <v>0.41430334233725602</v>
      </c>
      <c r="AJ542" s="12">
        <f t="shared" si="53"/>
        <v>6.4190000087784055E-2</v>
      </c>
      <c r="AK542" s="6" t="s">
        <v>66</v>
      </c>
      <c r="AL542" s="18"/>
      <c r="AM542" s="23"/>
      <c r="AN542" s="24">
        <v>1.9E-2</v>
      </c>
      <c r="AO542" s="25" t="b">
        <v>1</v>
      </c>
      <c r="AP542" s="23" t="s">
        <v>507</v>
      </c>
      <c r="AQ542" s="25" t="b">
        <v>0</v>
      </c>
      <c r="AR542" s="23"/>
      <c r="AS542" s="23" t="s">
        <v>68</v>
      </c>
    </row>
    <row r="543" spans="1:45" ht="60">
      <c r="A543" s="6">
        <v>528</v>
      </c>
      <c r="B543" s="6" t="s">
        <v>1488</v>
      </c>
      <c r="C543" s="6" t="s">
        <v>1489</v>
      </c>
      <c r="D543" s="6" t="s">
        <v>1412</v>
      </c>
      <c r="E543" s="6" t="s">
        <v>14</v>
      </c>
      <c r="F543" s="9">
        <v>4.5</v>
      </c>
      <c r="G543" s="9">
        <v>4.5</v>
      </c>
      <c r="H543" s="10">
        <v>7</v>
      </c>
      <c r="I543" s="11">
        <v>0</v>
      </c>
      <c r="J543" s="11">
        <v>0.01</v>
      </c>
      <c r="K543" s="12">
        <f t="shared" si="48"/>
        <v>0</v>
      </c>
      <c r="L543" s="12">
        <f t="shared" si="49"/>
        <v>0.12857142857142859</v>
      </c>
      <c r="M543" s="10">
        <v>0</v>
      </c>
      <c r="N543" s="10">
        <v>0</v>
      </c>
      <c r="O543" s="10">
        <v>2</v>
      </c>
      <c r="P543" s="10">
        <v>1</v>
      </c>
      <c r="Q543" s="10">
        <v>0</v>
      </c>
      <c r="R543" s="11">
        <v>12.86</v>
      </c>
      <c r="S543" s="6"/>
      <c r="T543" s="6"/>
      <c r="U543" s="6"/>
      <c r="V543" s="7" t="b">
        <v>0</v>
      </c>
      <c r="W543" s="8">
        <f>IFERROR(VLOOKUP(D543,Teams!$B$2:$I$21,6,FALSE),"")</f>
        <v>0</v>
      </c>
      <c r="X543" s="2" t="s">
        <v>65</v>
      </c>
      <c r="Y543" s="13"/>
      <c r="Z543" s="14"/>
      <c r="AA543" s="15">
        <f>IFERROR(H543/(H543+Priors!$G$3),0)</f>
        <v>6.9513406156901684E-3</v>
      </c>
      <c r="AB543" s="16">
        <f>VLOOKUP(E543,Priors!$A$3:$C$6,2,FALSE)</f>
        <v>0.44625207326425426</v>
      </c>
      <c r="AC543" s="16">
        <f>VLOOKUP(E543,Priors!$A$3:$C$6,3,FALSE)</f>
        <v>5.8217260259314105E-2</v>
      </c>
      <c r="AD543" s="12">
        <f t="shared" si="50"/>
        <v>0.44315002310253654</v>
      </c>
      <c r="AE543" s="12">
        <f t="shared" si="51"/>
        <v>5.8706316046985209E-2</v>
      </c>
      <c r="AF543" s="17">
        <v>1</v>
      </c>
      <c r="AG543" s="17">
        <v>1</v>
      </c>
      <c r="AH543" s="16">
        <f>IFERROR(VLOOKUP(D543,Teams!$B$2:$I$21,7,FALSE),1)</f>
        <v>1</v>
      </c>
      <c r="AI543" s="12">
        <f t="shared" si="52"/>
        <v>0.44315002310253654</v>
      </c>
      <c r="AJ543" s="12">
        <f t="shared" si="53"/>
        <v>5.8706316046985209E-2</v>
      </c>
      <c r="AK543" s="6" t="s">
        <v>66</v>
      </c>
      <c r="AL543" s="18"/>
      <c r="AM543" s="23"/>
      <c r="AN543" s="24">
        <v>1.7000000000000001E-2</v>
      </c>
      <c r="AO543" s="25" t="b">
        <v>1</v>
      </c>
      <c r="AP543" s="23" t="s">
        <v>1490</v>
      </c>
      <c r="AQ543" s="25" t="b">
        <v>0</v>
      </c>
      <c r="AR543" s="23"/>
      <c r="AS543" s="23" t="s">
        <v>68</v>
      </c>
    </row>
    <row r="544" spans="1:45" ht="60">
      <c r="A544" s="6">
        <v>529</v>
      </c>
      <c r="B544" s="6" t="s">
        <v>1491</v>
      </c>
      <c r="C544" s="6" t="s">
        <v>1492</v>
      </c>
      <c r="D544" s="6" t="s">
        <v>1493</v>
      </c>
      <c r="E544" s="6" t="s">
        <v>7</v>
      </c>
      <c r="F544" s="9">
        <v>5</v>
      </c>
      <c r="G544" s="9">
        <v>5</v>
      </c>
      <c r="H544" s="10">
        <v>3150</v>
      </c>
      <c r="I544" s="11">
        <v>0</v>
      </c>
      <c r="J544" s="11">
        <v>0.1</v>
      </c>
      <c r="K544" s="12">
        <f t="shared" si="48"/>
        <v>0</v>
      </c>
      <c r="L544" s="12">
        <f t="shared" si="49"/>
        <v>2.8571428571428571E-3</v>
      </c>
      <c r="M544" s="10">
        <v>0</v>
      </c>
      <c r="N544" s="10">
        <v>0</v>
      </c>
      <c r="O544" s="10">
        <v>136</v>
      </c>
      <c r="P544" s="10">
        <v>3.9</v>
      </c>
      <c r="Q544" s="10">
        <v>35</v>
      </c>
      <c r="R544" s="11">
        <v>0</v>
      </c>
      <c r="S544" s="6"/>
      <c r="T544" s="6"/>
      <c r="U544" s="6"/>
      <c r="V544" s="7" t="b">
        <v>0</v>
      </c>
      <c r="W544" s="8">
        <f>IFERROR(VLOOKUP(D544,Teams!$B$2:$I$21,6,FALSE),"")</f>
        <v>0</v>
      </c>
      <c r="X544" s="2" t="s">
        <v>65</v>
      </c>
      <c r="Y544" s="13"/>
      <c r="Z544" s="14"/>
      <c r="AA544" s="15">
        <f>IFERROR(H544/(H544+Priors!$G$3),0)</f>
        <v>0.75903614457831325</v>
      </c>
      <c r="AB544" s="16">
        <f>VLOOKUP(E544,Priors!$A$3:$C$6,2,FALSE)</f>
        <v>2.4013207263995197E-4</v>
      </c>
      <c r="AC544" s="16">
        <f>VLOOKUP(E544,Priors!$A$3:$C$6,3,FALSE)</f>
        <v>1.9810895992796044E-3</v>
      </c>
      <c r="AD544" s="12">
        <f t="shared" si="50"/>
        <v>5.7863150033723365E-5</v>
      </c>
      <c r="AE544" s="12">
        <f t="shared" si="51"/>
        <v>2.6460456865733985E-3</v>
      </c>
      <c r="AF544" s="17">
        <v>1</v>
      </c>
      <c r="AG544" s="17">
        <v>1</v>
      </c>
      <c r="AH544" s="16">
        <f>IFERROR(VLOOKUP(D544,Teams!$B$2:$I$21,7,FALSE),1)</f>
        <v>1</v>
      </c>
      <c r="AI544" s="12">
        <f t="shared" si="52"/>
        <v>5.7863150033723365E-5</v>
      </c>
      <c r="AJ544" s="12">
        <f t="shared" si="53"/>
        <v>2.6460456865733985E-3</v>
      </c>
      <c r="AK544" s="6" t="s">
        <v>66</v>
      </c>
      <c r="AL544" s="18"/>
      <c r="AM544" s="23"/>
      <c r="AN544" s="24">
        <v>5.2999999999999999E-2</v>
      </c>
      <c r="AO544" s="25" t="b">
        <v>1</v>
      </c>
      <c r="AP544" s="23" t="s">
        <v>892</v>
      </c>
      <c r="AQ544" s="25" t="b">
        <v>0</v>
      </c>
      <c r="AR544" s="23"/>
      <c r="AS544" s="23" t="s">
        <v>68</v>
      </c>
    </row>
    <row r="545" spans="1:45" ht="60">
      <c r="A545" s="6">
        <v>530</v>
      </c>
      <c r="B545" s="6" t="s">
        <v>734</v>
      </c>
      <c r="C545" s="6" t="s">
        <v>1494</v>
      </c>
      <c r="D545" s="6" t="s">
        <v>1493</v>
      </c>
      <c r="E545" s="6" t="s">
        <v>7</v>
      </c>
      <c r="F545" s="9">
        <v>4</v>
      </c>
      <c r="G545" s="9">
        <v>4</v>
      </c>
      <c r="H545" s="10">
        <v>0</v>
      </c>
      <c r="I545" s="11">
        <v>0</v>
      </c>
      <c r="J545" s="11">
        <v>0</v>
      </c>
      <c r="K545" s="12">
        <f t="shared" si="48"/>
        <v>0</v>
      </c>
      <c r="L545" s="12">
        <f t="shared" si="49"/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1">
        <v>0</v>
      </c>
      <c r="S545" s="6"/>
      <c r="T545" s="6"/>
      <c r="U545" s="6"/>
      <c r="V545" s="7" t="b">
        <v>0</v>
      </c>
      <c r="W545" s="8">
        <f>IFERROR(VLOOKUP(D545,Teams!$B$2:$I$21,6,FALSE),"")</f>
        <v>0</v>
      </c>
      <c r="X545" s="2" t="s">
        <v>65</v>
      </c>
      <c r="Y545" s="13"/>
      <c r="Z545" s="14"/>
      <c r="AA545" s="15">
        <f>IFERROR(H545/(H545+Priors!$G$3),0)</f>
        <v>0</v>
      </c>
      <c r="AB545" s="16">
        <f>VLOOKUP(E545,Priors!$A$3:$C$6,2,FALSE)</f>
        <v>2.4013207263995197E-4</v>
      </c>
      <c r="AC545" s="16">
        <f>VLOOKUP(E545,Priors!$A$3:$C$6,3,FALSE)</f>
        <v>1.9810895992796044E-3</v>
      </c>
      <c r="AD545" s="12">
        <f t="shared" si="50"/>
        <v>2.4013207263995197E-4</v>
      </c>
      <c r="AE545" s="12">
        <f t="shared" si="51"/>
        <v>1.9810895992796044E-3</v>
      </c>
      <c r="AF545" s="17">
        <v>1</v>
      </c>
      <c r="AG545" s="17">
        <v>1</v>
      </c>
      <c r="AH545" s="16">
        <f>IFERROR(VLOOKUP(D545,Teams!$B$2:$I$21,7,FALSE),1)</f>
        <v>1</v>
      </c>
      <c r="AI545" s="12">
        <f t="shared" si="52"/>
        <v>2.4013207263995197E-4</v>
      </c>
      <c r="AJ545" s="12">
        <f t="shared" si="53"/>
        <v>1.9810895992796044E-3</v>
      </c>
      <c r="AK545" s="6" t="s">
        <v>66</v>
      </c>
      <c r="AL545" s="18"/>
      <c r="AM545" s="23"/>
      <c r="AN545" s="24">
        <v>1.1000000000000001E-2</v>
      </c>
      <c r="AO545" s="25" t="b">
        <v>1</v>
      </c>
      <c r="AP545" s="23" t="s">
        <v>1495</v>
      </c>
      <c r="AQ545" s="25" t="b">
        <v>0</v>
      </c>
      <c r="AR545" s="23"/>
      <c r="AS545" s="23" t="s">
        <v>68</v>
      </c>
    </row>
    <row r="546" spans="1:45" ht="60">
      <c r="A546" s="6">
        <v>531</v>
      </c>
      <c r="B546" s="6" t="s">
        <v>1496</v>
      </c>
      <c r="C546" s="6" t="s">
        <v>1497</v>
      </c>
      <c r="D546" s="6" t="s">
        <v>1493</v>
      </c>
      <c r="E546" s="6" t="s">
        <v>7</v>
      </c>
      <c r="F546" s="9">
        <v>4.5</v>
      </c>
      <c r="G546" s="9">
        <v>4.5</v>
      </c>
      <c r="H546" s="10">
        <v>270</v>
      </c>
      <c r="I546" s="11">
        <v>0</v>
      </c>
      <c r="J546" s="11">
        <v>0.02</v>
      </c>
      <c r="K546" s="12">
        <f t="shared" si="48"/>
        <v>0</v>
      </c>
      <c r="L546" s="12">
        <f t="shared" si="49"/>
        <v>6.6666666666666671E-3</v>
      </c>
      <c r="M546" s="10">
        <v>0</v>
      </c>
      <c r="N546" s="10">
        <v>0</v>
      </c>
      <c r="O546" s="10">
        <v>16</v>
      </c>
      <c r="P546" s="10">
        <v>5.3</v>
      </c>
      <c r="Q546" s="10">
        <v>3</v>
      </c>
      <c r="R546" s="11">
        <v>0</v>
      </c>
      <c r="S546" s="6"/>
      <c r="T546" s="6"/>
      <c r="U546" s="6"/>
      <c r="V546" s="7" t="b">
        <v>0</v>
      </c>
      <c r="W546" s="8">
        <f>IFERROR(VLOOKUP(D546,Teams!$B$2:$I$21,6,FALSE),"")</f>
        <v>0</v>
      </c>
      <c r="X546" s="2" t="s">
        <v>65</v>
      </c>
      <c r="Y546" s="13"/>
      <c r="Z546" s="14"/>
      <c r="AA546" s="15">
        <f>IFERROR(H546/(H546+Priors!$G$3),0)</f>
        <v>0.2125984251968504</v>
      </c>
      <c r="AB546" s="16">
        <f>VLOOKUP(E546,Priors!$A$3:$C$6,2,FALSE)</f>
        <v>2.4013207263995197E-4</v>
      </c>
      <c r="AC546" s="16">
        <f>VLOOKUP(E546,Priors!$A$3:$C$6,3,FALSE)</f>
        <v>1.9810895992796044E-3</v>
      </c>
      <c r="AD546" s="12">
        <f t="shared" si="50"/>
        <v>1.8908037215744248E-4</v>
      </c>
      <c r="AE546" s="12">
        <f t="shared" si="51"/>
        <v>2.9772359049445702E-3</v>
      </c>
      <c r="AF546" s="17">
        <v>1</v>
      </c>
      <c r="AG546" s="17">
        <v>1</v>
      </c>
      <c r="AH546" s="16">
        <f>IFERROR(VLOOKUP(D546,Teams!$B$2:$I$21,7,FALSE),1)</f>
        <v>1</v>
      </c>
      <c r="AI546" s="12">
        <f t="shared" si="52"/>
        <v>1.8908037215744248E-4</v>
      </c>
      <c r="AJ546" s="12">
        <f t="shared" si="53"/>
        <v>2.9772359049445702E-3</v>
      </c>
      <c r="AK546" s="6" t="s">
        <v>66</v>
      </c>
      <c r="AL546" s="18"/>
      <c r="AM546" s="23"/>
      <c r="AN546" s="24">
        <v>1E-3</v>
      </c>
      <c r="AO546" s="25" t="b">
        <v>1</v>
      </c>
      <c r="AP546" s="23" t="s">
        <v>1498</v>
      </c>
      <c r="AQ546" s="25" t="b">
        <v>0</v>
      </c>
      <c r="AR546" s="23"/>
      <c r="AS546" s="23" t="s">
        <v>68</v>
      </c>
    </row>
    <row r="547" spans="1:45" ht="60">
      <c r="A547" s="6">
        <v>532</v>
      </c>
      <c r="B547" s="6" t="s">
        <v>1499</v>
      </c>
      <c r="C547" s="6" t="s">
        <v>1500</v>
      </c>
      <c r="D547" s="6" t="s">
        <v>1493</v>
      </c>
      <c r="E547" s="6" t="s">
        <v>9</v>
      </c>
      <c r="F547" s="9">
        <v>5</v>
      </c>
      <c r="G547" s="9">
        <v>5</v>
      </c>
      <c r="H547" s="10">
        <v>2144</v>
      </c>
      <c r="I547" s="11">
        <v>2.46</v>
      </c>
      <c r="J547" s="11">
        <v>0.63</v>
      </c>
      <c r="K547" s="12">
        <f t="shared" si="48"/>
        <v>0.10326492537313434</v>
      </c>
      <c r="L547" s="12">
        <f t="shared" si="49"/>
        <v>2.644589552238806E-2</v>
      </c>
      <c r="M547" s="10">
        <v>2</v>
      </c>
      <c r="N547" s="10">
        <v>2</v>
      </c>
      <c r="O547" s="10">
        <v>116</v>
      </c>
      <c r="P547" s="10">
        <v>4</v>
      </c>
      <c r="Q547" s="10">
        <v>24</v>
      </c>
      <c r="R547" s="11">
        <v>11.08</v>
      </c>
      <c r="S547" s="6"/>
      <c r="T547" s="6"/>
      <c r="U547" s="6"/>
      <c r="V547" s="7" t="b">
        <v>0</v>
      </c>
      <c r="W547" s="8">
        <f>IFERROR(VLOOKUP(D547,Teams!$B$2:$I$21,6,FALSE),"")</f>
        <v>0</v>
      </c>
      <c r="X547" s="2" t="s">
        <v>65</v>
      </c>
      <c r="Y547" s="13"/>
      <c r="Z547" s="14"/>
      <c r="AA547" s="15">
        <f>IFERROR(H547/(H547+Priors!$G$3),0)</f>
        <v>0.68193384223918574</v>
      </c>
      <c r="AB547" s="16">
        <f>VLOOKUP(E547,Priors!$A$3:$C$6,2,FALSE)</f>
        <v>6.0081391379341341E-2</v>
      </c>
      <c r="AC547" s="16">
        <f>VLOOKUP(E547,Priors!$A$3:$C$6,3,FALSE)</f>
        <v>5.9588191961478354E-2</v>
      </c>
      <c r="AD547" s="12">
        <f t="shared" si="50"/>
        <v>8.952970463719509E-2</v>
      </c>
      <c r="AE547" s="12">
        <f t="shared" si="51"/>
        <v>3.6987338410139431E-2</v>
      </c>
      <c r="AF547" s="17">
        <v>1</v>
      </c>
      <c r="AG547" s="17">
        <v>1</v>
      </c>
      <c r="AH547" s="16">
        <f>IFERROR(VLOOKUP(D547,Teams!$B$2:$I$21,7,FALSE),1)</f>
        <v>1</v>
      </c>
      <c r="AI547" s="12">
        <f t="shared" si="52"/>
        <v>8.952970463719509E-2</v>
      </c>
      <c r="AJ547" s="12">
        <f t="shared" si="53"/>
        <v>3.6987338410139431E-2</v>
      </c>
      <c r="AK547" s="6" t="s">
        <v>66</v>
      </c>
      <c r="AL547" s="18"/>
      <c r="AM547" s="23"/>
      <c r="AN547" s="24">
        <v>3.4000000000000002E-2</v>
      </c>
      <c r="AO547" s="25" t="b">
        <v>1</v>
      </c>
      <c r="AP547" s="23" t="s">
        <v>507</v>
      </c>
      <c r="AQ547" s="25" t="b">
        <v>0</v>
      </c>
      <c r="AR547" s="23"/>
      <c r="AS547" s="23" t="s">
        <v>68</v>
      </c>
    </row>
    <row r="548" spans="1:45" ht="60">
      <c r="A548" s="6">
        <v>533</v>
      </c>
      <c r="B548" s="6" t="s">
        <v>1501</v>
      </c>
      <c r="C548" s="6" t="s">
        <v>1502</v>
      </c>
      <c r="D548" s="6" t="s">
        <v>1493</v>
      </c>
      <c r="E548" s="6" t="s">
        <v>9</v>
      </c>
      <c r="F548" s="9">
        <v>5.5</v>
      </c>
      <c r="G548" s="9">
        <v>5.5</v>
      </c>
      <c r="H548" s="10">
        <v>2784</v>
      </c>
      <c r="I548" s="11">
        <v>1.62</v>
      </c>
      <c r="J548" s="11">
        <v>2.65</v>
      </c>
      <c r="K548" s="12">
        <f t="shared" si="48"/>
        <v>5.2370689655172421E-2</v>
      </c>
      <c r="L548" s="12">
        <f t="shared" si="49"/>
        <v>8.5668103448275856E-2</v>
      </c>
      <c r="M548" s="10">
        <v>3</v>
      </c>
      <c r="N548" s="10">
        <v>5</v>
      </c>
      <c r="O548" s="10">
        <v>151</v>
      </c>
      <c r="P548" s="10">
        <v>4.7</v>
      </c>
      <c r="Q548" s="10">
        <v>32</v>
      </c>
      <c r="R548" s="11">
        <v>8.83</v>
      </c>
      <c r="S548" s="6"/>
      <c r="T548" s="6"/>
      <c r="U548" s="6"/>
      <c r="V548" s="7" t="b">
        <v>0</v>
      </c>
      <c r="W548" s="8">
        <f>IFERROR(VLOOKUP(D548,Teams!$B$2:$I$21,6,FALSE),"")</f>
        <v>0</v>
      </c>
      <c r="X548" s="2" t="s">
        <v>65</v>
      </c>
      <c r="Y548" s="13"/>
      <c r="Z548" s="14"/>
      <c r="AA548" s="15">
        <f>IFERROR(H548/(H548+Priors!$G$3),0)</f>
        <v>0.73572938689217759</v>
      </c>
      <c r="AB548" s="16">
        <f>VLOOKUP(E548,Priors!$A$3:$C$6,2,FALSE)</f>
        <v>6.0081391379341341E-2</v>
      </c>
      <c r="AC548" s="16">
        <f>VLOOKUP(E548,Priors!$A$3:$C$6,3,FALSE)</f>
        <v>5.9588191961478354E-2</v>
      </c>
      <c r="AD548" s="12">
        <f t="shared" si="50"/>
        <v>5.4408401527310087E-2</v>
      </c>
      <c r="AE548" s="12">
        <f t="shared" si="51"/>
        <v>7.8775949249862143E-2</v>
      </c>
      <c r="AF548" s="17">
        <v>1</v>
      </c>
      <c r="AG548" s="17">
        <v>1</v>
      </c>
      <c r="AH548" s="16">
        <f>IFERROR(VLOOKUP(D548,Teams!$B$2:$I$21,7,FALSE),1)</f>
        <v>1</v>
      </c>
      <c r="AI548" s="12">
        <f t="shared" si="52"/>
        <v>5.4408401527310087E-2</v>
      </c>
      <c r="AJ548" s="12">
        <f t="shared" si="53"/>
        <v>7.8775949249862143E-2</v>
      </c>
      <c r="AK548" s="6" t="s">
        <v>66</v>
      </c>
      <c r="AL548" s="18"/>
      <c r="AM548" s="23"/>
      <c r="AN548" s="24">
        <v>7.6999999999999999E-2</v>
      </c>
      <c r="AO548" s="25" t="b">
        <v>1</v>
      </c>
      <c r="AP548" s="23" t="s">
        <v>1319</v>
      </c>
      <c r="AQ548" s="25" t="b">
        <v>0</v>
      </c>
      <c r="AR548" s="23"/>
      <c r="AS548" s="23" t="s">
        <v>68</v>
      </c>
    </row>
    <row r="549" spans="1:45" ht="60">
      <c r="A549" s="6">
        <v>534</v>
      </c>
      <c r="B549" s="6" t="s">
        <v>1503</v>
      </c>
      <c r="C549" s="6" t="s">
        <v>1504</v>
      </c>
      <c r="D549" s="6" t="s">
        <v>1493</v>
      </c>
      <c r="E549" s="6" t="s">
        <v>9</v>
      </c>
      <c r="F549" s="9">
        <v>4.5</v>
      </c>
      <c r="G549" s="9">
        <v>4.5</v>
      </c>
      <c r="H549" s="10">
        <v>3032</v>
      </c>
      <c r="I549" s="11">
        <v>2.27</v>
      </c>
      <c r="J549" s="11">
        <v>2.0499999999999998</v>
      </c>
      <c r="K549" s="12">
        <f t="shared" si="48"/>
        <v>6.7381266490765174E-2</v>
      </c>
      <c r="L549" s="12">
        <f t="shared" si="49"/>
        <v>6.0850923482849595E-2</v>
      </c>
      <c r="M549" s="10">
        <v>2</v>
      </c>
      <c r="N549" s="10">
        <v>1</v>
      </c>
      <c r="O549" s="10">
        <v>110</v>
      </c>
      <c r="P549" s="10">
        <v>2.9</v>
      </c>
      <c r="Q549" s="10">
        <v>34</v>
      </c>
      <c r="R549" s="11">
        <v>6.03</v>
      </c>
      <c r="S549" s="6"/>
      <c r="T549" s="6"/>
      <c r="U549" s="6">
        <v>5</v>
      </c>
      <c r="V549" s="7" t="b">
        <v>0</v>
      </c>
      <c r="W549" s="8">
        <f>IFERROR(VLOOKUP(D549,Teams!$B$2:$I$21,6,FALSE),"")</f>
        <v>0</v>
      </c>
      <c r="X549" s="2" t="s">
        <v>65</v>
      </c>
      <c r="Y549" s="13"/>
      <c r="Z549" s="14"/>
      <c r="AA549" s="15">
        <f>IFERROR(H549/(H549+Priors!$G$3),0)</f>
        <v>0.75198412698412698</v>
      </c>
      <c r="AB549" s="16">
        <f>VLOOKUP(E549,Priors!$A$3:$C$6,2,FALSE)</f>
        <v>6.0081391379341341E-2</v>
      </c>
      <c r="AC549" s="16">
        <f>VLOOKUP(E549,Priors!$A$3:$C$6,3,FALSE)</f>
        <v>5.9588191961478354E-2</v>
      </c>
      <c r="AD549" s="12">
        <f t="shared" si="50"/>
        <v>6.5570781592098545E-2</v>
      </c>
      <c r="AE549" s="12">
        <f t="shared" si="51"/>
        <v>6.0537746022192043E-2</v>
      </c>
      <c r="AF549" s="17">
        <v>1</v>
      </c>
      <c r="AG549" s="17">
        <v>1</v>
      </c>
      <c r="AH549" s="16">
        <f>IFERROR(VLOOKUP(D549,Teams!$B$2:$I$21,7,FALSE),1)</f>
        <v>1</v>
      </c>
      <c r="AI549" s="12">
        <f t="shared" si="52"/>
        <v>6.5570781592098545E-2</v>
      </c>
      <c r="AJ549" s="12">
        <f t="shared" si="53"/>
        <v>6.0537746022192043E-2</v>
      </c>
      <c r="AK549" s="6" t="s">
        <v>66</v>
      </c>
      <c r="AL549" s="18"/>
      <c r="AM549" s="23"/>
      <c r="AN549" s="24">
        <v>0.02</v>
      </c>
      <c r="AO549" s="25" t="b">
        <v>1</v>
      </c>
      <c r="AP549" s="23" t="s">
        <v>736</v>
      </c>
      <c r="AQ549" s="25" t="b">
        <v>0</v>
      </c>
      <c r="AR549" s="23"/>
      <c r="AS549" s="23" t="s">
        <v>68</v>
      </c>
    </row>
    <row r="550" spans="1:45" ht="60">
      <c r="A550" s="6">
        <v>535</v>
      </c>
      <c r="B550" s="6" t="s">
        <v>1505</v>
      </c>
      <c r="C550" s="6" t="s">
        <v>1506</v>
      </c>
      <c r="D550" s="6" t="s">
        <v>1493</v>
      </c>
      <c r="E550" s="6" t="s">
        <v>9</v>
      </c>
      <c r="F550" s="9">
        <v>5</v>
      </c>
      <c r="G550" s="9">
        <v>5</v>
      </c>
      <c r="H550" s="10">
        <v>2797</v>
      </c>
      <c r="I550" s="11">
        <v>1.62</v>
      </c>
      <c r="J550" s="11">
        <v>0.91</v>
      </c>
      <c r="K550" s="12">
        <f t="shared" si="48"/>
        <v>5.2127279227744017E-2</v>
      </c>
      <c r="L550" s="12">
        <f t="shared" si="49"/>
        <v>2.9281372899535217E-2</v>
      </c>
      <c r="M550" s="10">
        <v>1</v>
      </c>
      <c r="N550" s="10">
        <v>1</v>
      </c>
      <c r="O550" s="10">
        <v>125</v>
      </c>
      <c r="P550" s="10">
        <v>3.8</v>
      </c>
      <c r="Q550" s="10">
        <v>32</v>
      </c>
      <c r="R550" s="11">
        <v>10.039999999999999</v>
      </c>
      <c r="S550" s="6"/>
      <c r="T550" s="6"/>
      <c r="U550" s="6"/>
      <c r="V550" s="7" t="b">
        <v>0</v>
      </c>
      <c r="W550" s="8">
        <f>IFERROR(VLOOKUP(D550,Teams!$B$2:$I$21,6,FALSE),"")</f>
        <v>0</v>
      </c>
      <c r="X550" s="2" t="s">
        <v>65</v>
      </c>
      <c r="Y550" s="13"/>
      <c r="Z550" s="14"/>
      <c r="AA550" s="15">
        <f>IFERROR(H550/(H550+Priors!$G$3),0)</f>
        <v>0.73663418488280219</v>
      </c>
      <c r="AB550" s="16">
        <f>VLOOKUP(E550,Priors!$A$3:$C$6,2,FALSE)</f>
        <v>6.0081391379341341E-2</v>
      </c>
      <c r="AC550" s="16">
        <f>VLOOKUP(E550,Priors!$A$3:$C$6,3,FALSE)</f>
        <v>5.9588191961478354E-2</v>
      </c>
      <c r="AD550" s="12">
        <f t="shared" si="50"/>
        <v>5.4222120458083056E-2</v>
      </c>
      <c r="AE550" s="12">
        <f t="shared" si="51"/>
        <v>3.7263153005393304E-2</v>
      </c>
      <c r="AF550" s="17">
        <v>1</v>
      </c>
      <c r="AG550" s="17">
        <v>1</v>
      </c>
      <c r="AH550" s="16">
        <f>IFERROR(VLOOKUP(D550,Teams!$B$2:$I$21,7,FALSE),1)</f>
        <v>1</v>
      </c>
      <c r="AI550" s="12">
        <f t="shared" si="52"/>
        <v>5.4222120458083056E-2</v>
      </c>
      <c r="AJ550" s="12">
        <f t="shared" si="53"/>
        <v>3.7263153005393304E-2</v>
      </c>
      <c r="AK550" s="6" t="s">
        <v>66</v>
      </c>
      <c r="AL550" s="18"/>
      <c r="AM550" s="23"/>
      <c r="AN550" s="24">
        <v>1.2E-2</v>
      </c>
      <c r="AO550" s="25" t="b">
        <v>1</v>
      </c>
      <c r="AP550" s="23" t="s">
        <v>1292</v>
      </c>
      <c r="AQ550" s="25" t="b">
        <v>0</v>
      </c>
      <c r="AR550" s="23"/>
      <c r="AS550" s="23" t="s">
        <v>68</v>
      </c>
    </row>
    <row r="551" spans="1:45" ht="60">
      <c r="A551" s="6">
        <v>536</v>
      </c>
      <c r="B551" s="6" t="s">
        <v>1507</v>
      </c>
      <c r="C551" s="6" t="s">
        <v>1508</v>
      </c>
      <c r="D551" s="6" t="s">
        <v>1493</v>
      </c>
      <c r="E551" s="6" t="s">
        <v>9</v>
      </c>
      <c r="F551" s="9">
        <v>4.5</v>
      </c>
      <c r="G551" s="9">
        <v>4.5</v>
      </c>
      <c r="H551" s="10">
        <v>1966</v>
      </c>
      <c r="I551" s="11">
        <v>0.13</v>
      </c>
      <c r="J551" s="11">
        <v>0.62</v>
      </c>
      <c r="K551" s="12">
        <f t="shared" si="48"/>
        <v>5.9511698880976606E-3</v>
      </c>
      <c r="L551" s="12">
        <f t="shared" si="49"/>
        <v>2.8382502543234992E-2</v>
      </c>
      <c r="M551" s="10">
        <v>0</v>
      </c>
      <c r="N551" s="10">
        <v>2</v>
      </c>
      <c r="O551" s="10">
        <v>74</v>
      </c>
      <c r="P551" s="10">
        <v>3</v>
      </c>
      <c r="Q551" s="10">
        <v>23</v>
      </c>
      <c r="R551" s="11">
        <v>7.51</v>
      </c>
      <c r="S551" s="6"/>
      <c r="T551" s="6"/>
      <c r="U551" s="6"/>
      <c r="V551" s="7" t="b">
        <v>0</v>
      </c>
      <c r="W551" s="8">
        <f>IFERROR(VLOOKUP(D551,Teams!$B$2:$I$21,6,FALSE),"")</f>
        <v>0</v>
      </c>
      <c r="X551" s="2" t="s">
        <v>65</v>
      </c>
      <c r="Y551" s="13"/>
      <c r="Z551" s="14"/>
      <c r="AA551" s="15">
        <f>IFERROR(H551/(H551+Priors!$G$3),0)</f>
        <v>0.66284558327714094</v>
      </c>
      <c r="AB551" s="16">
        <f>VLOOKUP(E551,Priors!$A$3:$C$6,2,FALSE)</f>
        <v>6.0081391379341341E-2</v>
      </c>
      <c r="AC551" s="16">
        <f>VLOOKUP(E551,Priors!$A$3:$C$6,3,FALSE)</f>
        <v>5.9588191961478354E-2</v>
      </c>
      <c r="AD551" s="12">
        <f t="shared" si="50"/>
        <v>2.4201413142057093E-2</v>
      </c>
      <c r="AE551" s="12">
        <f t="shared" si="51"/>
        <v>3.8903638557477527E-2</v>
      </c>
      <c r="AF551" s="17">
        <v>1</v>
      </c>
      <c r="AG551" s="17">
        <v>1</v>
      </c>
      <c r="AH551" s="16">
        <f>IFERROR(VLOOKUP(D551,Teams!$B$2:$I$21,7,FALSE),1)</f>
        <v>1</v>
      </c>
      <c r="AI551" s="12">
        <f t="shared" si="52"/>
        <v>2.4201413142057093E-2</v>
      </c>
      <c r="AJ551" s="12">
        <f t="shared" si="53"/>
        <v>3.8903638557477527E-2</v>
      </c>
      <c r="AK551" s="6" t="s">
        <v>66</v>
      </c>
      <c r="AL551" s="18"/>
      <c r="AM551" s="23"/>
      <c r="AN551" s="24">
        <v>5.0000000000000001E-3</v>
      </c>
      <c r="AO551" s="25" t="b">
        <v>1</v>
      </c>
      <c r="AP551" s="23" t="s">
        <v>992</v>
      </c>
      <c r="AQ551" s="25" t="b">
        <v>0</v>
      </c>
      <c r="AR551" s="23"/>
      <c r="AS551" s="23" t="s">
        <v>68</v>
      </c>
    </row>
    <row r="552" spans="1:45" ht="60">
      <c r="A552" s="6">
        <v>537</v>
      </c>
      <c r="B552" s="6" t="s">
        <v>1509</v>
      </c>
      <c r="C552" s="6" t="s">
        <v>1510</v>
      </c>
      <c r="D552" s="6" t="s">
        <v>1493</v>
      </c>
      <c r="E552" s="6" t="s">
        <v>9</v>
      </c>
      <c r="F552" s="9">
        <v>4.5</v>
      </c>
      <c r="G552" s="9">
        <v>4.5</v>
      </c>
      <c r="H552" s="10">
        <v>133</v>
      </c>
      <c r="I552" s="11">
        <v>0</v>
      </c>
      <c r="J552" s="11">
        <v>0.01</v>
      </c>
      <c r="K552" s="12">
        <f t="shared" si="48"/>
        <v>0</v>
      </c>
      <c r="L552" s="12">
        <f t="shared" si="49"/>
        <v>6.7669172932330827E-3</v>
      </c>
      <c r="M552" s="10">
        <v>0</v>
      </c>
      <c r="N552" s="10">
        <v>0</v>
      </c>
      <c r="O552" s="10">
        <v>2</v>
      </c>
      <c r="P552" s="10">
        <v>1</v>
      </c>
      <c r="Q552" s="10">
        <v>1</v>
      </c>
      <c r="R552" s="11">
        <v>8.1199999999999992</v>
      </c>
      <c r="S552" s="6"/>
      <c r="T552" s="6"/>
      <c r="U552" s="6"/>
      <c r="V552" s="7" t="b">
        <v>0</v>
      </c>
      <c r="W552" s="8">
        <f>IFERROR(VLOOKUP(D552,Teams!$B$2:$I$21,6,FALSE),"")</f>
        <v>0</v>
      </c>
      <c r="X552" s="2" t="s">
        <v>65</v>
      </c>
      <c r="Y552" s="13"/>
      <c r="Z552" s="14"/>
      <c r="AA552" s="15">
        <f>IFERROR(H552/(H552+Priors!$G$3),0)</f>
        <v>0.11738746690203</v>
      </c>
      <c r="AB552" s="16">
        <f>VLOOKUP(E552,Priors!$A$3:$C$6,2,FALSE)</f>
        <v>6.0081391379341341E-2</v>
      </c>
      <c r="AC552" s="16">
        <f>VLOOKUP(E552,Priors!$A$3:$C$6,3,FALSE)</f>
        <v>5.9588191961478354E-2</v>
      </c>
      <c r="AD552" s="12">
        <f t="shared" si="50"/>
        <v>5.3028589037370996E-2</v>
      </c>
      <c r="AE552" s="12">
        <f t="shared" si="51"/>
        <v>5.3387636329636667E-2</v>
      </c>
      <c r="AF552" s="17">
        <v>1</v>
      </c>
      <c r="AG552" s="17">
        <v>1</v>
      </c>
      <c r="AH552" s="16">
        <f>IFERROR(VLOOKUP(D552,Teams!$B$2:$I$21,7,FALSE),1)</f>
        <v>1</v>
      </c>
      <c r="AI552" s="12">
        <f t="shared" si="52"/>
        <v>5.3028589037370996E-2</v>
      </c>
      <c r="AJ552" s="12">
        <f t="shared" si="53"/>
        <v>5.3387636329636667E-2</v>
      </c>
      <c r="AK552" s="6" t="s">
        <v>66</v>
      </c>
      <c r="AL552" s="18"/>
      <c r="AM552" s="23"/>
      <c r="AN552" s="24">
        <v>0</v>
      </c>
      <c r="AO552" s="25" t="b">
        <v>1</v>
      </c>
      <c r="AP552" s="23" t="s">
        <v>273</v>
      </c>
      <c r="AQ552" s="25" t="b">
        <v>0</v>
      </c>
      <c r="AR552" s="23"/>
      <c r="AS552" s="23" t="s">
        <v>68</v>
      </c>
    </row>
    <row r="553" spans="1:45" ht="60">
      <c r="A553" s="6">
        <v>538</v>
      </c>
      <c r="B553" s="6" t="s">
        <v>1511</v>
      </c>
      <c r="C553" s="6" t="s">
        <v>1512</v>
      </c>
      <c r="D553" s="6" t="s">
        <v>1493</v>
      </c>
      <c r="E553" s="6" t="s">
        <v>9</v>
      </c>
      <c r="F553" s="9">
        <v>4</v>
      </c>
      <c r="G553" s="9">
        <v>4</v>
      </c>
      <c r="H553" s="10">
        <v>0</v>
      </c>
      <c r="I553" s="11">
        <v>0</v>
      </c>
      <c r="J553" s="11">
        <v>0</v>
      </c>
      <c r="K553" s="12">
        <f t="shared" si="48"/>
        <v>0</v>
      </c>
      <c r="L553" s="12">
        <f t="shared" si="49"/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1">
        <v>0</v>
      </c>
      <c r="S553" s="6"/>
      <c r="T553" s="6"/>
      <c r="U553" s="6"/>
      <c r="V553" s="7" t="b">
        <v>0</v>
      </c>
      <c r="W553" s="8">
        <f>IFERROR(VLOOKUP(D553,Teams!$B$2:$I$21,6,FALSE),"")</f>
        <v>0</v>
      </c>
      <c r="X553" s="2" t="s">
        <v>65</v>
      </c>
      <c r="Y553" s="13"/>
      <c r="Z553" s="14"/>
      <c r="AA553" s="15">
        <f>IFERROR(H553/(H553+Priors!$G$3),0)</f>
        <v>0</v>
      </c>
      <c r="AB553" s="16">
        <f>VLOOKUP(E553,Priors!$A$3:$C$6,2,FALSE)</f>
        <v>6.0081391379341341E-2</v>
      </c>
      <c r="AC553" s="16">
        <f>VLOOKUP(E553,Priors!$A$3:$C$6,3,FALSE)</f>
        <v>5.9588191961478354E-2</v>
      </c>
      <c r="AD553" s="12">
        <f t="shared" si="50"/>
        <v>6.0081391379341341E-2</v>
      </c>
      <c r="AE553" s="12">
        <f t="shared" si="51"/>
        <v>5.9588191961478354E-2</v>
      </c>
      <c r="AF553" s="17">
        <v>1</v>
      </c>
      <c r="AG553" s="17">
        <v>1</v>
      </c>
      <c r="AH553" s="16">
        <f>IFERROR(VLOOKUP(D553,Teams!$B$2:$I$21,7,FALSE),1)</f>
        <v>1</v>
      </c>
      <c r="AI553" s="12">
        <f t="shared" si="52"/>
        <v>6.0081391379341341E-2</v>
      </c>
      <c r="AJ553" s="12">
        <f t="shared" si="53"/>
        <v>5.9588191961478354E-2</v>
      </c>
      <c r="AK553" s="6" t="s">
        <v>66</v>
      </c>
      <c r="AL553" s="18"/>
      <c r="AM553" s="23"/>
      <c r="AN553" s="24">
        <v>3.0000000000000001E-3</v>
      </c>
      <c r="AO553" s="25" t="b">
        <v>1</v>
      </c>
      <c r="AP553" s="23" t="s">
        <v>645</v>
      </c>
      <c r="AQ553" s="25" t="b">
        <v>0</v>
      </c>
      <c r="AR553" s="23"/>
      <c r="AS553" s="23" t="s">
        <v>68</v>
      </c>
    </row>
    <row r="554" spans="1:45" ht="60">
      <c r="A554" s="6">
        <v>539</v>
      </c>
      <c r="B554" s="6" t="s">
        <v>1513</v>
      </c>
      <c r="C554" s="6" t="s">
        <v>1514</v>
      </c>
      <c r="D554" s="6" t="s">
        <v>1493</v>
      </c>
      <c r="E554" s="6" t="s">
        <v>9</v>
      </c>
      <c r="F554" s="9">
        <v>4</v>
      </c>
      <c r="G554" s="9">
        <v>4</v>
      </c>
      <c r="H554" s="10">
        <v>565</v>
      </c>
      <c r="I554" s="11">
        <v>0.15</v>
      </c>
      <c r="J554" s="11">
        <v>0.13</v>
      </c>
      <c r="K554" s="12">
        <f t="shared" si="48"/>
        <v>2.3893805309734513E-2</v>
      </c>
      <c r="L554" s="12">
        <f t="shared" si="49"/>
        <v>2.0707964601769914E-2</v>
      </c>
      <c r="M554" s="10">
        <v>0</v>
      </c>
      <c r="N554" s="10">
        <v>1</v>
      </c>
      <c r="O554" s="10">
        <v>26</v>
      </c>
      <c r="P554" s="10">
        <v>2.2000000000000002</v>
      </c>
      <c r="Q554" s="10">
        <v>5</v>
      </c>
      <c r="R554" s="11">
        <v>6.85</v>
      </c>
      <c r="S554" s="6"/>
      <c r="T554" s="6"/>
      <c r="U554" s="6"/>
      <c r="V554" s="7" t="b">
        <v>0</v>
      </c>
      <c r="W554" s="8">
        <f>IFERROR(VLOOKUP(D554,Teams!$B$2:$I$21,6,FALSE),"")</f>
        <v>0</v>
      </c>
      <c r="X554" s="2" t="s">
        <v>65</v>
      </c>
      <c r="Y554" s="13"/>
      <c r="Z554" s="14"/>
      <c r="AA554" s="15">
        <f>IFERROR(H554/(H554+Priors!$G$3),0)</f>
        <v>0.36102236421725242</v>
      </c>
      <c r="AB554" s="16">
        <f>VLOOKUP(E554,Priors!$A$3:$C$6,2,FALSE)</f>
        <v>6.0081391379341341E-2</v>
      </c>
      <c r="AC554" s="16">
        <f>VLOOKUP(E554,Priors!$A$3:$C$6,3,FALSE)</f>
        <v>5.9588191961478354E-2</v>
      </c>
      <c r="AD554" s="12">
        <f t="shared" si="50"/>
        <v>4.7016863501176578E-2</v>
      </c>
      <c r="AE554" s="12">
        <f t="shared" si="51"/>
        <v>4.5551560358772107E-2</v>
      </c>
      <c r="AF554" s="17">
        <v>1</v>
      </c>
      <c r="AG554" s="17">
        <v>1</v>
      </c>
      <c r="AH554" s="16">
        <f>IFERROR(VLOOKUP(D554,Teams!$B$2:$I$21,7,FALSE),1)</f>
        <v>1</v>
      </c>
      <c r="AI554" s="12">
        <f t="shared" si="52"/>
        <v>4.7016863501176578E-2</v>
      </c>
      <c r="AJ554" s="12">
        <f t="shared" si="53"/>
        <v>4.5551560358772107E-2</v>
      </c>
      <c r="AK554" s="6" t="s">
        <v>66</v>
      </c>
      <c r="AL554" s="18"/>
      <c r="AM554" s="23"/>
      <c r="AN554" s="24">
        <v>2.3E-2</v>
      </c>
      <c r="AO554" s="25" t="b">
        <v>1</v>
      </c>
      <c r="AP554" s="23" t="s">
        <v>1515</v>
      </c>
      <c r="AQ554" s="25" t="b">
        <v>0</v>
      </c>
      <c r="AR554" s="23"/>
      <c r="AS554" s="23" t="s">
        <v>68</v>
      </c>
    </row>
    <row r="555" spans="1:45" ht="60">
      <c r="A555" s="6">
        <v>540</v>
      </c>
      <c r="B555" s="6" t="s">
        <v>1516</v>
      </c>
      <c r="C555" s="6" t="s">
        <v>1517</v>
      </c>
      <c r="D555" s="6" t="s">
        <v>1493</v>
      </c>
      <c r="E555" s="6" t="s">
        <v>9</v>
      </c>
      <c r="F555" s="9">
        <v>4</v>
      </c>
      <c r="G555" s="9">
        <v>4</v>
      </c>
      <c r="H555" s="10">
        <v>125</v>
      </c>
      <c r="I555" s="11">
        <v>7.0000000000000007E-2</v>
      </c>
      <c r="J555" s="11">
        <v>0.08</v>
      </c>
      <c r="K555" s="12">
        <f t="shared" si="48"/>
        <v>5.0400000000000007E-2</v>
      </c>
      <c r="L555" s="12">
        <f t="shared" si="49"/>
        <v>5.7599999999999998E-2</v>
      </c>
      <c r="M555" s="10">
        <v>0</v>
      </c>
      <c r="N555" s="10">
        <v>0</v>
      </c>
      <c r="O555" s="10">
        <v>1</v>
      </c>
      <c r="P555" s="10">
        <v>0.3</v>
      </c>
      <c r="Q555" s="10">
        <v>2</v>
      </c>
      <c r="R555" s="11">
        <v>7.2</v>
      </c>
      <c r="S555" s="6"/>
      <c r="T555" s="6"/>
      <c r="U555" s="6"/>
      <c r="V555" s="7" t="b">
        <v>0</v>
      </c>
      <c r="W555" s="8">
        <f>IFERROR(VLOOKUP(D555,Teams!$B$2:$I$21,6,FALSE),"")</f>
        <v>0</v>
      </c>
      <c r="X555" s="2" t="s">
        <v>65</v>
      </c>
      <c r="Y555" s="13"/>
      <c r="Z555" s="14"/>
      <c r="AA555" s="15">
        <f>IFERROR(H555/(H555+Priors!$G$3),0)</f>
        <v>0.1111111111111111</v>
      </c>
      <c r="AB555" s="16">
        <f>VLOOKUP(E555,Priors!$A$3:$C$6,2,FALSE)</f>
        <v>6.0081391379341341E-2</v>
      </c>
      <c r="AC555" s="16">
        <f>VLOOKUP(E555,Priors!$A$3:$C$6,3,FALSE)</f>
        <v>5.9588191961478354E-2</v>
      </c>
      <c r="AD555" s="12">
        <f t="shared" si="50"/>
        <v>5.9005681226081193E-2</v>
      </c>
      <c r="AE555" s="12">
        <f t="shared" si="51"/>
        <v>5.936728174353631E-2</v>
      </c>
      <c r="AF555" s="17">
        <v>1</v>
      </c>
      <c r="AG555" s="17">
        <v>1</v>
      </c>
      <c r="AH555" s="16">
        <f>IFERROR(VLOOKUP(D555,Teams!$B$2:$I$21,7,FALSE),1)</f>
        <v>1</v>
      </c>
      <c r="AI555" s="12">
        <f t="shared" si="52"/>
        <v>5.9005681226081193E-2</v>
      </c>
      <c r="AJ555" s="12">
        <f t="shared" si="53"/>
        <v>5.936728174353631E-2</v>
      </c>
      <c r="AK555" s="6" t="s">
        <v>66</v>
      </c>
      <c r="AL555" s="18"/>
      <c r="AM555" s="23"/>
      <c r="AN555" s="24">
        <v>1.3999999999999999E-2</v>
      </c>
      <c r="AO555" s="25" t="b">
        <v>1</v>
      </c>
      <c r="AP555" s="23" t="s">
        <v>1518</v>
      </c>
      <c r="AQ555" s="25" t="b">
        <v>0</v>
      </c>
      <c r="AR555" s="23"/>
      <c r="AS555" s="23" t="s">
        <v>68</v>
      </c>
    </row>
    <row r="556" spans="1:45" ht="60">
      <c r="A556" s="6">
        <v>541</v>
      </c>
      <c r="B556" s="6" t="s">
        <v>1519</v>
      </c>
      <c r="C556" s="6" t="s">
        <v>1520</v>
      </c>
      <c r="D556" s="6" t="s">
        <v>1493</v>
      </c>
      <c r="E556" s="6" t="s">
        <v>9</v>
      </c>
      <c r="F556" s="9">
        <v>4.5</v>
      </c>
      <c r="G556" s="9">
        <v>4.5</v>
      </c>
      <c r="H556" s="10">
        <v>0</v>
      </c>
      <c r="I556" s="11">
        <v>0</v>
      </c>
      <c r="J556" s="11">
        <v>0</v>
      </c>
      <c r="K556" s="12">
        <f t="shared" si="48"/>
        <v>0</v>
      </c>
      <c r="L556" s="12">
        <f t="shared" si="49"/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1">
        <v>0</v>
      </c>
      <c r="S556" s="6"/>
      <c r="T556" s="6"/>
      <c r="U556" s="6"/>
      <c r="V556" s="7" t="b">
        <v>1</v>
      </c>
      <c r="W556" s="8">
        <f>IFERROR(VLOOKUP(D556,Teams!$B$2:$I$21,6,FALSE),"")</f>
        <v>0</v>
      </c>
      <c r="X556" s="2" t="s">
        <v>65</v>
      </c>
      <c r="Y556" s="13"/>
      <c r="Z556" s="14"/>
      <c r="AA556" s="15">
        <f>IFERROR(H556/(H556+Priors!$G$3),0)</f>
        <v>0</v>
      </c>
      <c r="AB556" s="16">
        <f>VLOOKUP(E556,Priors!$A$3:$C$6,2,FALSE)</f>
        <v>6.0081391379341341E-2</v>
      </c>
      <c r="AC556" s="16">
        <f>VLOOKUP(E556,Priors!$A$3:$C$6,3,FALSE)</f>
        <v>5.9588191961478354E-2</v>
      </c>
      <c r="AD556" s="12">
        <f t="shared" si="50"/>
        <v>6.0081391379341341E-2</v>
      </c>
      <c r="AE556" s="12">
        <f t="shared" si="51"/>
        <v>5.9588191961478354E-2</v>
      </c>
      <c r="AF556" s="17">
        <v>1</v>
      </c>
      <c r="AG556" s="17">
        <v>1</v>
      </c>
      <c r="AH556" s="16">
        <f>IFERROR(VLOOKUP(D556,Teams!$B$2:$I$21,7,FALSE),1)</f>
        <v>1</v>
      </c>
      <c r="AI556" s="12">
        <f t="shared" si="52"/>
        <v>6.0081391379341341E-2</v>
      </c>
      <c r="AJ556" s="12">
        <f t="shared" si="53"/>
        <v>5.9588191961478354E-2</v>
      </c>
      <c r="AK556" s="6" t="s">
        <v>66</v>
      </c>
      <c r="AL556" s="18"/>
      <c r="AM556" s="23"/>
      <c r="AN556" s="24">
        <v>5.0000000000000001E-3</v>
      </c>
      <c r="AO556" s="25" t="b">
        <v>1</v>
      </c>
      <c r="AP556" s="23" t="s">
        <v>1521</v>
      </c>
      <c r="AQ556" s="25" t="b">
        <v>0</v>
      </c>
      <c r="AR556" s="23"/>
      <c r="AS556" s="23" t="s">
        <v>68</v>
      </c>
    </row>
    <row r="557" spans="1:45" ht="60">
      <c r="A557" s="6">
        <v>542</v>
      </c>
      <c r="B557" s="6" t="s">
        <v>1522</v>
      </c>
      <c r="C557" s="6" t="s">
        <v>1523</v>
      </c>
      <c r="D557" s="6" t="s">
        <v>1493</v>
      </c>
      <c r="E557" s="6" t="s">
        <v>11</v>
      </c>
      <c r="F557" s="9">
        <v>6</v>
      </c>
      <c r="G557" s="9">
        <v>6</v>
      </c>
      <c r="H557" s="10">
        <v>2930</v>
      </c>
      <c r="I557" s="11">
        <v>5.22</v>
      </c>
      <c r="J557" s="11">
        <v>5.95</v>
      </c>
      <c r="K557" s="12">
        <f t="shared" si="48"/>
        <v>0.16034129692832763</v>
      </c>
      <c r="L557" s="12">
        <f t="shared" si="49"/>
        <v>0.18276450511945391</v>
      </c>
      <c r="M557" s="10">
        <v>5</v>
      </c>
      <c r="N557" s="10">
        <v>6</v>
      </c>
      <c r="O557" s="10">
        <v>147</v>
      </c>
      <c r="P557" s="10">
        <v>4.0999999999999996</v>
      </c>
      <c r="Q557" s="10">
        <v>33</v>
      </c>
      <c r="R557" s="11">
        <v>9.8000000000000007</v>
      </c>
      <c r="S557" s="6">
        <v>2</v>
      </c>
      <c r="T557" s="6">
        <v>2</v>
      </c>
      <c r="U557" s="6">
        <v>6</v>
      </c>
      <c r="V557" s="7" t="b">
        <v>0</v>
      </c>
      <c r="W557" s="8">
        <f>IFERROR(VLOOKUP(D557,Teams!$B$2:$I$21,6,FALSE),"")</f>
        <v>0</v>
      </c>
      <c r="X557" s="2" t="s">
        <v>65</v>
      </c>
      <c r="Y557" s="13"/>
      <c r="Z557" s="14"/>
      <c r="AA557" s="15">
        <f>IFERROR(H557/(H557+Priors!$G$3),0)</f>
        <v>0.74554707379134855</v>
      </c>
      <c r="AB557" s="16">
        <f>VLOOKUP(E557,Priors!$A$3:$C$6,2,FALSE)</f>
        <v>0.15714383234350468</v>
      </c>
      <c r="AC557" s="16">
        <f>VLOOKUP(E557,Priors!$A$3:$C$6,3,FALSE)</f>
        <v>0.13222062939449797</v>
      </c>
      <c r="AD557" s="12">
        <f t="shared" si="50"/>
        <v>0.15952769270827089</v>
      </c>
      <c r="AE557" s="12">
        <f t="shared" si="51"/>
        <v>0.16990346803931244</v>
      </c>
      <c r="AF557" s="17">
        <v>1</v>
      </c>
      <c r="AG557" s="17">
        <v>1</v>
      </c>
      <c r="AH557" s="16">
        <f>IFERROR(VLOOKUP(D557,Teams!$B$2:$I$21,7,FALSE),1)</f>
        <v>1</v>
      </c>
      <c r="AI557" s="12">
        <f t="shared" si="52"/>
        <v>0.15952769270827089</v>
      </c>
      <c r="AJ557" s="12">
        <f t="shared" si="53"/>
        <v>0.16990346803931244</v>
      </c>
      <c r="AK557" s="6" t="s">
        <v>66</v>
      </c>
      <c r="AL557" s="18"/>
      <c r="AM557" s="23"/>
      <c r="AN557" s="24">
        <v>0.12300000000000001</v>
      </c>
      <c r="AO557" s="25" t="b">
        <v>1</v>
      </c>
      <c r="AP557" s="23" t="s">
        <v>71</v>
      </c>
      <c r="AQ557" s="25" t="b">
        <v>0</v>
      </c>
      <c r="AR557" s="23"/>
      <c r="AS557" s="23" t="s">
        <v>68</v>
      </c>
    </row>
    <row r="558" spans="1:45" ht="60">
      <c r="A558" s="6">
        <v>543</v>
      </c>
      <c r="B558" s="6" t="s">
        <v>1524</v>
      </c>
      <c r="C558" s="6" t="s">
        <v>1525</v>
      </c>
      <c r="D558" s="6" t="s">
        <v>1493</v>
      </c>
      <c r="E558" s="6" t="s">
        <v>11</v>
      </c>
      <c r="F558" s="9">
        <v>5.5</v>
      </c>
      <c r="G558" s="9">
        <v>5.5</v>
      </c>
      <c r="H558" s="10">
        <v>1403</v>
      </c>
      <c r="I558" s="11">
        <v>3.27</v>
      </c>
      <c r="J558" s="11">
        <v>0.85</v>
      </c>
      <c r="K558" s="12">
        <f t="shared" si="48"/>
        <v>0.20976478973627941</v>
      </c>
      <c r="L558" s="12">
        <f t="shared" si="49"/>
        <v>5.4526015680684249E-2</v>
      </c>
      <c r="M558" s="10">
        <v>2</v>
      </c>
      <c r="N558" s="10">
        <v>6</v>
      </c>
      <c r="O558" s="10">
        <v>65</v>
      </c>
      <c r="P558" s="10">
        <v>3.2</v>
      </c>
      <c r="Q558" s="10">
        <v>15</v>
      </c>
      <c r="R558" s="11">
        <v>5.07</v>
      </c>
      <c r="S558" s="6">
        <v>1</v>
      </c>
      <c r="T558" s="6"/>
      <c r="U558" s="6"/>
      <c r="V558" s="7" t="b">
        <v>0</v>
      </c>
      <c r="W558" s="8">
        <f>IFERROR(VLOOKUP(D558,Teams!$B$2:$I$21,6,FALSE),"")</f>
        <v>0</v>
      </c>
      <c r="X558" s="2" t="s">
        <v>65</v>
      </c>
      <c r="Y558" s="13"/>
      <c r="Z558" s="14"/>
      <c r="AA558" s="15">
        <f>IFERROR(H558/(H558+Priors!$G$3),0)</f>
        <v>0.58385351643778605</v>
      </c>
      <c r="AB558" s="16">
        <f>VLOOKUP(E558,Priors!$A$3:$C$6,2,FALSE)</f>
        <v>0.15714383234350468</v>
      </c>
      <c r="AC558" s="16">
        <f>VLOOKUP(E558,Priors!$A$3:$C$6,3,FALSE)</f>
        <v>0.13222062939449797</v>
      </c>
      <c r="AD558" s="12">
        <f t="shared" si="50"/>
        <v>0.1878667633555991</v>
      </c>
      <c r="AE558" s="12">
        <f t="shared" si="51"/>
        <v>8.6858355969412382E-2</v>
      </c>
      <c r="AF558" s="17">
        <v>1</v>
      </c>
      <c r="AG558" s="17">
        <v>1</v>
      </c>
      <c r="AH558" s="16">
        <f>IFERROR(VLOOKUP(D558,Teams!$B$2:$I$21,7,FALSE),1)</f>
        <v>1</v>
      </c>
      <c r="AI558" s="12">
        <f t="shared" si="52"/>
        <v>0.1878667633555991</v>
      </c>
      <c r="AJ558" s="12">
        <f t="shared" si="53"/>
        <v>8.6858355969412382E-2</v>
      </c>
      <c r="AK558" s="6" t="s">
        <v>66</v>
      </c>
      <c r="AL558" s="18"/>
      <c r="AM558" s="23"/>
      <c r="AN558" s="24">
        <v>1E-3</v>
      </c>
      <c r="AO558" s="25" t="b">
        <v>1</v>
      </c>
      <c r="AP558" s="23" t="s">
        <v>71</v>
      </c>
      <c r="AQ558" s="25" t="b">
        <v>0</v>
      </c>
      <c r="AR558" s="23"/>
      <c r="AS558" s="23" t="s">
        <v>68</v>
      </c>
    </row>
    <row r="559" spans="1:45" ht="60">
      <c r="A559" s="6">
        <v>544</v>
      </c>
      <c r="B559" s="6" t="s">
        <v>1526</v>
      </c>
      <c r="C559" s="6" t="s">
        <v>1527</v>
      </c>
      <c r="D559" s="6" t="s">
        <v>1493</v>
      </c>
      <c r="E559" s="6" t="s">
        <v>11</v>
      </c>
      <c r="F559" s="9">
        <v>5.5</v>
      </c>
      <c r="G559" s="9">
        <v>5.5</v>
      </c>
      <c r="H559" s="10">
        <v>2901</v>
      </c>
      <c r="I559" s="11">
        <v>1.01</v>
      </c>
      <c r="J559" s="11">
        <v>3.73</v>
      </c>
      <c r="K559" s="12">
        <f t="shared" si="48"/>
        <v>3.1334022750775598E-2</v>
      </c>
      <c r="L559" s="12">
        <f t="shared" si="49"/>
        <v>0.11571871768355739</v>
      </c>
      <c r="M559" s="10">
        <v>1</v>
      </c>
      <c r="N559" s="10">
        <v>6</v>
      </c>
      <c r="O559" s="10">
        <v>124</v>
      </c>
      <c r="P559" s="10">
        <v>3.6</v>
      </c>
      <c r="Q559" s="10">
        <v>32</v>
      </c>
      <c r="R559" s="11">
        <v>11.23</v>
      </c>
      <c r="S559" s="6"/>
      <c r="T559" s="6">
        <v>1</v>
      </c>
      <c r="U559" s="6">
        <v>4</v>
      </c>
      <c r="V559" s="7" t="b">
        <v>0</v>
      </c>
      <c r="W559" s="8">
        <f>IFERROR(VLOOKUP(D559,Teams!$B$2:$I$21,6,FALSE),"")</f>
        <v>0</v>
      </c>
      <c r="X559" s="2" t="s">
        <v>65</v>
      </c>
      <c r="Y559" s="13"/>
      <c r="Z559" s="14"/>
      <c r="AA559" s="15">
        <f>IFERROR(H559/(H559+Priors!$G$3),0)</f>
        <v>0.74365547295565237</v>
      </c>
      <c r="AB559" s="16">
        <f>VLOOKUP(E559,Priors!$A$3:$C$6,2,FALSE)</f>
        <v>0.15714383234350468</v>
      </c>
      <c r="AC559" s="16">
        <f>VLOOKUP(E559,Priors!$A$3:$C$6,3,FALSE)</f>
        <v>0.13222062939449797</v>
      </c>
      <c r="AD559" s="12">
        <f t="shared" si="50"/>
        <v>6.3584678888363166E-2</v>
      </c>
      <c r="AE559" s="12">
        <f t="shared" si="51"/>
        <v>0.11994889243642604</v>
      </c>
      <c r="AF559" s="17">
        <v>1</v>
      </c>
      <c r="AG559" s="17">
        <v>1</v>
      </c>
      <c r="AH559" s="16">
        <f>IFERROR(VLOOKUP(D559,Teams!$B$2:$I$21,7,FALSE),1)</f>
        <v>1</v>
      </c>
      <c r="AI559" s="12">
        <f t="shared" si="52"/>
        <v>6.3584678888363166E-2</v>
      </c>
      <c r="AJ559" s="12">
        <f t="shared" si="53"/>
        <v>0.11994889243642604</v>
      </c>
      <c r="AK559" s="6" t="s">
        <v>66</v>
      </c>
      <c r="AL559" s="18"/>
      <c r="AM559" s="23"/>
      <c r="AN559" s="24">
        <v>0.06</v>
      </c>
      <c r="AO559" s="25" t="b">
        <v>1</v>
      </c>
      <c r="AP559" s="23" t="s">
        <v>1528</v>
      </c>
      <c r="AQ559" s="25" t="b">
        <v>0</v>
      </c>
      <c r="AR559" s="23"/>
      <c r="AS559" s="23" t="s">
        <v>68</v>
      </c>
    </row>
    <row r="560" spans="1:45" ht="60">
      <c r="A560" s="6">
        <v>545</v>
      </c>
      <c r="B560" s="6" t="s">
        <v>1529</v>
      </c>
      <c r="C560" s="6" t="s">
        <v>1530</v>
      </c>
      <c r="D560" s="6" t="s">
        <v>1493</v>
      </c>
      <c r="E560" s="6" t="s">
        <v>11</v>
      </c>
      <c r="F560" s="9">
        <v>5</v>
      </c>
      <c r="G560" s="9">
        <v>5</v>
      </c>
      <c r="H560" s="10">
        <v>2891</v>
      </c>
      <c r="I560" s="11">
        <v>1.43</v>
      </c>
      <c r="J560" s="11">
        <v>1.46</v>
      </c>
      <c r="K560" s="12">
        <f t="shared" si="48"/>
        <v>4.4517468004150809E-2</v>
      </c>
      <c r="L560" s="12">
        <f t="shared" si="49"/>
        <v>4.5451400899342791E-2</v>
      </c>
      <c r="M560" s="10">
        <v>0</v>
      </c>
      <c r="N560" s="10">
        <v>2</v>
      </c>
      <c r="O560" s="10">
        <v>80</v>
      </c>
      <c r="P560" s="10">
        <v>2.4</v>
      </c>
      <c r="Q560" s="10">
        <v>33</v>
      </c>
      <c r="R560" s="11">
        <v>7.72</v>
      </c>
      <c r="S560" s="6"/>
      <c r="T560" s="6"/>
      <c r="U560" s="6"/>
      <c r="V560" s="7" t="b">
        <v>0</v>
      </c>
      <c r="W560" s="8">
        <f>IFERROR(VLOOKUP(D560,Teams!$B$2:$I$21,6,FALSE),"")</f>
        <v>0</v>
      </c>
      <c r="X560" s="2" t="s">
        <v>65</v>
      </c>
      <c r="Y560" s="13"/>
      <c r="Z560" s="14"/>
      <c r="AA560" s="15">
        <f>IFERROR(H560/(H560+Priors!$G$3),0)</f>
        <v>0.74299665895656641</v>
      </c>
      <c r="AB560" s="16">
        <f>VLOOKUP(E560,Priors!$A$3:$C$6,2,FALSE)</f>
        <v>0.15714383234350468</v>
      </c>
      <c r="AC560" s="16">
        <f>VLOOKUP(E560,Priors!$A$3:$C$6,3,FALSE)</f>
        <v>0.13222062939449797</v>
      </c>
      <c r="AD560" s="12">
        <f t="shared" si="50"/>
        <v>7.3462819928939771E-2</v>
      </c>
      <c r="AE560" s="12">
        <f t="shared" si="51"/>
        <v>6.7751382522358766E-2</v>
      </c>
      <c r="AF560" s="17">
        <v>1</v>
      </c>
      <c r="AG560" s="17">
        <v>1</v>
      </c>
      <c r="AH560" s="16">
        <f>IFERROR(VLOOKUP(D560,Teams!$B$2:$I$21,7,FALSE),1)</f>
        <v>1</v>
      </c>
      <c r="AI560" s="12">
        <f t="shared" si="52"/>
        <v>7.3462819928939771E-2</v>
      </c>
      <c r="AJ560" s="12">
        <f t="shared" si="53"/>
        <v>6.7751382522358766E-2</v>
      </c>
      <c r="AK560" s="6" t="s">
        <v>66</v>
      </c>
      <c r="AL560" s="18"/>
      <c r="AM560" s="23"/>
      <c r="AN560" s="24">
        <v>4.0000000000000001E-3</v>
      </c>
      <c r="AO560" s="25" t="b">
        <v>1</v>
      </c>
      <c r="AP560" s="23" t="s">
        <v>911</v>
      </c>
      <c r="AQ560" s="25" t="b">
        <v>0</v>
      </c>
      <c r="AR560" s="23"/>
      <c r="AS560" s="23" t="s">
        <v>68</v>
      </c>
    </row>
    <row r="561" spans="1:45" ht="60">
      <c r="A561" s="6">
        <v>546</v>
      </c>
      <c r="B561" s="6" t="s">
        <v>1531</v>
      </c>
      <c r="C561" s="6" t="s">
        <v>1532</v>
      </c>
      <c r="D561" s="6" t="s">
        <v>1493</v>
      </c>
      <c r="E561" s="6" t="s">
        <v>11</v>
      </c>
      <c r="F561" s="9">
        <v>5</v>
      </c>
      <c r="G561" s="9">
        <v>5</v>
      </c>
      <c r="H561" s="10">
        <v>649</v>
      </c>
      <c r="I561" s="11">
        <v>0.35</v>
      </c>
      <c r="J561" s="11">
        <v>0.62</v>
      </c>
      <c r="K561" s="12">
        <f t="shared" si="48"/>
        <v>4.8536209553158703E-2</v>
      </c>
      <c r="L561" s="12">
        <f t="shared" si="49"/>
        <v>8.5978428351309699E-2</v>
      </c>
      <c r="M561" s="10">
        <v>1</v>
      </c>
      <c r="N561" s="10">
        <v>1</v>
      </c>
      <c r="O561" s="10">
        <v>34</v>
      </c>
      <c r="P561" s="10">
        <v>2.4</v>
      </c>
      <c r="Q561" s="10">
        <v>9</v>
      </c>
      <c r="R561" s="11">
        <v>6.24</v>
      </c>
      <c r="S561" s="6"/>
      <c r="T561" s="6"/>
      <c r="U561" s="6"/>
      <c r="V561" s="7" t="b">
        <v>0</v>
      </c>
      <c r="W561" s="8">
        <f>IFERROR(VLOOKUP(D561,Teams!$B$2:$I$21,6,FALSE),"")</f>
        <v>0</v>
      </c>
      <c r="X561" s="2" t="s">
        <v>65</v>
      </c>
      <c r="Y561" s="13"/>
      <c r="Z561" s="14"/>
      <c r="AA561" s="15">
        <f>IFERROR(H561/(H561+Priors!$G$3),0)</f>
        <v>0.39357186173438446</v>
      </c>
      <c r="AB561" s="16">
        <f>VLOOKUP(E561,Priors!$A$3:$C$6,2,FALSE)</f>
        <v>0.15714383234350468</v>
      </c>
      <c r="AC561" s="16">
        <f>VLOOKUP(E561,Priors!$A$3:$C$6,3,FALSE)</f>
        <v>0.13222062939449797</v>
      </c>
      <c r="AD561" s="12">
        <f t="shared" si="50"/>
        <v>0.11439892804336246</v>
      </c>
      <c r="AE561" s="12">
        <f t="shared" si="51"/>
        <v>0.11402100023923467</v>
      </c>
      <c r="AF561" s="17">
        <v>1</v>
      </c>
      <c r="AG561" s="17">
        <v>1</v>
      </c>
      <c r="AH561" s="16">
        <f>IFERROR(VLOOKUP(D561,Teams!$B$2:$I$21,7,FALSE),1)</f>
        <v>1</v>
      </c>
      <c r="AI561" s="12">
        <f t="shared" si="52"/>
        <v>0.11439892804336246</v>
      </c>
      <c r="AJ561" s="12">
        <f t="shared" si="53"/>
        <v>0.11402100023923467</v>
      </c>
      <c r="AK561" s="6" t="s">
        <v>66</v>
      </c>
      <c r="AL561" s="18"/>
      <c r="AM561" s="23"/>
      <c r="AN561" s="24">
        <v>3.0000000000000001E-3</v>
      </c>
      <c r="AO561" s="25" t="b">
        <v>1</v>
      </c>
      <c r="AP561" s="23" t="s">
        <v>130</v>
      </c>
      <c r="AQ561" s="25" t="b">
        <v>0</v>
      </c>
      <c r="AR561" s="23"/>
      <c r="AS561" s="23" t="s">
        <v>68</v>
      </c>
    </row>
    <row r="562" spans="1:45" ht="60">
      <c r="A562" s="6">
        <v>547</v>
      </c>
      <c r="B562" s="6" t="s">
        <v>1533</v>
      </c>
      <c r="C562" s="6" t="s">
        <v>1534</v>
      </c>
      <c r="D562" s="6" t="s">
        <v>1493</v>
      </c>
      <c r="E562" s="6" t="s">
        <v>11</v>
      </c>
      <c r="F562" s="9">
        <v>5</v>
      </c>
      <c r="G562" s="9">
        <v>5</v>
      </c>
      <c r="H562" s="10">
        <v>399</v>
      </c>
      <c r="I562" s="11">
        <v>0.87</v>
      </c>
      <c r="J562" s="11">
        <v>0.48</v>
      </c>
      <c r="K562" s="12">
        <f t="shared" si="48"/>
        <v>0.19624060150375938</v>
      </c>
      <c r="L562" s="12">
        <f t="shared" si="49"/>
        <v>0.10827067669172931</v>
      </c>
      <c r="M562" s="10">
        <v>0</v>
      </c>
      <c r="N562" s="10">
        <v>0</v>
      </c>
      <c r="O562" s="10">
        <v>14</v>
      </c>
      <c r="P562" s="10">
        <v>1</v>
      </c>
      <c r="Q562" s="10">
        <v>2</v>
      </c>
      <c r="R562" s="11">
        <v>7.44</v>
      </c>
      <c r="S562" s="6"/>
      <c r="T562" s="6"/>
      <c r="U562" s="6"/>
      <c r="V562" s="7" t="b">
        <v>0</v>
      </c>
      <c r="W562" s="8">
        <f>IFERROR(VLOOKUP(D562,Teams!$B$2:$I$21,6,FALSE),"")</f>
        <v>0</v>
      </c>
      <c r="X562" s="2" t="s">
        <v>65</v>
      </c>
      <c r="Y562" s="13"/>
      <c r="Z562" s="14"/>
      <c r="AA562" s="15">
        <f>IFERROR(H562/(H562+Priors!$G$3),0)</f>
        <v>0.28520371694067193</v>
      </c>
      <c r="AB562" s="16">
        <f>VLOOKUP(E562,Priors!$A$3:$C$6,2,FALSE)</f>
        <v>0.15714383234350468</v>
      </c>
      <c r="AC562" s="16">
        <f>VLOOKUP(E562,Priors!$A$3:$C$6,3,FALSE)</f>
        <v>0.13222062939449797</v>
      </c>
      <c r="AD562" s="12">
        <f t="shared" si="50"/>
        <v>0.16829437622838075</v>
      </c>
      <c r="AE562" s="12">
        <f t="shared" si="51"/>
        <v>0.12539001386311505</v>
      </c>
      <c r="AF562" s="17">
        <v>1</v>
      </c>
      <c r="AG562" s="17">
        <v>1</v>
      </c>
      <c r="AH562" s="16">
        <f>IFERROR(VLOOKUP(D562,Teams!$B$2:$I$21,7,FALSE),1)</f>
        <v>1</v>
      </c>
      <c r="AI562" s="12">
        <f t="shared" si="52"/>
        <v>0.16829437622838075</v>
      </c>
      <c r="AJ562" s="12">
        <f t="shared" si="53"/>
        <v>0.12539001386311505</v>
      </c>
      <c r="AK562" s="6" t="s">
        <v>66</v>
      </c>
      <c r="AL562" s="18"/>
      <c r="AM562" s="23"/>
      <c r="AN562" s="24">
        <v>0</v>
      </c>
      <c r="AO562" s="25" t="b">
        <v>1</v>
      </c>
      <c r="AP562" s="23" t="s">
        <v>609</v>
      </c>
      <c r="AQ562" s="25" t="b">
        <v>0</v>
      </c>
      <c r="AR562" s="23"/>
      <c r="AS562" s="23" t="s">
        <v>68</v>
      </c>
    </row>
    <row r="563" spans="1:45" ht="60">
      <c r="A563" s="6">
        <v>548</v>
      </c>
      <c r="B563" s="6" t="s">
        <v>1535</v>
      </c>
      <c r="C563" s="6" t="s">
        <v>1536</v>
      </c>
      <c r="D563" s="6" t="s">
        <v>1493</v>
      </c>
      <c r="E563" s="6" t="s">
        <v>11</v>
      </c>
      <c r="F563" s="9">
        <v>5</v>
      </c>
      <c r="G563" s="9">
        <v>5</v>
      </c>
      <c r="H563" s="10">
        <v>758</v>
      </c>
      <c r="I563" s="11">
        <v>0.86</v>
      </c>
      <c r="J563" s="11">
        <v>0.93</v>
      </c>
      <c r="K563" s="12">
        <f t="shared" si="48"/>
        <v>0.10211081794195251</v>
      </c>
      <c r="L563" s="12">
        <f t="shared" si="49"/>
        <v>0.11042216358839051</v>
      </c>
      <c r="M563" s="10">
        <v>1</v>
      </c>
      <c r="N563" s="10">
        <v>1</v>
      </c>
      <c r="O563" s="10">
        <v>36</v>
      </c>
      <c r="P563" s="10">
        <v>2</v>
      </c>
      <c r="Q563" s="10">
        <v>11</v>
      </c>
      <c r="R563" s="11">
        <v>6.77</v>
      </c>
      <c r="S563" s="6"/>
      <c r="T563" s="6"/>
      <c r="U563" s="6"/>
      <c r="V563" s="7" t="b">
        <v>0</v>
      </c>
      <c r="W563" s="8">
        <f>IFERROR(VLOOKUP(D563,Teams!$B$2:$I$21,6,FALSE),"")</f>
        <v>0</v>
      </c>
      <c r="X563" s="2" t="s">
        <v>65</v>
      </c>
      <c r="Y563" s="13"/>
      <c r="Z563" s="14"/>
      <c r="AA563" s="15">
        <f>IFERROR(H563/(H563+Priors!$G$3),0)</f>
        <v>0.43117178612059159</v>
      </c>
      <c r="AB563" s="16">
        <f>VLOOKUP(E563,Priors!$A$3:$C$6,2,FALSE)</f>
        <v>0.15714383234350468</v>
      </c>
      <c r="AC563" s="16">
        <f>VLOOKUP(E563,Priors!$A$3:$C$6,3,FALSE)</f>
        <v>0.13222062939449797</v>
      </c>
      <c r="AD563" s="12">
        <f t="shared" si="50"/>
        <v>0.13341514922838718</v>
      </c>
      <c r="AE563" s="12">
        <f t="shared" si="51"/>
        <v>0.12282174595818998</v>
      </c>
      <c r="AF563" s="17">
        <v>1</v>
      </c>
      <c r="AG563" s="17">
        <v>1</v>
      </c>
      <c r="AH563" s="16">
        <f>IFERROR(VLOOKUP(D563,Teams!$B$2:$I$21,7,FALSE),1)</f>
        <v>1</v>
      </c>
      <c r="AI563" s="12">
        <f t="shared" si="52"/>
        <v>0.13341514922838718</v>
      </c>
      <c r="AJ563" s="12">
        <f t="shared" si="53"/>
        <v>0.12282174595818998</v>
      </c>
      <c r="AK563" s="6" t="s">
        <v>66</v>
      </c>
      <c r="AL563" s="18"/>
      <c r="AM563" s="23"/>
      <c r="AN563" s="24">
        <v>1E-3</v>
      </c>
      <c r="AO563" s="25" t="b">
        <v>1</v>
      </c>
      <c r="AP563" s="23" t="s">
        <v>1537</v>
      </c>
      <c r="AQ563" s="25" t="b">
        <v>0</v>
      </c>
      <c r="AR563" s="23"/>
      <c r="AS563" s="23" t="s">
        <v>68</v>
      </c>
    </row>
    <row r="564" spans="1:45" ht="60">
      <c r="A564" s="6">
        <v>549</v>
      </c>
      <c r="B564" s="6" t="s">
        <v>1538</v>
      </c>
      <c r="C564" s="6" t="s">
        <v>1539</v>
      </c>
      <c r="D564" s="6" t="s">
        <v>1493</v>
      </c>
      <c r="E564" s="6" t="s">
        <v>11</v>
      </c>
      <c r="F564" s="9">
        <v>5.5</v>
      </c>
      <c r="G564" s="9">
        <v>5.5</v>
      </c>
      <c r="H564" s="10">
        <v>1553</v>
      </c>
      <c r="I564" s="11">
        <v>2.13</v>
      </c>
      <c r="J564" s="11">
        <v>1.18</v>
      </c>
      <c r="K564" s="12">
        <f t="shared" si="48"/>
        <v>0.12343850611719252</v>
      </c>
      <c r="L564" s="12">
        <f t="shared" si="49"/>
        <v>6.8383773341918863E-2</v>
      </c>
      <c r="M564" s="10">
        <v>4</v>
      </c>
      <c r="N564" s="10">
        <v>2</v>
      </c>
      <c r="O564" s="10">
        <v>83</v>
      </c>
      <c r="P564" s="10">
        <v>3</v>
      </c>
      <c r="Q564" s="10">
        <v>16</v>
      </c>
      <c r="R564" s="11">
        <v>5.33</v>
      </c>
      <c r="S564" s="6"/>
      <c r="T564" s="6"/>
      <c r="U564" s="6"/>
      <c r="V564" s="7" t="b">
        <v>0</v>
      </c>
      <c r="W564" s="8">
        <f>IFERROR(VLOOKUP(D564,Teams!$B$2:$I$21,6,FALSE),"")</f>
        <v>0</v>
      </c>
      <c r="X564" s="2" t="s">
        <v>65</v>
      </c>
      <c r="Y564" s="13"/>
      <c r="Z564" s="14"/>
      <c r="AA564" s="15">
        <f>IFERROR(H564/(H564+Priors!$G$3),0)</f>
        <v>0.60830395613004307</v>
      </c>
      <c r="AB564" s="16">
        <f>VLOOKUP(E564,Priors!$A$3:$C$6,2,FALSE)</f>
        <v>0.15714383234350468</v>
      </c>
      <c r="AC564" s="16">
        <f>VLOOKUP(E564,Priors!$A$3:$C$6,3,FALSE)</f>
        <v>0.13222062939449797</v>
      </c>
      <c r="AD564" s="12">
        <f t="shared" si="50"/>
        <v>0.1366407490573853</v>
      </c>
      <c r="AE564" s="12">
        <f t="shared" si="51"/>
        <v>9.3388417310810018E-2</v>
      </c>
      <c r="AF564" s="17">
        <v>1</v>
      </c>
      <c r="AG564" s="17">
        <v>1</v>
      </c>
      <c r="AH564" s="16">
        <f>IFERROR(VLOOKUP(D564,Teams!$B$2:$I$21,7,FALSE),1)</f>
        <v>1</v>
      </c>
      <c r="AI564" s="12">
        <f t="shared" si="52"/>
        <v>0.1366407490573853</v>
      </c>
      <c r="AJ564" s="12">
        <f t="shared" si="53"/>
        <v>9.3388417310810018E-2</v>
      </c>
      <c r="AK564" s="6" t="s">
        <v>66</v>
      </c>
      <c r="AL564" s="18"/>
      <c r="AM564" s="23"/>
      <c r="AN564" s="24">
        <v>2E-3</v>
      </c>
      <c r="AO564" s="25" t="b">
        <v>1</v>
      </c>
      <c r="AP564" s="23" t="s">
        <v>774</v>
      </c>
      <c r="AQ564" s="25" t="b">
        <v>0</v>
      </c>
      <c r="AR564" s="23"/>
      <c r="AS564" s="23" t="s">
        <v>68</v>
      </c>
    </row>
    <row r="565" spans="1:45" ht="60">
      <c r="A565" s="6">
        <v>550</v>
      </c>
      <c r="B565" s="6" t="s">
        <v>1540</v>
      </c>
      <c r="C565" s="6" t="s">
        <v>1541</v>
      </c>
      <c r="D565" s="6" t="s">
        <v>1493</v>
      </c>
      <c r="E565" s="6" t="s">
        <v>11</v>
      </c>
      <c r="F565" s="9">
        <v>5</v>
      </c>
      <c r="G565" s="9">
        <v>5</v>
      </c>
      <c r="H565" s="10">
        <v>38</v>
      </c>
      <c r="I565" s="11">
        <v>0</v>
      </c>
      <c r="J565" s="11">
        <v>0.04</v>
      </c>
      <c r="K565" s="12">
        <f t="shared" si="48"/>
        <v>0</v>
      </c>
      <c r="L565" s="12">
        <f t="shared" si="49"/>
        <v>9.4736842105263161E-2</v>
      </c>
      <c r="M565" s="10">
        <v>0</v>
      </c>
      <c r="N565" s="10">
        <v>0</v>
      </c>
      <c r="O565" s="10">
        <v>1</v>
      </c>
      <c r="P565" s="10">
        <v>1</v>
      </c>
      <c r="Q565" s="10">
        <v>1</v>
      </c>
      <c r="R565" s="11">
        <v>7.11</v>
      </c>
      <c r="S565" s="6"/>
      <c r="T565" s="6"/>
      <c r="U565" s="6"/>
      <c r="V565" s="7" t="b">
        <v>0</v>
      </c>
      <c r="W565" s="8">
        <f>IFERROR(VLOOKUP(D565,Teams!$B$2:$I$21,6,FALSE),"")</f>
        <v>0</v>
      </c>
      <c r="X565" s="2" t="s">
        <v>65</v>
      </c>
      <c r="Y565" s="13"/>
      <c r="Z565" s="14"/>
      <c r="AA565" s="15">
        <f>IFERROR(H565/(H565+Priors!$G$3),0)</f>
        <v>3.6608863198458574E-2</v>
      </c>
      <c r="AB565" s="16">
        <f>VLOOKUP(E565,Priors!$A$3:$C$6,2,FALSE)</f>
        <v>0.15714383234350468</v>
      </c>
      <c r="AC565" s="16">
        <f>VLOOKUP(E565,Priors!$A$3:$C$6,3,FALSE)</f>
        <v>0.13222062939449797</v>
      </c>
      <c r="AD565" s="12">
        <f t="shared" si="50"/>
        <v>0.1513909752827598</v>
      </c>
      <c r="AE565" s="12">
        <f t="shared" si="51"/>
        <v>0.13084839055346625</v>
      </c>
      <c r="AF565" s="17">
        <v>1</v>
      </c>
      <c r="AG565" s="17">
        <v>1</v>
      </c>
      <c r="AH565" s="16">
        <f>IFERROR(VLOOKUP(D565,Teams!$B$2:$I$21,7,FALSE),1)</f>
        <v>1</v>
      </c>
      <c r="AI565" s="12">
        <f t="shared" si="52"/>
        <v>0.1513909752827598</v>
      </c>
      <c r="AJ565" s="12">
        <f t="shared" si="53"/>
        <v>0.13084839055346625</v>
      </c>
      <c r="AK565" s="6" t="s">
        <v>66</v>
      </c>
      <c r="AL565" s="18"/>
      <c r="AM565" s="23"/>
      <c r="AN565" s="24">
        <v>0</v>
      </c>
      <c r="AO565" s="25" t="b">
        <v>1</v>
      </c>
      <c r="AP565" s="23" t="s">
        <v>1542</v>
      </c>
      <c r="AQ565" s="25" t="b">
        <v>0</v>
      </c>
      <c r="AR565" s="23"/>
      <c r="AS565" s="23" t="s">
        <v>68</v>
      </c>
    </row>
    <row r="566" spans="1:45" ht="60">
      <c r="A566" s="6">
        <v>551</v>
      </c>
      <c r="B566" s="6" t="s">
        <v>1543</v>
      </c>
      <c r="C566" s="6" t="s">
        <v>1544</v>
      </c>
      <c r="D566" s="6" t="s">
        <v>1493</v>
      </c>
      <c r="E566" s="6" t="s">
        <v>11</v>
      </c>
      <c r="F566" s="9">
        <v>5</v>
      </c>
      <c r="G566" s="9">
        <v>5</v>
      </c>
      <c r="H566" s="10">
        <v>401</v>
      </c>
      <c r="I566" s="11">
        <v>0.77</v>
      </c>
      <c r="J566" s="11">
        <v>0.12</v>
      </c>
      <c r="K566" s="12">
        <f t="shared" si="48"/>
        <v>0.17281795511221945</v>
      </c>
      <c r="L566" s="12">
        <f t="shared" si="49"/>
        <v>2.6932668329177054E-2</v>
      </c>
      <c r="M566" s="10">
        <v>0</v>
      </c>
      <c r="N566" s="10">
        <v>0</v>
      </c>
      <c r="O566" s="10">
        <v>13</v>
      </c>
      <c r="P566" s="10">
        <v>1.6</v>
      </c>
      <c r="Q566" s="10">
        <v>5</v>
      </c>
      <c r="R566" s="11">
        <v>7.86</v>
      </c>
      <c r="S566" s="6"/>
      <c r="T566" s="6"/>
      <c r="U566" s="6"/>
      <c r="V566" s="7" t="b">
        <v>0</v>
      </c>
      <c r="W566" s="8">
        <f>IFERROR(VLOOKUP(D566,Teams!$B$2:$I$21,6,FALSE),"")</f>
        <v>0</v>
      </c>
      <c r="X566" s="2" t="s">
        <v>65</v>
      </c>
      <c r="Y566" s="13"/>
      <c r="Z566" s="14"/>
      <c r="AA566" s="15">
        <f>IFERROR(H566/(H566+Priors!$G$3),0)</f>
        <v>0.2862241256245539</v>
      </c>
      <c r="AB566" s="16">
        <f>VLOOKUP(E566,Priors!$A$3:$C$6,2,FALSE)</f>
        <v>0.15714383234350468</v>
      </c>
      <c r="AC566" s="16">
        <f>VLOOKUP(E566,Priors!$A$3:$C$6,3,FALSE)</f>
        <v>0.13222062939449797</v>
      </c>
      <c r="AD566" s="12">
        <f t="shared" si="50"/>
        <v>0.16163014442791199</v>
      </c>
      <c r="AE566" s="12">
        <f t="shared" si="51"/>
        <v>0.10208467479978442</v>
      </c>
      <c r="AF566" s="17">
        <v>1</v>
      </c>
      <c r="AG566" s="17">
        <v>1</v>
      </c>
      <c r="AH566" s="16">
        <f>IFERROR(VLOOKUP(D566,Teams!$B$2:$I$21,7,FALSE),1)</f>
        <v>1</v>
      </c>
      <c r="AI566" s="12">
        <f t="shared" si="52"/>
        <v>0.16163014442791199</v>
      </c>
      <c r="AJ566" s="12">
        <f t="shared" si="53"/>
        <v>0.10208467479978442</v>
      </c>
      <c r="AK566" s="6" t="s">
        <v>66</v>
      </c>
      <c r="AL566" s="18"/>
      <c r="AM566" s="23"/>
      <c r="AN566" s="24">
        <v>1E-3</v>
      </c>
      <c r="AO566" s="25" t="b">
        <v>1</v>
      </c>
      <c r="AP566" s="23" t="s">
        <v>699</v>
      </c>
      <c r="AQ566" s="25" t="b">
        <v>0</v>
      </c>
      <c r="AR566" s="23"/>
      <c r="AS566" s="23" t="s">
        <v>68</v>
      </c>
    </row>
    <row r="567" spans="1:45" ht="60">
      <c r="A567" s="6">
        <v>552</v>
      </c>
      <c r="B567" s="6" t="s">
        <v>1545</v>
      </c>
      <c r="C567" s="6" t="s">
        <v>1546</v>
      </c>
      <c r="D567" s="6" t="s">
        <v>1493</v>
      </c>
      <c r="E567" s="6" t="s">
        <v>14</v>
      </c>
      <c r="F567" s="9">
        <v>6</v>
      </c>
      <c r="G567" s="9">
        <v>6</v>
      </c>
      <c r="H567" s="10">
        <v>1920</v>
      </c>
      <c r="I567" s="11">
        <v>6.02</v>
      </c>
      <c r="J567" s="11">
        <v>0.67</v>
      </c>
      <c r="K567" s="12">
        <f t="shared" si="48"/>
        <v>0.28218749999999998</v>
      </c>
      <c r="L567" s="12">
        <f t="shared" si="49"/>
        <v>3.1406250000000004E-2</v>
      </c>
      <c r="M567" s="10">
        <v>7</v>
      </c>
      <c r="N567" s="10">
        <v>2</v>
      </c>
      <c r="O567" s="10">
        <v>92</v>
      </c>
      <c r="P567" s="10">
        <v>3</v>
      </c>
      <c r="Q567" s="10">
        <v>22</v>
      </c>
      <c r="R567" s="11">
        <v>3.47</v>
      </c>
      <c r="S567" s="6"/>
      <c r="T567" s="6"/>
      <c r="U567" s="6"/>
      <c r="V567" s="7" t="b">
        <v>0</v>
      </c>
      <c r="W567" s="8">
        <f>IFERROR(VLOOKUP(D567,Teams!$B$2:$I$21,6,FALSE),"")</f>
        <v>0</v>
      </c>
      <c r="X567" s="2" t="s">
        <v>65</v>
      </c>
      <c r="Y567" s="13"/>
      <c r="Z567" s="14"/>
      <c r="AA567" s="15">
        <f>IFERROR(H567/(H567+Priors!$G$3),0)</f>
        <v>0.65753424657534243</v>
      </c>
      <c r="AB567" s="16">
        <f>VLOOKUP(E567,Priors!$A$3:$C$6,2,FALSE)</f>
        <v>0.44625207326425426</v>
      </c>
      <c r="AC567" s="16">
        <f>VLOOKUP(E567,Priors!$A$3:$C$6,3,FALSE)</f>
        <v>5.8217260259314105E-2</v>
      </c>
      <c r="AD567" s="12">
        <f t="shared" si="50"/>
        <v>0.33837399769323773</v>
      </c>
      <c r="AE567" s="12">
        <f t="shared" si="51"/>
        <v>4.058810282853223E-2</v>
      </c>
      <c r="AF567" s="17">
        <v>1</v>
      </c>
      <c r="AG567" s="17">
        <v>1</v>
      </c>
      <c r="AH567" s="16">
        <f>IFERROR(VLOOKUP(D567,Teams!$B$2:$I$21,7,FALSE),1)</f>
        <v>1</v>
      </c>
      <c r="AI567" s="12">
        <f t="shared" si="52"/>
        <v>0.33837399769323773</v>
      </c>
      <c r="AJ567" s="12">
        <f t="shared" si="53"/>
        <v>4.058810282853223E-2</v>
      </c>
      <c r="AK567" s="6" t="s">
        <v>66</v>
      </c>
      <c r="AL567" s="18"/>
      <c r="AM567" s="23"/>
      <c r="AN567" s="24">
        <v>0.20800000000000002</v>
      </c>
      <c r="AO567" s="25" t="b">
        <v>1</v>
      </c>
      <c r="AP567" s="23" t="s">
        <v>181</v>
      </c>
      <c r="AQ567" s="25" t="b">
        <v>0</v>
      </c>
      <c r="AR567" s="23"/>
      <c r="AS567" s="23" t="s">
        <v>68</v>
      </c>
    </row>
    <row r="568" spans="1:45" ht="60">
      <c r="A568" s="6">
        <v>553</v>
      </c>
      <c r="B568" s="6" t="s">
        <v>1547</v>
      </c>
      <c r="C568" s="6" t="s">
        <v>1548</v>
      </c>
      <c r="D568" s="6" t="s">
        <v>1493</v>
      </c>
      <c r="E568" s="6" t="s">
        <v>14</v>
      </c>
      <c r="F568" s="9">
        <v>5.5</v>
      </c>
      <c r="G568" s="9">
        <v>5.5</v>
      </c>
      <c r="H568" s="10">
        <v>1148</v>
      </c>
      <c r="I568" s="11">
        <v>4.7</v>
      </c>
      <c r="J568" s="11">
        <v>0.38</v>
      </c>
      <c r="K568" s="12">
        <f t="shared" si="48"/>
        <v>0.36846689895470386</v>
      </c>
      <c r="L568" s="12">
        <f t="shared" si="49"/>
        <v>2.9790940766550526E-2</v>
      </c>
      <c r="M568" s="10">
        <v>6</v>
      </c>
      <c r="N568" s="10">
        <v>1</v>
      </c>
      <c r="O568" s="10">
        <v>74</v>
      </c>
      <c r="P568" s="10">
        <v>2.2999999999999998</v>
      </c>
      <c r="Q568" s="10">
        <v>11</v>
      </c>
      <c r="R568" s="11">
        <v>4</v>
      </c>
      <c r="S568" s="6"/>
      <c r="T568" s="6"/>
      <c r="U568" s="6"/>
      <c r="V568" s="7" t="b">
        <v>0</v>
      </c>
      <c r="W568" s="8">
        <f>IFERROR(VLOOKUP(D568,Teams!$B$2:$I$21,6,FALSE),"")</f>
        <v>0</v>
      </c>
      <c r="X568" s="2" t="s">
        <v>65</v>
      </c>
      <c r="Y568" s="13"/>
      <c r="Z568" s="14"/>
      <c r="AA568" s="15">
        <f>IFERROR(H568/(H568+Priors!$G$3),0)</f>
        <v>0.53445065176908757</v>
      </c>
      <c r="AB568" s="16">
        <f>VLOOKUP(E568,Priors!$A$3:$C$6,2,FALSE)</f>
        <v>0.44625207326425426</v>
      </c>
      <c r="AC568" s="16">
        <f>VLOOKUP(E568,Priors!$A$3:$C$6,3,FALSE)</f>
        <v>5.8217260259314105E-2</v>
      </c>
      <c r="AD568" s="12">
        <f t="shared" si="50"/>
        <v>0.40467973615654296</v>
      </c>
      <c r="AE568" s="12">
        <f t="shared" si="51"/>
        <v>4.3024795279010292E-2</v>
      </c>
      <c r="AF568" s="17">
        <v>1</v>
      </c>
      <c r="AG568" s="17">
        <v>1</v>
      </c>
      <c r="AH568" s="16">
        <f>IFERROR(VLOOKUP(D568,Teams!$B$2:$I$21,7,FALSE),1)</f>
        <v>1</v>
      </c>
      <c r="AI568" s="12">
        <f t="shared" si="52"/>
        <v>0.40467973615654296</v>
      </c>
      <c r="AJ568" s="12">
        <f t="shared" si="53"/>
        <v>4.3024795279010292E-2</v>
      </c>
      <c r="AK568" s="6" t="s">
        <v>66</v>
      </c>
      <c r="AL568" s="18"/>
      <c r="AM568" s="23"/>
      <c r="AN568" s="24">
        <v>1.2E-2</v>
      </c>
      <c r="AO568" s="25" t="b">
        <v>1</v>
      </c>
      <c r="AP568" s="23" t="s">
        <v>1228</v>
      </c>
      <c r="AQ568" s="25" t="b">
        <v>0</v>
      </c>
      <c r="AR568" s="23"/>
      <c r="AS568" s="23" t="s">
        <v>68</v>
      </c>
    </row>
  </sheetData>
  <conditionalFormatting sqref="AA2:AA5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568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{82866C96-DD2B-D345-7352-E768396A44D8}</x14:id>
        </ext>
      </extLst>
    </cfRule>
  </conditionalFormatting>
  <dataValidations count="2">
    <dataValidation type="decimal" sqref="Y2:Y568" xr:uid="{00000000-0002-0000-0100-000003000000}">
      <formula1>0</formula1>
      <formula2>1</formula2>
    </dataValidation>
    <dataValidation type="decimal" sqref="Z2:Z568" xr:uid="{00000000-0002-0000-0100-000004000000}">
      <formula1>0</formula1>
      <formula2>90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866C96-DD2B-D345-7352-E768396A44D8}">
            <x14:dataBar>
              <x14:cfvo type="min"/>
              <x14:cfvo type="max"/>
              <x14:negativeFillColor auto="1"/>
              <x14:axisColor auto="1"/>
            </x14:dataBar>
          </x14:cfRule>
          <xm:sqref>AN2:AN568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Lists!$A$2:$A$21</xm:f>
          </x14:formula1>
          <xm:sqref>D2:D568</xm:sqref>
        </x14:dataValidation>
        <x14:dataValidation type="list" xr:uid="{00000000-0002-0000-0100-000001000000}">
          <x14:formula1>
            <xm:f>Lists!$B$2:$B$5</xm:f>
          </x14:formula1>
          <xm:sqref>E2:E568</xm:sqref>
        </x14:dataValidation>
        <x14:dataValidation type="list" xr:uid="{00000000-0002-0000-0100-000002000000}">
          <x14:formula1>
            <xm:f>Lists!$D$2:$D$6</xm:f>
          </x14:formula1>
          <xm:sqref>X2:X568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3" width="9" customWidth="1"/>
    <col min="4" max="5" width="16" customWidth="1"/>
    <col min="6" max="7" width="15" customWidth="1"/>
    <col min="8" max="9" width="16" customWidth="1"/>
    <col min="10" max="10" width="30" customWidth="1"/>
    <col min="11" max="11" width="34" customWidth="1"/>
  </cols>
  <sheetData>
    <row r="1" spans="1:11" ht="15">
      <c r="A1" s="4" t="s">
        <v>1549</v>
      </c>
      <c r="B1" s="4" t="s">
        <v>21</v>
      </c>
      <c r="C1" s="4" t="s">
        <v>1550</v>
      </c>
      <c r="D1" s="4" t="s">
        <v>1551</v>
      </c>
      <c r="E1" s="4" t="s">
        <v>1552</v>
      </c>
      <c r="F1" s="4" t="s">
        <v>1553</v>
      </c>
      <c r="G1" s="4" t="s">
        <v>39</v>
      </c>
      <c r="H1" s="4" t="s">
        <v>1554</v>
      </c>
      <c r="I1" s="4" t="s">
        <v>1555</v>
      </c>
      <c r="J1" s="4" t="s">
        <v>60</v>
      </c>
      <c r="K1" s="4" t="s">
        <v>61</v>
      </c>
    </row>
    <row r="2" spans="1:11">
      <c r="A2">
        <v>1</v>
      </c>
      <c r="B2" t="s">
        <v>64</v>
      </c>
      <c r="C2" t="s">
        <v>1556</v>
      </c>
      <c r="D2">
        <v>4</v>
      </c>
      <c r="E2">
        <v>5</v>
      </c>
      <c r="F2" s="1" t="b">
        <v>0</v>
      </c>
      <c r="G2" s="2"/>
      <c r="H2" s="17">
        <v>1</v>
      </c>
      <c r="I2" s="17">
        <v>1</v>
      </c>
      <c r="K2" t="s">
        <v>1557</v>
      </c>
    </row>
    <row r="3" spans="1:11">
      <c r="A3">
        <v>2</v>
      </c>
      <c r="B3" t="s">
        <v>153</v>
      </c>
      <c r="C3" t="s">
        <v>1558</v>
      </c>
      <c r="D3">
        <v>3</v>
      </c>
      <c r="E3">
        <v>4</v>
      </c>
      <c r="F3" s="1" t="b">
        <v>0</v>
      </c>
      <c r="G3" s="2"/>
      <c r="H3" s="17">
        <v>1</v>
      </c>
      <c r="I3" s="17">
        <v>1</v>
      </c>
      <c r="K3" t="s">
        <v>1557</v>
      </c>
    </row>
    <row r="4" spans="1:11">
      <c r="A4">
        <v>3</v>
      </c>
      <c r="B4" t="s">
        <v>236</v>
      </c>
      <c r="C4" t="s">
        <v>1559</v>
      </c>
      <c r="D4">
        <v>3</v>
      </c>
      <c r="E4">
        <v>3</v>
      </c>
      <c r="F4" s="1" t="b">
        <v>0</v>
      </c>
      <c r="G4" s="2"/>
      <c r="H4" s="17">
        <v>1</v>
      </c>
      <c r="I4" s="17">
        <v>1</v>
      </c>
      <c r="K4" t="s">
        <v>1557</v>
      </c>
    </row>
    <row r="5" spans="1:11">
      <c r="A5">
        <v>4</v>
      </c>
      <c r="B5" t="s">
        <v>312</v>
      </c>
      <c r="C5" t="s">
        <v>1560</v>
      </c>
      <c r="D5">
        <v>3</v>
      </c>
      <c r="E5">
        <v>3</v>
      </c>
      <c r="F5" s="1" t="b">
        <v>0</v>
      </c>
      <c r="G5" s="2"/>
      <c r="H5" s="17">
        <v>1</v>
      </c>
      <c r="I5" s="17">
        <v>1</v>
      </c>
      <c r="K5" t="s">
        <v>1557</v>
      </c>
    </row>
    <row r="6" spans="1:11">
      <c r="A6">
        <v>5</v>
      </c>
      <c r="B6" t="s">
        <v>390</v>
      </c>
      <c r="C6" t="s">
        <v>1561</v>
      </c>
      <c r="D6">
        <v>2</v>
      </c>
      <c r="E6">
        <v>3</v>
      </c>
      <c r="F6" s="1" t="b">
        <v>0</v>
      </c>
      <c r="G6" s="2"/>
      <c r="H6" s="17">
        <v>1</v>
      </c>
      <c r="I6" s="17">
        <v>1</v>
      </c>
      <c r="K6" t="s">
        <v>1557</v>
      </c>
    </row>
    <row r="7" spans="1:11">
      <c r="A7">
        <v>6</v>
      </c>
      <c r="B7" t="s">
        <v>474</v>
      </c>
      <c r="C7" t="s">
        <v>1562</v>
      </c>
      <c r="D7">
        <v>4</v>
      </c>
      <c r="E7">
        <v>4</v>
      </c>
      <c r="F7" s="1" t="b">
        <v>0</v>
      </c>
      <c r="G7" s="2"/>
      <c r="H7" s="17">
        <v>1</v>
      </c>
      <c r="I7" s="17">
        <v>1</v>
      </c>
      <c r="K7" t="s">
        <v>1557</v>
      </c>
    </row>
    <row r="8" spans="1:11">
      <c r="A8">
        <v>7</v>
      </c>
      <c r="B8" t="s">
        <v>567</v>
      </c>
      <c r="C8" t="s">
        <v>1563</v>
      </c>
      <c r="D8">
        <v>2</v>
      </c>
      <c r="E8">
        <v>2</v>
      </c>
      <c r="F8" s="1" t="b">
        <v>1</v>
      </c>
      <c r="G8" s="2"/>
      <c r="H8" s="17">
        <v>1</v>
      </c>
      <c r="I8" s="17">
        <v>1</v>
      </c>
      <c r="K8" t="s">
        <v>1557</v>
      </c>
    </row>
    <row r="9" spans="1:11">
      <c r="A9">
        <v>8</v>
      </c>
      <c r="B9" t="s">
        <v>639</v>
      </c>
      <c r="C9" t="s">
        <v>1564</v>
      </c>
      <c r="D9">
        <v>3</v>
      </c>
      <c r="E9">
        <v>3</v>
      </c>
      <c r="F9" s="1" t="b">
        <v>0</v>
      </c>
      <c r="G9" s="2"/>
      <c r="H9" s="17">
        <v>1</v>
      </c>
      <c r="I9" s="17">
        <v>1</v>
      </c>
      <c r="K9" t="s">
        <v>1557</v>
      </c>
    </row>
    <row r="10" spans="1:11">
      <c r="A10">
        <v>9</v>
      </c>
      <c r="B10" t="s">
        <v>714</v>
      </c>
      <c r="C10" t="s">
        <v>1565</v>
      </c>
      <c r="D10">
        <v>3</v>
      </c>
      <c r="E10">
        <v>3</v>
      </c>
      <c r="F10" s="1" t="b">
        <v>0</v>
      </c>
      <c r="G10" s="2"/>
      <c r="H10" s="17">
        <v>1</v>
      </c>
      <c r="I10" s="17">
        <v>1</v>
      </c>
      <c r="K10" t="s">
        <v>1557</v>
      </c>
    </row>
    <row r="11" spans="1:11">
      <c r="A11">
        <v>10</v>
      </c>
      <c r="B11" t="s">
        <v>777</v>
      </c>
      <c r="C11" t="s">
        <v>1566</v>
      </c>
      <c r="D11">
        <v>2</v>
      </c>
      <c r="E11">
        <v>3</v>
      </c>
      <c r="F11" s="1" t="b">
        <v>0</v>
      </c>
      <c r="G11" s="2"/>
      <c r="H11" s="17">
        <v>1</v>
      </c>
      <c r="I11" s="17">
        <v>1</v>
      </c>
      <c r="K11" t="s">
        <v>1557</v>
      </c>
    </row>
    <row r="12" spans="1:11">
      <c r="A12">
        <v>11</v>
      </c>
      <c r="B12" t="s">
        <v>831</v>
      </c>
      <c r="C12" t="s">
        <v>1567</v>
      </c>
      <c r="D12">
        <v>2</v>
      </c>
      <c r="E12">
        <v>2</v>
      </c>
      <c r="F12" s="1" t="b">
        <v>1</v>
      </c>
      <c r="G12" s="2"/>
      <c r="H12" s="17">
        <v>1</v>
      </c>
      <c r="I12" s="17">
        <v>1</v>
      </c>
      <c r="K12" t="s">
        <v>1557</v>
      </c>
    </row>
    <row r="13" spans="1:11">
      <c r="A13">
        <v>12</v>
      </c>
      <c r="B13" t="s">
        <v>903</v>
      </c>
      <c r="C13" t="s">
        <v>1568</v>
      </c>
      <c r="D13">
        <v>2</v>
      </c>
      <c r="E13">
        <v>2</v>
      </c>
      <c r="F13" s="1" t="b">
        <v>1</v>
      </c>
      <c r="G13" s="2"/>
      <c r="H13" s="17">
        <v>1</v>
      </c>
      <c r="I13" s="17">
        <v>1</v>
      </c>
      <c r="K13" t="s">
        <v>1557</v>
      </c>
    </row>
    <row r="14" spans="1:11">
      <c r="A14">
        <v>13</v>
      </c>
      <c r="B14" t="s">
        <v>978</v>
      </c>
      <c r="C14" t="s">
        <v>1569</v>
      </c>
      <c r="D14">
        <v>2</v>
      </c>
      <c r="E14">
        <v>3</v>
      </c>
      <c r="F14" s="1" t="b">
        <v>0</v>
      </c>
      <c r="G14" s="2"/>
      <c r="H14" s="17">
        <v>1</v>
      </c>
      <c r="I14" s="17">
        <v>1</v>
      </c>
      <c r="K14" t="s">
        <v>1557</v>
      </c>
    </row>
    <row r="15" spans="1:11">
      <c r="A15">
        <v>14</v>
      </c>
      <c r="B15" t="s">
        <v>1037</v>
      </c>
      <c r="C15" t="s">
        <v>1570</v>
      </c>
      <c r="D15">
        <v>4</v>
      </c>
      <c r="E15">
        <v>4</v>
      </c>
      <c r="F15" s="1" t="b">
        <v>0</v>
      </c>
      <c r="G15" s="2"/>
      <c r="H15" s="17">
        <v>1</v>
      </c>
      <c r="I15" s="17">
        <v>1</v>
      </c>
      <c r="K15" t="s">
        <v>1557</v>
      </c>
    </row>
    <row r="16" spans="1:11">
      <c r="A16">
        <v>15</v>
      </c>
      <c r="B16" t="s">
        <v>1126</v>
      </c>
      <c r="C16" t="s">
        <v>1571</v>
      </c>
      <c r="D16">
        <v>4</v>
      </c>
      <c r="E16">
        <v>5</v>
      </c>
      <c r="F16" s="1" t="b">
        <v>0</v>
      </c>
      <c r="G16" s="2"/>
      <c r="H16" s="17">
        <v>1</v>
      </c>
      <c r="I16" s="17">
        <v>1</v>
      </c>
      <c r="K16" t="s">
        <v>1557</v>
      </c>
    </row>
    <row r="17" spans="1:11">
      <c r="A17">
        <v>16</v>
      </c>
      <c r="B17" t="s">
        <v>1199</v>
      </c>
      <c r="C17" t="s">
        <v>1572</v>
      </c>
      <c r="D17">
        <v>4</v>
      </c>
      <c r="E17">
        <v>4</v>
      </c>
      <c r="F17" s="1" t="b">
        <v>0</v>
      </c>
      <c r="G17" s="2"/>
      <c r="H17" s="17">
        <v>1</v>
      </c>
      <c r="I17" s="17">
        <v>1</v>
      </c>
      <c r="K17" t="s">
        <v>1557</v>
      </c>
    </row>
    <row r="18" spans="1:11">
      <c r="A18">
        <v>17</v>
      </c>
      <c r="B18" t="s">
        <v>1283</v>
      </c>
      <c r="C18" t="s">
        <v>1573</v>
      </c>
      <c r="D18">
        <v>2</v>
      </c>
      <c r="E18">
        <v>3</v>
      </c>
      <c r="F18" s="1" t="b">
        <v>0</v>
      </c>
      <c r="G18" s="2"/>
      <c r="H18" s="17">
        <v>1</v>
      </c>
      <c r="I18" s="17">
        <v>1</v>
      </c>
      <c r="K18" t="s">
        <v>1557</v>
      </c>
    </row>
    <row r="19" spans="1:11">
      <c r="A19">
        <v>18</v>
      </c>
      <c r="B19" t="s">
        <v>1354</v>
      </c>
      <c r="C19" t="s">
        <v>1574</v>
      </c>
      <c r="D19">
        <v>3</v>
      </c>
      <c r="E19">
        <v>3</v>
      </c>
      <c r="F19" s="1" t="b">
        <v>0</v>
      </c>
      <c r="G19" s="2"/>
      <c r="H19" s="17">
        <v>1</v>
      </c>
      <c r="I19" s="17">
        <v>1</v>
      </c>
      <c r="K19" t="s">
        <v>1557</v>
      </c>
    </row>
    <row r="20" spans="1:11">
      <c r="A20">
        <v>19</v>
      </c>
      <c r="B20" t="s">
        <v>1412</v>
      </c>
      <c r="C20" t="s">
        <v>1575</v>
      </c>
      <c r="D20">
        <v>3</v>
      </c>
      <c r="E20">
        <v>3</v>
      </c>
      <c r="F20" s="1" t="b">
        <v>0</v>
      </c>
      <c r="G20" s="2"/>
      <c r="H20" s="17">
        <v>1</v>
      </c>
      <c r="I20" s="17">
        <v>1</v>
      </c>
      <c r="K20" t="s">
        <v>1557</v>
      </c>
    </row>
    <row r="21" spans="1:11">
      <c r="A21">
        <v>20</v>
      </c>
      <c r="B21" t="s">
        <v>1493</v>
      </c>
      <c r="C21" t="s">
        <v>1576</v>
      </c>
      <c r="D21">
        <v>2</v>
      </c>
      <c r="E21">
        <v>3</v>
      </c>
      <c r="F21" s="1" t="b">
        <v>0</v>
      </c>
      <c r="G21" s="2"/>
      <c r="H21" s="17">
        <v>1</v>
      </c>
      <c r="I21" s="17">
        <v>1</v>
      </c>
      <c r="K21" t="s">
        <v>1557</v>
      </c>
    </row>
  </sheetData>
  <dataValidations count="1">
    <dataValidation type="list" sqref="G2:G21" xr:uid="{00000000-0002-0000-0200-000000000000}">
      <formula1>"false,true"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D6" sqref="D6"/>
    </sheetView>
  </sheetViews>
  <sheetFormatPr baseColWidth="10" defaultColWidth="8.83203125" defaultRowHeight="14"/>
  <cols>
    <col min="1" max="3" width="22" customWidth="1"/>
    <col min="4" max="4" width="32" customWidth="1"/>
    <col min="5" max="8" width="22" customWidth="1"/>
    <col min="9" max="9" width="62" customWidth="1"/>
  </cols>
  <sheetData>
    <row r="1" spans="1:9" ht="15">
      <c r="A1" s="3" t="s">
        <v>1577</v>
      </c>
      <c r="B1" s="3"/>
      <c r="C1" s="3"/>
      <c r="D1" s="3"/>
      <c r="F1" s="3" t="s">
        <v>1578</v>
      </c>
      <c r="G1" s="3"/>
      <c r="I1" s="3" t="s">
        <v>1579</v>
      </c>
    </row>
    <row r="2" spans="1:9" ht="15">
      <c r="A2" s="5" t="s">
        <v>3</v>
      </c>
      <c r="B2" s="5" t="s">
        <v>1580</v>
      </c>
      <c r="C2" s="5" t="s">
        <v>1581</v>
      </c>
      <c r="D2" s="5" t="s">
        <v>1582</v>
      </c>
      <c r="F2" s="5" t="s">
        <v>1583</v>
      </c>
      <c r="G2" s="5" t="s">
        <v>1584</v>
      </c>
      <c r="I2" t="s">
        <v>1585</v>
      </c>
    </row>
    <row r="3" spans="1:9">
      <c r="A3" t="s">
        <v>7</v>
      </c>
      <c r="B3" s="19">
        <f>IFERROR(SUMIFS(Players!$I$2:$I$568,Players!$E$2:$E$568,A3)*90/SUMIFS(Players!$H$2:$H$568,Players!$E$2:$E$568,A3),0)</f>
        <v>2.4013207263995197E-4</v>
      </c>
      <c r="C3" s="19">
        <f>IFERROR(SUMIFS(Players!$J$2:$J$568,Players!$E$2:$E$568,A3)*90/SUMIFS(Players!$H$2:$H$568,Players!$E$2:$E$568,A3),0)</f>
        <v>1.9810895992796044E-3</v>
      </c>
      <c r="D3" t="s">
        <v>1586</v>
      </c>
      <c r="F3" t="s">
        <v>1587</v>
      </c>
      <c r="G3" s="19">
        <v>1000</v>
      </c>
      <c r="I3" t="s">
        <v>1588</v>
      </c>
    </row>
    <row r="4" spans="1:9">
      <c r="A4" t="s">
        <v>9</v>
      </c>
      <c r="B4" s="19">
        <f>IFERROR(SUMIFS(Players!$I$2:$I$568,Players!$E$2:$E$568,A4)*90/SUMIFS(Players!$H$2:$H$568,Players!$E$2:$E$568,A4),0)</f>
        <v>6.0081391379341341E-2</v>
      </c>
      <c r="C4" s="19">
        <f>IFERROR(SUMIFS(Players!$J$2:$J$568,Players!$E$2:$E$568,A4)*90/SUMIFS(Players!$H$2:$H$568,Players!$E$2:$E$568,A4),0)</f>
        <v>5.9588191961478354E-2</v>
      </c>
      <c r="D4" t="s">
        <v>1586</v>
      </c>
      <c r="F4" t="s">
        <v>1589</v>
      </c>
      <c r="G4" s="19">
        <v>6</v>
      </c>
      <c r="I4" t="s">
        <v>1590</v>
      </c>
    </row>
    <row r="5" spans="1:9">
      <c r="A5" t="s">
        <v>11</v>
      </c>
      <c r="B5" s="19">
        <f>IFERROR(SUMIFS(Players!$I$2:$I$568,Players!$E$2:$E$568,A5)*90/SUMIFS(Players!$H$2:$H$568,Players!$E$2:$E$568,A5),0)</f>
        <v>0.15714383234350468</v>
      </c>
      <c r="C5" s="19">
        <f>IFERROR(SUMIFS(Players!$J$2:$J$568,Players!$E$2:$E$568,A5)*90/SUMIFS(Players!$H$2:$H$568,Players!$E$2:$E$568,A5),0)</f>
        <v>0.13222062939449797</v>
      </c>
      <c r="D5" t="s">
        <v>1586</v>
      </c>
      <c r="F5" t="s">
        <v>1591</v>
      </c>
      <c r="G5" s="19">
        <v>1</v>
      </c>
      <c r="I5" t="s">
        <v>1592</v>
      </c>
    </row>
    <row r="6" spans="1:9">
      <c r="A6" t="s">
        <v>14</v>
      </c>
      <c r="B6" s="19">
        <f>IFERROR(SUMIFS(Players!$I$2:$I$568,Players!$E$2:$E$568,A6)*90/SUMIFS(Players!$H$2:$H$568,Players!$E$2:$E$568,A6),0)</f>
        <v>0.44625207326425426</v>
      </c>
      <c r="C6" s="19">
        <f>IFERROR(SUMIFS(Players!$J$2:$J$568,Players!$E$2:$E$568,A6)*90/SUMIFS(Players!$H$2:$H$568,Players!$E$2:$E$568,A6),0)</f>
        <v>5.8217260259314105E-2</v>
      </c>
      <c r="D6" t="s">
        <v>1586</v>
      </c>
      <c r="F6" t="s">
        <v>1593</v>
      </c>
      <c r="G6" s="19">
        <v>1</v>
      </c>
      <c r="I6" t="s">
        <v>1594</v>
      </c>
    </row>
    <row r="7" spans="1:9">
      <c r="F7" t="s">
        <v>1595</v>
      </c>
      <c r="G7" t="s">
        <v>1596</v>
      </c>
      <c r="I7" t="s">
        <v>1597</v>
      </c>
    </row>
    <row r="8" spans="1:9">
      <c r="I8" t="s">
        <v>1598</v>
      </c>
    </row>
    <row r="9" spans="1:9">
      <c r="I9" t="s">
        <v>1599</v>
      </c>
    </row>
    <row r="10" spans="1:9">
      <c r="I10" t="s">
        <v>1600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61"/>
  <sheetViews>
    <sheetView tabSelected="1" workbookViewId="0">
      <selection activeCell="I1" sqref="I1"/>
    </sheetView>
  </sheetViews>
  <sheetFormatPr baseColWidth="10" defaultColWidth="8.83203125" defaultRowHeight="14"/>
  <cols>
    <col min="1" max="1" width="7" customWidth="1"/>
    <col min="2" max="2" width="11" customWidth="1"/>
    <col min="3" max="3" width="20" customWidth="1"/>
    <col min="4" max="5" width="18" customWidth="1"/>
    <col min="6" max="6" width="7" customWidth="1"/>
    <col min="7" max="7" width="11" customWidth="1"/>
    <col min="8" max="9" width="10" customWidth="1"/>
    <col min="10" max="14" width="14" customWidth="1"/>
    <col min="15" max="15" width="30" customWidth="1"/>
    <col min="16" max="16" width="34" customWidth="1"/>
  </cols>
  <sheetData>
    <row r="1" spans="1:16" ht="15">
      <c r="A1" s="4" t="s">
        <v>1601</v>
      </c>
      <c r="B1" s="4" t="s">
        <v>1602</v>
      </c>
      <c r="C1" s="4" t="s">
        <v>1603</v>
      </c>
      <c r="D1" s="4" t="s">
        <v>21</v>
      </c>
      <c r="E1" s="4" t="s">
        <v>1604</v>
      </c>
      <c r="F1" s="4" t="s">
        <v>1605</v>
      </c>
      <c r="G1" s="4" t="s">
        <v>1606</v>
      </c>
      <c r="H1" s="4" t="s">
        <v>1549</v>
      </c>
      <c r="I1" s="4" t="s">
        <v>1607</v>
      </c>
      <c r="J1" s="4" t="s">
        <v>1608</v>
      </c>
      <c r="K1" s="4" t="s">
        <v>1609</v>
      </c>
      <c r="L1" s="4" t="s">
        <v>1610</v>
      </c>
      <c r="M1" s="4" t="s">
        <v>1611</v>
      </c>
      <c r="N1" s="4" t="s">
        <v>1612</v>
      </c>
      <c r="O1" s="4" t="s">
        <v>60</v>
      </c>
      <c r="P1" s="4" t="s">
        <v>61</v>
      </c>
    </row>
    <row r="2" spans="1:16">
      <c r="A2">
        <v>1</v>
      </c>
      <c r="B2">
        <v>1</v>
      </c>
      <c r="C2">
        <v>46255.791666666664</v>
      </c>
      <c r="D2" t="s">
        <v>567</v>
      </c>
      <c r="E2" t="s">
        <v>64</v>
      </c>
      <c r="F2" t="s">
        <v>1613</v>
      </c>
      <c r="G2">
        <v>5</v>
      </c>
      <c r="H2">
        <v>7</v>
      </c>
      <c r="I2">
        <v>1</v>
      </c>
      <c r="J2" s="17"/>
      <c r="K2" s="17"/>
      <c r="L2" s="19" t="str">
        <f t="shared" ref="L2:L65" si="0">IF(K2="","",EXP(-K2))</f>
        <v/>
      </c>
      <c r="M2" s="17">
        <v>1</v>
      </c>
      <c r="N2" s="17">
        <v>1</v>
      </c>
      <c r="P2" t="s">
        <v>1614</v>
      </c>
    </row>
    <row r="3" spans="1:16">
      <c r="A3">
        <v>1</v>
      </c>
      <c r="B3">
        <v>1</v>
      </c>
      <c r="C3">
        <v>46255.791666666664</v>
      </c>
      <c r="D3" t="s">
        <v>64</v>
      </c>
      <c r="E3" t="s">
        <v>567</v>
      </c>
      <c r="F3" t="s">
        <v>1615</v>
      </c>
      <c r="G3">
        <v>2</v>
      </c>
      <c r="H3">
        <v>1</v>
      </c>
      <c r="I3">
        <v>7</v>
      </c>
      <c r="J3" s="17"/>
      <c r="K3" s="17"/>
      <c r="L3" s="19" t="str">
        <f t="shared" si="0"/>
        <v/>
      </c>
      <c r="M3" s="17">
        <v>1</v>
      </c>
      <c r="N3" s="17">
        <v>1</v>
      </c>
      <c r="P3" t="s">
        <v>1614</v>
      </c>
    </row>
    <row r="4" spans="1:16">
      <c r="A4">
        <v>1</v>
      </c>
      <c r="B4">
        <v>2</v>
      </c>
      <c r="C4">
        <v>46256.6875</v>
      </c>
      <c r="D4" t="s">
        <v>1412</v>
      </c>
      <c r="E4" t="s">
        <v>312</v>
      </c>
      <c r="F4" t="s">
        <v>1613</v>
      </c>
      <c r="G4">
        <v>3</v>
      </c>
      <c r="H4">
        <v>19</v>
      </c>
      <c r="I4">
        <v>4</v>
      </c>
      <c r="J4" s="17"/>
      <c r="K4" s="17"/>
      <c r="L4" s="19" t="str">
        <f t="shared" si="0"/>
        <v/>
      </c>
      <c r="M4" s="17">
        <v>1</v>
      </c>
      <c r="N4" s="17">
        <v>1</v>
      </c>
      <c r="P4" t="s">
        <v>1614</v>
      </c>
    </row>
    <row r="5" spans="1:16">
      <c r="A5">
        <v>1</v>
      </c>
      <c r="B5">
        <v>2</v>
      </c>
      <c r="C5">
        <v>46256.6875</v>
      </c>
      <c r="D5" t="s">
        <v>312</v>
      </c>
      <c r="E5" t="s">
        <v>1412</v>
      </c>
      <c r="F5" t="s">
        <v>1615</v>
      </c>
      <c r="G5">
        <v>3</v>
      </c>
      <c r="H5">
        <v>4</v>
      </c>
      <c r="I5">
        <v>19</v>
      </c>
      <c r="J5" s="17"/>
      <c r="K5" s="17"/>
      <c r="L5" s="19" t="str">
        <f t="shared" si="0"/>
        <v/>
      </c>
      <c r="M5" s="17">
        <v>1</v>
      </c>
      <c r="N5" s="17">
        <v>1</v>
      </c>
      <c r="P5" t="s">
        <v>1614</v>
      </c>
    </row>
    <row r="6" spans="1:16">
      <c r="A6">
        <v>1</v>
      </c>
      <c r="B6">
        <v>3</v>
      </c>
      <c r="C6">
        <v>46256.583333333336</v>
      </c>
      <c r="D6" t="s">
        <v>639</v>
      </c>
      <c r="E6" t="s">
        <v>714</v>
      </c>
      <c r="F6" t="s">
        <v>1613</v>
      </c>
      <c r="G6">
        <v>3</v>
      </c>
      <c r="H6">
        <v>8</v>
      </c>
      <c r="I6">
        <v>9</v>
      </c>
      <c r="J6" s="17"/>
      <c r="K6" s="17"/>
      <c r="L6" s="19" t="str">
        <f t="shared" si="0"/>
        <v/>
      </c>
      <c r="M6" s="17">
        <v>1</v>
      </c>
      <c r="N6" s="17">
        <v>1</v>
      </c>
      <c r="P6" t="s">
        <v>1614</v>
      </c>
    </row>
    <row r="7" spans="1:16">
      <c r="A7">
        <v>1</v>
      </c>
      <c r="B7">
        <v>3</v>
      </c>
      <c r="C7">
        <v>46256.583333333336</v>
      </c>
      <c r="D7" t="s">
        <v>714</v>
      </c>
      <c r="E7" t="s">
        <v>639</v>
      </c>
      <c r="F7" t="s">
        <v>1615</v>
      </c>
      <c r="G7">
        <v>3</v>
      </c>
      <c r="H7">
        <v>9</v>
      </c>
      <c r="I7">
        <v>8</v>
      </c>
      <c r="J7" s="17"/>
      <c r="K7" s="17"/>
      <c r="L7" s="19" t="str">
        <f t="shared" si="0"/>
        <v/>
      </c>
      <c r="M7" s="17">
        <v>1</v>
      </c>
      <c r="N7" s="17">
        <v>1</v>
      </c>
      <c r="P7" t="s">
        <v>1614</v>
      </c>
    </row>
    <row r="8" spans="1:16">
      <c r="A8">
        <v>1</v>
      </c>
      <c r="B8">
        <v>4</v>
      </c>
      <c r="C8">
        <v>46256.479166666664</v>
      </c>
      <c r="D8" t="s">
        <v>1199</v>
      </c>
      <c r="E8" t="s">
        <v>831</v>
      </c>
      <c r="F8" t="s">
        <v>1613</v>
      </c>
      <c r="G8">
        <v>2</v>
      </c>
      <c r="H8">
        <v>16</v>
      </c>
      <c r="I8">
        <v>11</v>
      </c>
      <c r="J8" s="17"/>
      <c r="K8" s="17"/>
      <c r="L8" s="19" t="str">
        <f t="shared" si="0"/>
        <v/>
      </c>
      <c r="M8" s="17">
        <v>1</v>
      </c>
      <c r="N8" s="17">
        <v>1</v>
      </c>
      <c r="P8" t="s">
        <v>1614</v>
      </c>
    </row>
    <row r="9" spans="1:16">
      <c r="A9">
        <v>1</v>
      </c>
      <c r="B9">
        <v>4</v>
      </c>
      <c r="C9">
        <v>46256.479166666664</v>
      </c>
      <c r="D9" t="s">
        <v>831</v>
      </c>
      <c r="E9" t="s">
        <v>1199</v>
      </c>
      <c r="F9" t="s">
        <v>1615</v>
      </c>
      <c r="G9">
        <v>4</v>
      </c>
      <c r="H9">
        <v>11</v>
      </c>
      <c r="I9">
        <v>16</v>
      </c>
      <c r="J9" s="17"/>
      <c r="K9" s="17"/>
      <c r="L9" s="19" t="str">
        <f t="shared" si="0"/>
        <v/>
      </c>
      <c r="M9" s="17">
        <v>1</v>
      </c>
      <c r="N9" s="17">
        <v>1</v>
      </c>
      <c r="P9" t="s">
        <v>1614</v>
      </c>
    </row>
    <row r="10" spans="1:16">
      <c r="A10">
        <v>1</v>
      </c>
      <c r="B10">
        <v>5</v>
      </c>
      <c r="C10">
        <v>46256.583333333336</v>
      </c>
      <c r="D10" t="s">
        <v>1493</v>
      </c>
      <c r="E10" t="s">
        <v>903</v>
      </c>
      <c r="F10" t="s">
        <v>1613</v>
      </c>
      <c r="G10">
        <v>2</v>
      </c>
      <c r="H10">
        <v>20</v>
      </c>
      <c r="I10">
        <v>12</v>
      </c>
      <c r="J10" s="17"/>
      <c r="K10" s="17"/>
      <c r="L10" s="19" t="str">
        <f t="shared" si="0"/>
        <v/>
      </c>
      <c r="M10" s="17">
        <v>1</v>
      </c>
      <c r="N10" s="17">
        <v>1</v>
      </c>
      <c r="P10" t="s">
        <v>1614</v>
      </c>
    </row>
    <row r="11" spans="1:16">
      <c r="A11">
        <v>1</v>
      </c>
      <c r="B11">
        <v>5</v>
      </c>
      <c r="C11">
        <v>46256.583333333336</v>
      </c>
      <c r="D11" t="s">
        <v>903</v>
      </c>
      <c r="E11" t="s">
        <v>1493</v>
      </c>
      <c r="F11" t="s">
        <v>1615</v>
      </c>
      <c r="G11">
        <v>2</v>
      </c>
      <c r="H11">
        <v>12</v>
      </c>
      <c r="I11">
        <v>20</v>
      </c>
      <c r="J11" s="17"/>
      <c r="K11" s="17"/>
      <c r="L11" s="19" t="str">
        <f t="shared" si="0"/>
        <v/>
      </c>
      <c r="M11" s="17">
        <v>1</v>
      </c>
      <c r="N11" s="17">
        <v>1</v>
      </c>
      <c r="P11" t="s">
        <v>1614</v>
      </c>
    </row>
    <row r="12" spans="1:16">
      <c r="A12">
        <v>1</v>
      </c>
      <c r="B12">
        <v>6</v>
      </c>
      <c r="C12">
        <v>46256.583333333336</v>
      </c>
      <c r="D12" t="s">
        <v>978</v>
      </c>
      <c r="E12" t="s">
        <v>1354</v>
      </c>
      <c r="F12" t="s">
        <v>1613</v>
      </c>
      <c r="G12">
        <v>3</v>
      </c>
      <c r="H12">
        <v>13</v>
      </c>
      <c r="I12">
        <v>18</v>
      </c>
      <c r="J12" s="17"/>
      <c r="K12" s="17"/>
      <c r="L12" s="19" t="str">
        <f t="shared" si="0"/>
        <v/>
      </c>
      <c r="M12" s="17">
        <v>1</v>
      </c>
      <c r="N12" s="17">
        <v>1</v>
      </c>
      <c r="P12" t="s">
        <v>1614</v>
      </c>
    </row>
    <row r="13" spans="1:16">
      <c r="A13">
        <v>1</v>
      </c>
      <c r="B13">
        <v>6</v>
      </c>
      <c r="C13">
        <v>46256.583333333336</v>
      </c>
      <c r="D13" t="s">
        <v>1354</v>
      </c>
      <c r="E13" t="s">
        <v>978</v>
      </c>
      <c r="F13" t="s">
        <v>1615</v>
      </c>
      <c r="G13">
        <v>2</v>
      </c>
      <c r="H13">
        <v>18</v>
      </c>
      <c r="I13">
        <v>13</v>
      </c>
      <c r="J13" s="17"/>
      <c r="K13" s="17"/>
      <c r="L13" s="19" t="str">
        <f t="shared" si="0"/>
        <v/>
      </c>
      <c r="M13" s="17">
        <v>1</v>
      </c>
      <c r="N13" s="17">
        <v>1</v>
      </c>
      <c r="P13" t="s">
        <v>1614</v>
      </c>
    </row>
    <row r="14" spans="1:16">
      <c r="A14">
        <v>1</v>
      </c>
      <c r="B14">
        <v>7</v>
      </c>
      <c r="C14">
        <v>46257.541666666664</v>
      </c>
      <c r="D14" t="s">
        <v>153</v>
      </c>
      <c r="E14" t="s">
        <v>390</v>
      </c>
      <c r="F14" t="s">
        <v>1613</v>
      </c>
      <c r="G14">
        <v>3</v>
      </c>
      <c r="H14">
        <v>2</v>
      </c>
      <c r="I14">
        <v>5</v>
      </c>
      <c r="J14" s="17"/>
      <c r="K14" s="17"/>
      <c r="L14" s="19" t="str">
        <f t="shared" si="0"/>
        <v/>
      </c>
      <c r="M14" s="17">
        <v>1</v>
      </c>
      <c r="N14" s="17">
        <v>1</v>
      </c>
      <c r="P14" t="s">
        <v>1614</v>
      </c>
    </row>
    <row r="15" spans="1:16">
      <c r="A15">
        <v>1</v>
      </c>
      <c r="B15">
        <v>7</v>
      </c>
      <c r="C15">
        <v>46257.541666666664</v>
      </c>
      <c r="D15" t="s">
        <v>390</v>
      </c>
      <c r="E15" t="s">
        <v>153</v>
      </c>
      <c r="F15" t="s">
        <v>1615</v>
      </c>
      <c r="G15">
        <v>3</v>
      </c>
      <c r="H15">
        <v>5</v>
      </c>
      <c r="I15">
        <v>2</v>
      </c>
      <c r="J15" s="17"/>
      <c r="K15" s="17"/>
      <c r="L15" s="19" t="str">
        <f t="shared" si="0"/>
        <v/>
      </c>
      <c r="M15" s="17">
        <v>1</v>
      </c>
      <c r="N15" s="17">
        <v>1</v>
      </c>
      <c r="P15" t="s">
        <v>1614</v>
      </c>
    </row>
    <row r="16" spans="1:16">
      <c r="A16">
        <v>1</v>
      </c>
      <c r="B16">
        <v>8</v>
      </c>
      <c r="C16">
        <v>46257.541666666664</v>
      </c>
      <c r="D16" t="s">
        <v>236</v>
      </c>
      <c r="E16" t="s">
        <v>1126</v>
      </c>
      <c r="F16" t="s">
        <v>1613</v>
      </c>
      <c r="G16">
        <v>5</v>
      </c>
      <c r="H16">
        <v>3</v>
      </c>
      <c r="I16">
        <v>15</v>
      </c>
      <c r="J16" s="17"/>
      <c r="K16" s="17"/>
      <c r="L16" s="19" t="str">
        <f t="shared" si="0"/>
        <v/>
      </c>
      <c r="M16" s="17">
        <v>1</v>
      </c>
      <c r="N16" s="17">
        <v>1</v>
      </c>
      <c r="P16" t="s">
        <v>1614</v>
      </c>
    </row>
    <row r="17" spans="1:16">
      <c r="A17">
        <v>1</v>
      </c>
      <c r="B17">
        <v>8</v>
      </c>
      <c r="C17">
        <v>46257.541666666664</v>
      </c>
      <c r="D17" t="s">
        <v>1126</v>
      </c>
      <c r="E17" t="s">
        <v>236</v>
      </c>
      <c r="F17" t="s">
        <v>1615</v>
      </c>
      <c r="G17">
        <v>3</v>
      </c>
      <c r="H17">
        <v>15</v>
      </c>
      <c r="I17">
        <v>3</v>
      </c>
      <c r="J17" s="17"/>
      <c r="K17" s="17"/>
      <c r="L17" s="19" t="str">
        <f t="shared" si="0"/>
        <v/>
      </c>
      <c r="M17" s="17">
        <v>1</v>
      </c>
      <c r="N17" s="17">
        <v>1</v>
      </c>
      <c r="P17" t="s">
        <v>1614</v>
      </c>
    </row>
    <row r="18" spans="1:16">
      <c r="A18">
        <v>1</v>
      </c>
      <c r="B18">
        <v>9</v>
      </c>
      <c r="C18">
        <v>46257.645833333336</v>
      </c>
      <c r="D18" t="s">
        <v>1037</v>
      </c>
      <c r="E18" t="s">
        <v>1283</v>
      </c>
      <c r="F18" t="s">
        <v>1613</v>
      </c>
      <c r="G18">
        <v>3</v>
      </c>
      <c r="H18">
        <v>14</v>
      </c>
      <c r="I18">
        <v>17</v>
      </c>
      <c r="J18" s="17"/>
      <c r="K18" s="17"/>
      <c r="L18" s="19" t="str">
        <f t="shared" si="0"/>
        <v/>
      </c>
      <c r="M18" s="17">
        <v>1</v>
      </c>
      <c r="N18" s="17">
        <v>1</v>
      </c>
      <c r="P18" t="s">
        <v>1614</v>
      </c>
    </row>
    <row r="19" spans="1:16">
      <c r="A19">
        <v>1</v>
      </c>
      <c r="B19">
        <v>9</v>
      </c>
      <c r="C19">
        <v>46257.645833333336</v>
      </c>
      <c r="D19" t="s">
        <v>1283</v>
      </c>
      <c r="E19" t="s">
        <v>1037</v>
      </c>
      <c r="F19" t="s">
        <v>1615</v>
      </c>
      <c r="G19">
        <v>4</v>
      </c>
      <c r="H19">
        <v>17</v>
      </c>
      <c r="I19">
        <v>14</v>
      </c>
      <c r="J19" s="17"/>
      <c r="K19" s="17"/>
      <c r="L19" s="19" t="str">
        <f t="shared" si="0"/>
        <v/>
      </c>
      <c r="M19" s="17">
        <v>1</v>
      </c>
      <c r="N19" s="17">
        <v>1</v>
      </c>
      <c r="P19" t="s">
        <v>1614</v>
      </c>
    </row>
    <row r="20" spans="1:16">
      <c r="A20">
        <v>1</v>
      </c>
      <c r="B20">
        <v>10</v>
      </c>
      <c r="C20">
        <v>46258.791666666664</v>
      </c>
      <c r="D20" t="s">
        <v>474</v>
      </c>
      <c r="E20" t="s">
        <v>777</v>
      </c>
      <c r="F20" t="s">
        <v>1613</v>
      </c>
      <c r="G20">
        <v>3</v>
      </c>
      <c r="H20">
        <v>6</v>
      </c>
      <c r="I20">
        <v>10</v>
      </c>
      <c r="J20" s="17"/>
      <c r="K20" s="17"/>
      <c r="L20" s="19" t="str">
        <f t="shared" si="0"/>
        <v/>
      </c>
      <c r="M20" s="17">
        <v>1</v>
      </c>
      <c r="N20" s="17">
        <v>1</v>
      </c>
      <c r="P20" t="s">
        <v>1614</v>
      </c>
    </row>
    <row r="21" spans="1:16">
      <c r="A21">
        <v>1</v>
      </c>
      <c r="B21">
        <v>10</v>
      </c>
      <c r="C21">
        <v>46258.791666666664</v>
      </c>
      <c r="D21" t="s">
        <v>777</v>
      </c>
      <c r="E21" t="s">
        <v>474</v>
      </c>
      <c r="F21" t="s">
        <v>1615</v>
      </c>
      <c r="G21">
        <v>4</v>
      </c>
      <c r="H21">
        <v>10</v>
      </c>
      <c r="I21">
        <v>6</v>
      </c>
      <c r="J21" s="17"/>
      <c r="K21" s="17"/>
      <c r="L21" s="19" t="str">
        <f t="shared" si="0"/>
        <v/>
      </c>
      <c r="M21" s="17">
        <v>1</v>
      </c>
      <c r="N21" s="17">
        <v>1</v>
      </c>
      <c r="P21" t="s">
        <v>1614</v>
      </c>
    </row>
    <row r="22" spans="1:16">
      <c r="A22">
        <v>2</v>
      </c>
      <c r="B22">
        <v>11</v>
      </c>
      <c r="C22">
        <v>46262.791666666664</v>
      </c>
      <c r="D22" t="s">
        <v>1126</v>
      </c>
      <c r="E22" t="s">
        <v>639</v>
      </c>
      <c r="F22" t="s">
        <v>1613</v>
      </c>
      <c r="G22">
        <v>3</v>
      </c>
      <c r="H22">
        <v>15</v>
      </c>
      <c r="I22">
        <v>8</v>
      </c>
      <c r="J22" s="17"/>
      <c r="K22" s="17"/>
      <c r="L22" s="19" t="str">
        <f t="shared" si="0"/>
        <v/>
      </c>
      <c r="M22" s="17">
        <v>1</v>
      </c>
      <c r="N22" s="17">
        <v>1</v>
      </c>
      <c r="P22" t="s">
        <v>1614</v>
      </c>
    </row>
    <row r="23" spans="1:16">
      <c r="A23">
        <v>2</v>
      </c>
      <c r="B23">
        <v>11</v>
      </c>
      <c r="C23">
        <v>46262.791666666664</v>
      </c>
      <c r="D23" t="s">
        <v>639</v>
      </c>
      <c r="E23" t="s">
        <v>1126</v>
      </c>
      <c r="F23" t="s">
        <v>1615</v>
      </c>
      <c r="G23">
        <v>4</v>
      </c>
      <c r="H23">
        <v>8</v>
      </c>
      <c r="I23">
        <v>15</v>
      </c>
      <c r="J23" s="17"/>
      <c r="K23" s="17"/>
      <c r="L23" s="19" t="str">
        <f t="shared" si="0"/>
        <v/>
      </c>
      <c r="M23" s="17">
        <v>1</v>
      </c>
      <c r="N23" s="17">
        <v>1</v>
      </c>
      <c r="P23" t="s">
        <v>1614</v>
      </c>
    </row>
    <row r="24" spans="1:16">
      <c r="A24">
        <v>2</v>
      </c>
      <c r="B24">
        <v>12</v>
      </c>
      <c r="C24">
        <v>46263.583333333336</v>
      </c>
      <c r="D24" t="s">
        <v>714</v>
      </c>
      <c r="E24" t="s">
        <v>236</v>
      </c>
      <c r="F24" t="s">
        <v>1613</v>
      </c>
      <c r="G24">
        <v>3</v>
      </c>
      <c r="H24">
        <v>9</v>
      </c>
      <c r="I24">
        <v>3</v>
      </c>
      <c r="J24" s="17"/>
      <c r="K24" s="17"/>
      <c r="L24" s="19" t="str">
        <f t="shared" si="0"/>
        <v/>
      </c>
      <c r="M24" s="17">
        <v>1</v>
      </c>
      <c r="N24" s="17">
        <v>1</v>
      </c>
      <c r="P24" t="s">
        <v>1614</v>
      </c>
    </row>
    <row r="25" spans="1:16">
      <c r="A25">
        <v>2</v>
      </c>
      <c r="B25">
        <v>12</v>
      </c>
      <c r="C25">
        <v>46263.583333333336</v>
      </c>
      <c r="D25" t="s">
        <v>236</v>
      </c>
      <c r="E25" t="s">
        <v>714</v>
      </c>
      <c r="F25" t="s">
        <v>1615</v>
      </c>
      <c r="G25">
        <v>3</v>
      </c>
      <c r="H25">
        <v>3</v>
      </c>
      <c r="I25">
        <v>9</v>
      </c>
      <c r="J25" s="17"/>
      <c r="K25" s="17"/>
      <c r="L25" s="19" t="str">
        <f t="shared" si="0"/>
        <v/>
      </c>
      <c r="M25" s="17">
        <v>1</v>
      </c>
      <c r="N25" s="17">
        <v>1</v>
      </c>
      <c r="P25" t="s">
        <v>1614</v>
      </c>
    </row>
    <row r="26" spans="1:16">
      <c r="A26">
        <v>2</v>
      </c>
      <c r="B26">
        <v>13</v>
      </c>
      <c r="C26">
        <v>46263.583333333336</v>
      </c>
      <c r="D26" t="s">
        <v>831</v>
      </c>
      <c r="E26" t="s">
        <v>567</v>
      </c>
      <c r="F26" t="s">
        <v>1613</v>
      </c>
      <c r="G26">
        <v>2</v>
      </c>
      <c r="H26">
        <v>11</v>
      </c>
      <c r="I26">
        <v>7</v>
      </c>
      <c r="J26" s="17"/>
      <c r="K26" s="17"/>
      <c r="L26" s="19" t="str">
        <f t="shared" si="0"/>
        <v/>
      </c>
      <c r="M26" s="17">
        <v>1</v>
      </c>
      <c r="N26" s="17">
        <v>1</v>
      </c>
      <c r="P26" t="s">
        <v>1614</v>
      </c>
    </row>
    <row r="27" spans="1:16">
      <c r="A27">
        <v>2</v>
      </c>
      <c r="B27">
        <v>13</v>
      </c>
      <c r="C27">
        <v>46263.583333333336</v>
      </c>
      <c r="D27" t="s">
        <v>567</v>
      </c>
      <c r="E27" t="s">
        <v>831</v>
      </c>
      <c r="F27" t="s">
        <v>1615</v>
      </c>
      <c r="G27">
        <v>2</v>
      </c>
      <c r="H27">
        <v>7</v>
      </c>
      <c r="I27">
        <v>11</v>
      </c>
      <c r="J27" s="17"/>
      <c r="K27" s="17"/>
      <c r="L27" s="19" t="str">
        <f t="shared" si="0"/>
        <v/>
      </c>
      <c r="M27" s="17">
        <v>1</v>
      </c>
      <c r="N27" s="17">
        <v>1</v>
      </c>
      <c r="P27" t="s">
        <v>1614</v>
      </c>
    </row>
    <row r="28" spans="1:16">
      <c r="A28">
        <v>2</v>
      </c>
      <c r="B28">
        <v>14</v>
      </c>
      <c r="C28">
        <v>46263.479166666664</v>
      </c>
      <c r="D28" t="s">
        <v>1354</v>
      </c>
      <c r="E28" t="s">
        <v>1037</v>
      </c>
      <c r="F28" t="s">
        <v>1613</v>
      </c>
      <c r="G28">
        <v>4</v>
      </c>
      <c r="H28">
        <v>18</v>
      </c>
      <c r="I28">
        <v>14</v>
      </c>
      <c r="J28" s="17"/>
      <c r="K28" s="17"/>
      <c r="L28" s="19" t="str">
        <f t="shared" si="0"/>
        <v/>
      </c>
      <c r="M28" s="17">
        <v>1</v>
      </c>
      <c r="N28" s="17">
        <v>1</v>
      </c>
      <c r="P28" t="s">
        <v>1614</v>
      </c>
    </row>
    <row r="29" spans="1:16">
      <c r="A29">
        <v>2</v>
      </c>
      <c r="B29">
        <v>14</v>
      </c>
      <c r="C29">
        <v>46263.479166666664</v>
      </c>
      <c r="D29" t="s">
        <v>1037</v>
      </c>
      <c r="E29" t="s">
        <v>1354</v>
      </c>
      <c r="F29" t="s">
        <v>1615</v>
      </c>
      <c r="G29">
        <v>3</v>
      </c>
      <c r="H29">
        <v>14</v>
      </c>
      <c r="I29">
        <v>18</v>
      </c>
      <c r="J29" s="17"/>
      <c r="K29" s="17"/>
      <c r="L29" s="19" t="str">
        <f t="shared" si="0"/>
        <v/>
      </c>
      <c r="M29" s="17">
        <v>1</v>
      </c>
      <c r="N29" s="17">
        <v>1</v>
      </c>
      <c r="P29" t="s">
        <v>1614</v>
      </c>
    </row>
    <row r="30" spans="1:16">
      <c r="A30">
        <v>2</v>
      </c>
      <c r="B30">
        <v>15</v>
      </c>
      <c r="C30">
        <v>46263.6875</v>
      </c>
      <c r="D30" t="s">
        <v>1283</v>
      </c>
      <c r="E30" t="s">
        <v>1412</v>
      </c>
      <c r="F30" t="s">
        <v>1613</v>
      </c>
      <c r="G30">
        <v>3</v>
      </c>
      <c r="H30">
        <v>17</v>
      </c>
      <c r="I30">
        <v>19</v>
      </c>
      <c r="J30" s="17"/>
      <c r="K30" s="17"/>
      <c r="L30" s="19" t="str">
        <f t="shared" si="0"/>
        <v/>
      </c>
      <c r="M30" s="17">
        <v>1</v>
      </c>
      <c r="N30" s="17">
        <v>1</v>
      </c>
      <c r="P30" t="s">
        <v>1614</v>
      </c>
    </row>
    <row r="31" spans="1:16">
      <c r="A31">
        <v>2</v>
      </c>
      <c r="B31">
        <v>15</v>
      </c>
      <c r="C31">
        <v>46263.6875</v>
      </c>
      <c r="D31" t="s">
        <v>1412</v>
      </c>
      <c r="E31" t="s">
        <v>1283</v>
      </c>
      <c r="F31" t="s">
        <v>1615</v>
      </c>
      <c r="G31">
        <v>2</v>
      </c>
      <c r="H31">
        <v>19</v>
      </c>
      <c r="I31">
        <v>17</v>
      </c>
      <c r="J31" s="17"/>
      <c r="K31" s="17"/>
      <c r="L31" s="19" t="str">
        <f t="shared" si="0"/>
        <v/>
      </c>
      <c r="M31" s="17">
        <v>1</v>
      </c>
      <c r="N31" s="17">
        <v>1</v>
      </c>
      <c r="P31" t="s">
        <v>1614</v>
      </c>
    </row>
    <row r="32" spans="1:16">
      <c r="A32">
        <v>2</v>
      </c>
      <c r="B32">
        <v>16</v>
      </c>
      <c r="C32">
        <v>46264.541666666664</v>
      </c>
      <c r="D32" t="s">
        <v>390</v>
      </c>
      <c r="E32" t="s">
        <v>474</v>
      </c>
      <c r="F32" t="s">
        <v>1613</v>
      </c>
      <c r="G32">
        <v>4</v>
      </c>
      <c r="H32">
        <v>5</v>
      </c>
      <c r="I32">
        <v>6</v>
      </c>
      <c r="J32" s="17"/>
      <c r="K32" s="17"/>
      <c r="L32" s="19" t="str">
        <f t="shared" si="0"/>
        <v/>
      </c>
      <c r="M32" s="17">
        <v>1</v>
      </c>
      <c r="N32" s="17">
        <v>1</v>
      </c>
      <c r="P32" t="s">
        <v>1614</v>
      </c>
    </row>
    <row r="33" spans="1:16">
      <c r="A33">
        <v>2</v>
      </c>
      <c r="B33">
        <v>16</v>
      </c>
      <c r="C33">
        <v>46264.541666666664</v>
      </c>
      <c r="D33" t="s">
        <v>474</v>
      </c>
      <c r="E33" t="s">
        <v>390</v>
      </c>
      <c r="F33" t="s">
        <v>1615</v>
      </c>
      <c r="G33">
        <v>2</v>
      </c>
      <c r="H33">
        <v>6</v>
      </c>
      <c r="I33">
        <v>5</v>
      </c>
      <c r="J33" s="17"/>
      <c r="K33" s="17"/>
      <c r="L33" s="19" t="str">
        <f t="shared" si="0"/>
        <v/>
      </c>
      <c r="M33" s="17">
        <v>1</v>
      </c>
      <c r="N33" s="17">
        <v>1</v>
      </c>
      <c r="P33" t="s">
        <v>1614</v>
      </c>
    </row>
    <row r="34" spans="1:16">
      <c r="A34">
        <v>2</v>
      </c>
      <c r="B34">
        <v>17</v>
      </c>
      <c r="C34">
        <v>46264.541666666664</v>
      </c>
      <c r="D34" t="s">
        <v>312</v>
      </c>
      <c r="E34" t="s">
        <v>978</v>
      </c>
      <c r="F34" t="s">
        <v>1613</v>
      </c>
      <c r="G34">
        <v>3</v>
      </c>
      <c r="H34">
        <v>4</v>
      </c>
      <c r="I34">
        <v>13</v>
      </c>
      <c r="J34" s="17"/>
      <c r="K34" s="17"/>
      <c r="L34" s="19" t="str">
        <f t="shared" si="0"/>
        <v/>
      </c>
      <c r="M34" s="17">
        <v>1</v>
      </c>
      <c r="N34" s="17">
        <v>1</v>
      </c>
      <c r="P34" t="s">
        <v>1614</v>
      </c>
    </row>
    <row r="35" spans="1:16">
      <c r="A35">
        <v>2</v>
      </c>
      <c r="B35">
        <v>17</v>
      </c>
      <c r="C35">
        <v>46264.541666666664</v>
      </c>
      <c r="D35" t="s">
        <v>978</v>
      </c>
      <c r="E35" t="s">
        <v>312</v>
      </c>
      <c r="F35" t="s">
        <v>1615</v>
      </c>
      <c r="G35">
        <v>3</v>
      </c>
      <c r="H35">
        <v>13</v>
      </c>
      <c r="I35">
        <v>4</v>
      </c>
      <c r="J35" s="17"/>
      <c r="K35" s="17"/>
      <c r="L35" s="19" t="str">
        <f t="shared" si="0"/>
        <v/>
      </c>
      <c r="M35" s="17">
        <v>1</v>
      </c>
      <c r="N35" s="17">
        <v>1</v>
      </c>
      <c r="P35" t="s">
        <v>1614</v>
      </c>
    </row>
    <row r="36" spans="1:16">
      <c r="A36">
        <v>2</v>
      </c>
      <c r="B36">
        <v>18</v>
      </c>
      <c r="C36">
        <v>46264.645833333336</v>
      </c>
      <c r="D36" t="s">
        <v>903</v>
      </c>
      <c r="E36" t="s">
        <v>1199</v>
      </c>
      <c r="F36" t="s">
        <v>1613</v>
      </c>
      <c r="G36">
        <v>4</v>
      </c>
      <c r="H36">
        <v>12</v>
      </c>
      <c r="I36">
        <v>16</v>
      </c>
      <c r="J36" s="17"/>
      <c r="K36" s="17"/>
      <c r="L36" s="19" t="str">
        <f t="shared" si="0"/>
        <v/>
      </c>
      <c r="M36" s="17">
        <v>1</v>
      </c>
      <c r="N36" s="17">
        <v>1</v>
      </c>
      <c r="P36" t="s">
        <v>1614</v>
      </c>
    </row>
    <row r="37" spans="1:16">
      <c r="A37">
        <v>2</v>
      </c>
      <c r="B37">
        <v>18</v>
      </c>
      <c r="C37">
        <v>46264.645833333336</v>
      </c>
      <c r="D37" t="s">
        <v>1199</v>
      </c>
      <c r="E37" t="s">
        <v>903</v>
      </c>
      <c r="F37" t="s">
        <v>1615</v>
      </c>
      <c r="G37">
        <v>2</v>
      </c>
      <c r="H37">
        <v>16</v>
      </c>
      <c r="I37">
        <v>12</v>
      </c>
      <c r="J37" s="17"/>
      <c r="K37" s="17"/>
      <c r="L37" s="19" t="str">
        <f t="shared" si="0"/>
        <v/>
      </c>
      <c r="M37" s="17">
        <v>1</v>
      </c>
      <c r="N37" s="17">
        <v>1</v>
      </c>
      <c r="P37" t="s">
        <v>1614</v>
      </c>
    </row>
    <row r="38" spans="1:16">
      <c r="A38">
        <v>2</v>
      </c>
      <c r="B38">
        <v>19</v>
      </c>
      <c r="C38">
        <v>46264.541666666664</v>
      </c>
      <c r="D38" t="s">
        <v>777</v>
      </c>
      <c r="E38" t="s">
        <v>1493</v>
      </c>
      <c r="F38" t="s">
        <v>1613</v>
      </c>
      <c r="G38">
        <v>3</v>
      </c>
      <c r="H38">
        <v>10</v>
      </c>
      <c r="I38">
        <v>20</v>
      </c>
      <c r="J38" s="17"/>
      <c r="K38" s="17"/>
      <c r="L38" s="19" t="str">
        <f t="shared" si="0"/>
        <v/>
      </c>
      <c r="M38" s="17">
        <v>1</v>
      </c>
      <c r="N38" s="17">
        <v>1</v>
      </c>
      <c r="P38" t="s">
        <v>1614</v>
      </c>
    </row>
    <row r="39" spans="1:16">
      <c r="A39">
        <v>2</v>
      </c>
      <c r="B39">
        <v>19</v>
      </c>
      <c r="C39">
        <v>46264.541666666664</v>
      </c>
      <c r="D39" t="s">
        <v>1493</v>
      </c>
      <c r="E39" t="s">
        <v>777</v>
      </c>
      <c r="F39" t="s">
        <v>1615</v>
      </c>
      <c r="G39">
        <v>2</v>
      </c>
      <c r="H39">
        <v>20</v>
      </c>
      <c r="I39">
        <v>10</v>
      </c>
      <c r="J39" s="17"/>
      <c r="K39" s="17"/>
      <c r="L39" s="19" t="str">
        <f t="shared" si="0"/>
        <v/>
      </c>
      <c r="M39" s="17">
        <v>1</v>
      </c>
      <c r="N39" s="17">
        <v>1</v>
      </c>
      <c r="P39" t="s">
        <v>1614</v>
      </c>
    </row>
    <row r="40" spans="1:16">
      <c r="A40">
        <v>2</v>
      </c>
      <c r="B40">
        <v>20</v>
      </c>
      <c r="C40">
        <v>46265.791666666664</v>
      </c>
      <c r="D40" t="s">
        <v>64</v>
      </c>
      <c r="E40" t="s">
        <v>153</v>
      </c>
      <c r="F40" t="s">
        <v>1613</v>
      </c>
      <c r="G40">
        <v>4</v>
      </c>
      <c r="H40">
        <v>1</v>
      </c>
      <c r="I40">
        <v>2</v>
      </c>
      <c r="J40" s="17"/>
      <c r="K40" s="17"/>
      <c r="L40" s="19" t="str">
        <f t="shared" si="0"/>
        <v/>
      </c>
      <c r="M40" s="17">
        <v>1</v>
      </c>
      <c r="N40" s="17">
        <v>1</v>
      </c>
      <c r="P40" t="s">
        <v>1614</v>
      </c>
    </row>
    <row r="41" spans="1:16">
      <c r="A41">
        <v>2</v>
      </c>
      <c r="B41">
        <v>20</v>
      </c>
      <c r="C41">
        <v>46265.791666666664</v>
      </c>
      <c r="D41" t="s">
        <v>153</v>
      </c>
      <c r="E41" t="s">
        <v>64</v>
      </c>
      <c r="F41" t="s">
        <v>1615</v>
      </c>
      <c r="G41">
        <v>4</v>
      </c>
      <c r="H41">
        <v>2</v>
      </c>
      <c r="I41">
        <v>1</v>
      </c>
      <c r="J41" s="17"/>
      <c r="K41" s="17"/>
      <c r="L41" s="19" t="str">
        <f t="shared" si="0"/>
        <v/>
      </c>
      <c r="M41" s="17">
        <v>1</v>
      </c>
      <c r="N41" s="17">
        <v>1</v>
      </c>
      <c r="P41" t="s">
        <v>1614</v>
      </c>
    </row>
    <row r="42" spans="1:16">
      <c r="A42">
        <v>3</v>
      </c>
      <c r="B42">
        <v>21</v>
      </c>
      <c r="C42">
        <v>46269.791666666664</v>
      </c>
      <c r="D42" t="s">
        <v>1037</v>
      </c>
      <c r="E42" t="s">
        <v>903</v>
      </c>
      <c r="F42" t="s">
        <v>1613</v>
      </c>
      <c r="G42">
        <v>2</v>
      </c>
      <c r="H42">
        <v>14</v>
      </c>
      <c r="I42">
        <v>12</v>
      </c>
      <c r="J42" s="17"/>
      <c r="K42" s="17"/>
      <c r="L42" s="19" t="str">
        <f t="shared" si="0"/>
        <v/>
      </c>
      <c r="M42" s="17">
        <v>1</v>
      </c>
      <c r="N42" s="17">
        <v>1</v>
      </c>
      <c r="P42" t="s">
        <v>1614</v>
      </c>
    </row>
    <row r="43" spans="1:16">
      <c r="A43">
        <v>3</v>
      </c>
      <c r="B43">
        <v>21</v>
      </c>
      <c r="C43">
        <v>46269.791666666664</v>
      </c>
      <c r="D43" t="s">
        <v>903</v>
      </c>
      <c r="E43" t="s">
        <v>1037</v>
      </c>
      <c r="F43" t="s">
        <v>1615</v>
      </c>
      <c r="G43">
        <v>4</v>
      </c>
      <c r="H43">
        <v>12</v>
      </c>
      <c r="I43">
        <v>14</v>
      </c>
      <c r="J43" s="17"/>
      <c r="K43" s="17"/>
      <c r="L43" s="19" t="str">
        <f t="shared" si="0"/>
        <v/>
      </c>
      <c r="M43" s="17">
        <v>1</v>
      </c>
      <c r="N43" s="17">
        <v>1</v>
      </c>
      <c r="P43" t="s">
        <v>1614</v>
      </c>
    </row>
    <row r="44" spans="1:16">
      <c r="A44">
        <v>3</v>
      </c>
      <c r="B44">
        <v>22</v>
      </c>
      <c r="C44">
        <v>46270.583333333336</v>
      </c>
      <c r="D44" t="s">
        <v>1493</v>
      </c>
      <c r="E44" t="s">
        <v>312</v>
      </c>
      <c r="F44" t="s">
        <v>1613</v>
      </c>
      <c r="G44">
        <v>3</v>
      </c>
      <c r="H44">
        <v>20</v>
      </c>
      <c r="I44">
        <v>4</v>
      </c>
      <c r="J44" s="17"/>
      <c r="K44" s="17"/>
      <c r="L44" s="19" t="str">
        <f t="shared" si="0"/>
        <v/>
      </c>
      <c r="M44" s="17">
        <v>1</v>
      </c>
      <c r="N44" s="17">
        <v>1</v>
      </c>
      <c r="P44" t="s">
        <v>1614</v>
      </c>
    </row>
    <row r="45" spans="1:16">
      <c r="A45">
        <v>3</v>
      </c>
      <c r="B45">
        <v>22</v>
      </c>
      <c r="C45">
        <v>46270.583333333336</v>
      </c>
      <c r="D45" t="s">
        <v>312</v>
      </c>
      <c r="E45" t="s">
        <v>1493</v>
      </c>
      <c r="F45" t="s">
        <v>1615</v>
      </c>
      <c r="G45">
        <v>2</v>
      </c>
      <c r="H45">
        <v>4</v>
      </c>
      <c r="I45">
        <v>20</v>
      </c>
      <c r="J45" s="17"/>
      <c r="K45" s="17"/>
      <c r="L45" s="19" t="str">
        <f t="shared" si="0"/>
        <v/>
      </c>
      <c r="M45" s="17">
        <v>1</v>
      </c>
      <c r="N45" s="17">
        <v>1</v>
      </c>
      <c r="P45" t="s">
        <v>1614</v>
      </c>
    </row>
    <row r="46" spans="1:16">
      <c r="A46">
        <v>3</v>
      </c>
      <c r="B46">
        <v>23</v>
      </c>
      <c r="C46">
        <v>46270.583333333336</v>
      </c>
      <c r="D46" t="s">
        <v>978</v>
      </c>
      <c r="E46" t="s">
        <v>390</v>
      </c>
      <c r="F46" t="s">
        <v>1613</v>
      </c>
      <c r="G46">
        <v>3</v>
      </c>
      <c r="H46">
        <v>13</v>
      </c>
      <c r="I46">
        <v>5</v>
      </c>
      <c r="J46" s="17"/>
      <c r="K46" s="17"/>
      <c r="L46" s="19" t="str">
        <f t="shared" si="0"/>
        <v/>
      </c>
      <c r="M46" s="17">
        <v>1</v>
      </c>
      <c r="N46" s="17">
        <v>1</v>
      </c>
      <c r="P46" t="s">
        <v>1614</v>
      </c>
    </row>
    <row r="47" spans="1:16">
      <c r="A47">
        <v>3</v>
      </c>
      <c r="B47">
        <v>23</v>
      </c>
      <c r="C47">
        <v>46270.583333333336</v>
      </c>
      <c r="D47" t="s">
        <v>390</v>
      </c>
      <c r="E47" t="s">
        <v>978</v>
      </c>
      <c r="F47" t="s">
        <v>1615</v>
      </c>
      <c r="G47">
        <v>2</v>
      </c>
      <c r="H47">
        <v>5</v>
      </c>
      <c r="I47">
        <v>13</v>
      </c>
      <c r="J47" s="17"/>
      <c r="K47" s="17"/>
      <c r="L47" s="19" t="str">
        <f t="shared" si="0"/>
        <v/>
      </c>
      <c r="M47" s="17">
        <v>1</v>
      </c>
      <c r="N47" s="17">
        <v>1</v>
      </c>
      <c r="P47" t="s">
        <v>1614</v>
      </c>
    </row>
    <row r="48" spans="1:16">
      <c r="A48">
        <v>3</v>
      </c>
      <c r="B48">
        <v>24</v>
      </c>
      <c r="C48">
        <v>46270.583333333336</v>
      </c>
      <c r="D48" t="s">
        <v>639</v>
      </c>
      <c r="E48" t="s">
        <v>777</v>
      </c>
      <c r="F48" t="s">
        <v>1613</v>
      </c>
      <c r="G48">
        <v>3</v>
      </c>
      <c r="H48">
        <v>8</v>
      </c>
      <c r="I48">
        <v>10</v>
      </c>
      <c r="J48" s="17"/>
      <c r="K48" s="17"/>
      <c r="L48" s="19" t="str">
        <f t="shared" si="0"/>
        <v/>
      </c>
      <c r="M48" s="17">
        <v>1</v>
      </c>
      <c r="N48" s="17">
        <v>1</v>
      </c>
      <c r="P48" t="s">
        <v>1614</v>
      </c>
    </row>
    <row r="49" spans="1:16">
      <c r="A49">
        <v>3</v>
      </c>
      <c r="B49">
        <v>24</v>
      </c>
      <c r="C49">
        <v>46270.583333333336</v>
      </c>
      <c r="D49" t="s">
        <v>777</v>
      </c>
      <c r="E49" t="s">
        <v>639</v>
      </c>
      <c r="F49" t="s">
        <v>1615</v>
      </c>
      <c r="G49">
        <v>3</v>
      </c>
      <c r="H49">
        <v>10</v>
      </c>
      <c r="I49">
        <v>8</v>
      </c>
      <c r="J49" s="17"/>
      <c r="K49" s="17"/>
      <c r="L49" s="19" t="str">
        <f t="shared" si="0"/>
        <v/>
      </c>
      <c r="M49" s="17">
        <v>1</v>
      </c>
      <c r="N49" s="17">
        <v>1</v>
      </c>
      <c r="P49" t="s">
        <v>1614</v>
      </c>
    </row>
    <row r="50" spans="1:16">
      <c r="A50">
        <v>3</v>
      </c>
      <c r="B50">
        <v>25</v>
      </c>
      <c r="C50">
        <v>46270.6875</v>
      </c>
      <c r="D50" t="s">
        <v>153</v>
      </c>
      <c r="E50" t="s">
        <v>831</v>
      </c>
      <c r="F50" t="s">
        <v>1613</v>
      </c>
      <c r="G50">
        <v>2</v>
      </c>
      <c r="H50">
        <v>2</v>
      </c>
      <c r="I50">
        <v>11</v>
      </c>
      <c r="J50" s="17"/>
      <c r="K50" s="17"/>
      <c r="L50" s="19" t="str">
        <f t="shared" si="0"/>
        <v/>
      </c>
      <c r="M50" s="17">
        <v>1</v>
      </c>
      <c r="N50" s="17">
        <v>1</v>
      </c>
      <c r="P50" t="s">
        <v>1614</v>
      </c>
    </row>
    <row r="51" spans="1:16">
      <c r="A51">
        <v>3</v>
      </c>
      <c r="B51">
        <v>25</v>
      </c>
      <c r="C51">
        <v>46270.6875</v>
      </c>
      <c r="D51" t="s">
        <v>831</v>
      </c>
      <c r="E51" t="s">
        <v>153</v>
      </c>
      <c r="F51" t="s">
        <v>1615</v>
      </c>
      <c r="G51">
        <v>3</v>
      </c>
      <c r="H51">
        <v>11</v>
      </c>
      <c r="I51">
        <v>2</v>
      </c>
      <c r="J51" s="17"/>
      <c r="K51" s="17"/>
      <c r="L51" s="19" t="str">
        <f t="shared" si="0"/>
        <v/>
      </c>
      <c r="M51" s="17">
        <v>1</v>
      </c>
      <c r="N51" s="17">
        <v>1</v>
      </c>
      <c r="P51" t="s">
        <v>1614</v>
      </c>
    </row>
    <row r="52" spans="1:16">
      <c r="A52">
        <v>3</v>
      </c>
      <c r="B52">
        <v>26</v>
      </c>
      <c r="C52">
        <v>46270.583333333336</v>
      </c>
      <c r="D52" t="s">
        <v>567</v>
      </c>
      <c r="E52" t="s">
        <v>1126</v>
      </c>
      <c r="F52" t="s">
        <v>1613</v>
      </c>
      <c r="G52">
        <v>5</v>
      </c>
      <c r="H52">
        <v>7</v>
      </c>
      <c r="I52">
        <v>15</v>
      </c>
      <c r="J52" s="17"/>
      <c r="K52" s="17"/>
      <c r="L52" s="19" t="str">
        <f t="shared" si="0"/>
        <v/>
      </c>
      <c r="M52" s="17">
        <v>1</v>
      </c>
      <c r="N52" s="17">
        <v>1</v>
      </c>
      <c r="P52" t="s">
        <v>1614</v>
      </c>
    </row>
    <row r="53" spans="1:16">
      <c r="A53">
        <v>3</v>
      </c>
      <c r="B53">
        <v>26</v>
      </c>
      <c r="C53">
        <v>46270.583333333336</v>
      </c>
      <c r="D53" t="s">
        <v>1126</v>
      </c>
      <c r="E53" t="s">
        <v>567</v>
      </c>
      <c r="F53" t="s">
        <v>1615</v>
      </c>
      <c r="G53">
        <v>2</v>
      </c>
      <c r="H53">
        <v>15</v>
      </c>
      <c r="I53">
        <v>7</v>
      </c>
      <c r="J53" s="17"/>
      <c r="K53" s="17"/>
      <c r="L53" s="19" t="str">
        <f t="shared" si="0"/>
        <v/>
      </c>
      <c r="M53" s="17">
        <v>1</v>
      </c>
      <c r="N53" s="17">
        <v>1</v>
      </c>
      <c r="P53" t="s">
        <v>1614</v>
      </c>
    </row>
    <row r="54" spans="1:16">
      <c r="A54">
        <v>3</v>
      </c>
      <c r="B54">
        <v>27</v>
      </c>
      <c r="C54">
        <v>46270.479166666664</v>
      </c>
      <c r="D54" t="s">
        <v>236</v>
      </c>
      <c r="E54" t="s">
        <v>1283</v>
      </c>
      <c r="F54" t="s">
        <v>1613</v>
      </c>
      <c r="G54">
        <v>3</v>
      </c>
      <c r="H54">
        <v>3</v>
      </c>
      <c r="I54">
        <v>17</v>
      </c>
      <c r="J54" s="17"/>
      <c r="K54" s="17"/>
      <c r="L54" s="19" t="str">
        <f t="shared" si="0"/>
        <v/>
      </c>
      <c r="M54" s="17">
        <v>1</v>
      </c>
      <c r="N54" s="17">
        <v>1</v>
      </c>
      <c r="P54" t="s">
        <v>1614</v>
      </c>
    </row>
    <row r="55" spans="1:16">
      <c r="A55">
        <v>3</v>
      </c>
      <c r="B55">
        <v>27</v>
      </c>
      <c r="C55">
        <v>46270.479166666664</v>
      </c>
      <c r="D55" t="s">
        <v>1283</v>
      </c>
      <c r="E55" t="s">
        <v>236</v>
      </c>
      <c r="F55" t="s">
        <v>1615</v>
      </c>
      <c r="G55">
        <v>3</v>
      </c>
      <c r="H55">
        <v>17</v>
      </c>
      <c r="I55">
        <v>3</v>
      </c>
      <c r="J55" s="17"/>
      <c r="K55" s="17"/>
      <c r="L55" s="19" t="str">
        <f t="shared" si="0"/>
        <v/>
      </c>
      <c r="M55" s="17">
        <v>1</v>
      </c>
      <c r="N55" s="17">
        <v>1</v>
      </c>
      <c r="P55" t="s">
        <v>1614</v>
      </c>
    </row>
    <row r="56" spans="1:16">
      <c r="A56">
        <v>3</v>
      </c>
      <c r="B56">
        <v>28</v>
      </c>
      <c r="C56">
        <v>46270.583333333336</v>
      </c>
      <c r="D56" t="s">
        <v>1412</v>
      </c>
      <c r="E56" t="s">
        <v>1354</v>
      </c>
      <c r="F56" t="s">
        <v>1613</v>
      </c>
      <c r="G56">
        <v>3</v>
      </c>
      <c r="H56">
        <v>19</v>
      </c>
      <c r="I56">
        <v>18</v>
      </c>
      <c r="J56" s="17"/>
      <c r="K56" s="17"/>
      <c r="L56" s="19" t="str">
        <f t="shared" si="0"/>
        <v/>
      </c>
      <c r="M56" s="17">
        <v>1</v>
      </c>
      <c r="N56" s="17">
        <v>1</v>
      </c>
      <c r="P56" t="s">
        <v>1614</v>
      </c>
    </row>
    <row r="57" spans="1:16">
      <c r="A57">
        <v>3</v>
      </c>
      <c r="B57">
        <v>28</v>
      </c>
      <c r="C57">
        <v>46270.583333333336</v>
      </c>
      <c r="D57" t="s">
        <v>1354</v>
      </c>
      <c r="E57" t="s">
        <v>1412</v>
      </c>
      <c r="F57" t="s">
        <v>1615</v>
      </c>
      <c r="G57">
        <v>3</v>
      </c>
      <c r="H57">
        <v>18</v>
      </c>
      <c r="I57">
        <v>19</v>
      </c>
      <c r="J57" s="17"/>
      <c r="K57" s="17"/>
      <c r="L57" s="19" t="str">
        <f t="shared" si="0"/>
        <v/>
      </c>
      <c r="M57" s="17">
        <v>1</v>
      </c>
      <c r="N57" s="17">
        <v>1</v>
      </c>
      <c r="P57" t="s">
        <v>1614</v>
      </c>
    </row>
    <row r="58" spans="1:16">
      <c r="A58">
        <v>3</v>
      </c>
      <c r="B58">
        <v>29</v>
      </c>
      <c r="C58">
        <v>46271.645833333336</v>
      </c>
      <c r="D58" t="s">
        <v>474</v>
      </c>
      <c r="E58" t="s">
        <v>64</v>
      </c>
      <c r="F58" t="s">
        <v>1613</v>
      </c>
      <c r="G58">
        <v>5</v>
      </c>
      <c r="H58">
        <v>6</v>
      </c>
      <c r="I58">
        <v>1</v>
      </c>
      <c r="J58" s="17"/>
      <c r="K58" s="17"/>
      <c r="L58" s="19" t="str">
        <f t="shared" si="0"/>
        <v/>
      </c>
      <c r="M58" s="17">
        <v>1</v>
      </c>
      <c r="N58" s="17">
        <v>1</v>
      </c>
      <c r="P58" t="s">
        <v>1614</v>
      </c>
    </row>
    <row r="59" spans="1:16">
      <c r="A59">
        <v>3</v>
      </c>
      <c r="B59">
        <v>29</v>
      </c>
      <c r="C59">
        <v>46271.645833333336</v>
      </c>
      <c r="D59" t="s">
        <v>64</v>
      </c>
      <c r="E59" t="s">
        <v>474</v>
      </c>
      <c r="F59" t="s">
        <v>1615</v>
      </c>
      <c r="G59">
        <v>4</v>
      </c>
      <c r="H59">
        <v>1</v>
      </c>
      <c r="I59">
        <v>6</v>
      </c>
      <c r="J59" s="17"/>
      <c r="K59" s="17"/>
      <c r="L59" s="19" t="str">
        <f t="shared" si="0"/>
        <v/>
      </c>
      <c r="M59" s="17">
        <v>1</v>
      </c>
      <c r="N59" s="17">
        <v>1</v>
      </c>
      <c r="P59" t="s">
        <v>1614</v>
      </c>
    </row>
    <row r="60" spans="1:16">
      <c r="A60">
        <v>3</v>
      </c>
      <c r="B60">
        <v>30</v>
      </c>
      <c r="C60">
        <v>46271.541666666664</v>
      </c>
      <c r="D60" t="s">
        <v>1199</v>
      </c>
      <c r="E60" t="s">
        <v>714</v>
      </c>
      <c r="F60" t="s">
        <v>1613</v>
      </c>
      <c r="G60">
        <v>3</v>
      </c>
      <c r="H60">
        <v>16</v>
      </c>
      <c r="I60">
        <v>9</v>
      </c>
      <c r="J60" s="17"/>
      <c r="K60" s="17"/>
      <c r="L60" s="19" t="str">
        <f t="shared" si="0"/>
        <v/>
      </c>
      <c r="M60" s="17">
        <v>1</v>
      </c>
      <c r="N60" s="17">
        <v>1</v>
      </c>
      <c r="P60" t="s">
        <v>1614</v>
      </c>
    </row>
    <row r="61" spans="1:16">
      <c r="A61">
        <v>3</v>
      </c>
      <c r="B61">
        <v>30</v>
      </c>
      <c r="C61">
        <v>46271.541666666664</v>
      </c>
      <c r="D61" t="s">
        <v>714</v>
      </c>
      <c r="E61" t="s">
        <v>1199</v>
      </c>
      <c r="F61" t="s">
        <v>1615</v>
      </c>
      <c r="G61">
        <v>4</v>
      </c>
      <c r="H61">
        <v>9</v>
      </c>
      <c r="I61">
        <v>16</v>
      </c>
      <c r="J61" s="17"/>
      <c r="K61" s="17"/>
      <c r="L61" s="19" t="str">
        <f t="shared" si="0"/>
        <v/>
      </c>
      <c r="M61" s="17">
        <v>1</v>
      </c>
      <c r="N61" s="17">
        <v>1</v>
      </c>
      <c r="P61" t="s">
        <v>1614</v>
      </c>
    </row>
    <row r="62" spans="1:16">
      <c r="A62">
        <v>4</v>
      </c>
      <c r="B62">
        <v>31</v>
      </c>
      <c r="C62">
        <v>46277.583333333336</v>
      </c>
      <c r="D62" t="s">
        <v>1354</v>
      </c>
      <c r="E62" t="s">
        <v>153</v>
      </c>
      <c r="F62" t="s">
        <v>1613</v>
      </c>
      <c r="G62">
        <v>4</v>
      </c>
      <c r="H62">
        <v>18</v>
      </c>
      <c r="I62">
        <v>2</v>
      </c>
      <c r="J62" s="17"/>
      <c r="K62" s="17"/>
      <c r="L62" s="19" t="str">
        <f t="shared" si="0"/>
        <v/>
      </c>
      <c r="M62" s="17">
        <v>1</v>
      </c>
      <c r="N62" s="17">
        <v>1</v>
      </c>
      <c r="P62" t="s">
        <v>1614</v>
      </c>
    </row>
    <row r="63" spans="1:16">
      <c r="A63">
        <v>4</v>
      </c>
      <c r="B63">
        <v>31</v>
      </c>
      <c r="C63">
        <v>46277.583333333336</v>
      </c>
      <c r="D63" t="s">
        <v>153</v>
      </c>
      <c r="E63" t="s">
        <v>1354</v>
      </c>
      <c r="F63" t="s">
        <v>1615</v>
      </c>
      <c r="G63">
        <v>3</v>
      </c>
      <c r="H63">
        <v>2</v>
      </c>
      <c r="I63">
        <v>18</v>
      </c>
      <c r="J63" s="17"/>
      <c r="K63" s="17"/>
      <c r="L63" s="19" t="str">
        <f t="shared" si="0"/>
        <v/>
      </c>
      <c r="M63" s="17">
        <v>1</v>
      </c>
      <c r="N63" s="17">
        <v>1</v>
      </c>
      <c r="P63" t="s">
        <v>1614</v>
      </c>
    </row>
    <row r="64" spans="1:16">
      <c r="A64">
        <v>4</v>
      </c>
      <c r="B64">
        <v>32</v>
      </c>
      <c r="C64">
        <v>46277.583333333336</v>
      </c>
      <c r="D64" t="s">
        <v>312</v>
      </c>
      <c r="E64" t="s">
        <v>236</v>
      </c>
      <c r="F64" t="s">
        <v>1613</v>
      </c>
      <c r="G64">
        <v>3</v>
      </c>
      <c r="H64">
        <v>4</v>
      </c>
      <c r="I64">
        <v>3</v>
      </c>
      <c r="J64" s="17"/>
      <c r="K64" s="17"/>
      <c r="L64" s="19" t="str">
        <f t="shared" si="0"/>
        <v/>
      </c>
      <c r="M64" s="17">
        <v>1</v>
      </c>
      <c r="N64" s="17">
        <v>1</v>
      </c>
      <c r="P64" t="s">
        <v>1614</v>
      </c>
    </row>
    <row r="65" spans="1:16">
      <c r="A65">
        <v>4</v>
      </c>
      <c r="B65">
        <v>32</v>
      </c>
      <c r="C65">
        <v>46277.583333333336</v>
      </c>
      <c r="D65" t="s">
        <v>236</v>
      </c>
      <c r="E65" t="s">
        <v>312</v>
      </c>
      <c r="F65" t="s">
        <v>1615</v>
      </c>
      <c r="G65">
        <v>3</v>
      </c>
      <c r="H65">
        <v>3</v>
      </c>
      <c r="I65">
        <v>4</v>
      </c>
      <c r="J65" s="17"/>
      <c r="K65" s="17"/>
      <c r="L65" s="19" t="str">
        <f t="shared" si="0"/>
        <v/>
      </c>
      <c r="M65" s="17">
        <v>1</v>
      </c>
      <c r="N65" s="17">
        <v>1</v>
      </c>
      <c r="P65" t="s">
        <v>1614</v>
      </c>
    </row>
    <row r="66" spans="1:16">
      <c r="A66">
        <v>4</v>
      </c>
      <c r="B66">
        <v>33</v>
      </c>
      <c r="C66">
        <v>46277.583333333336</v>
      </c>
      <c r="D66" t="s">
        <v>831</v>
      </c>
      <c r="E66" t="s">
        <v>474</v>
      </c>
      <c r="F66" t="s">
        <v>1613</v>
      </c>
      <c r="G66">
        <v>4</v>
      </c>
      <c r="H66">
        <v>11</v>
      </c>
      <c r="I66">
        <v>6</v>
      </c>
      <c r="J66" s="17"/>
      <c r="K66" s="17"/>
      <c r="L66" s="19" t="str">
        <f t="shared" ref="L66:L129" si="1">IF(K66="","",EXP(-K66))</f>
        <v/>
      </c>
      <c r="M66" s="17">
        <v>1</v>
      </c>
      <c r="N66" s="17">
        <v>1</v>
      </c>
      <c r="P66" t="s">
        <v>1614</v>
      </c>
    </row>
    <row r="67" spans="1:16">
      <c r="A67">
        <v>4</v>
      </c>
      <c r="B67">
        <v>33</v>
      </c>
      <c r="C67">
        <v>46277.583333333336</v>
      </c>
      <c r="D67" t="s">
        <v>474</v>
      </c>
      <c r="E67" t="s">
        <v>831</v>
      </c>
      <c r="F67" t="s">
        <v>1615</v>
      </c>
      <c r="G67">
        <v>2</v>
      </c>
      <c r="H67">
        <v>6</v>
      </c>
      <c r="I67">
        <v>11</v>
      </c>
      <c r="J67" s="17"/>
      <c r="K67" s="17"/>
      <c r="L67" s="19" t="str">
        <f t="shared" si="1"/>
        <v/>
      </c>
      <c r="M67" s="17">
        <v>1</v>
      </c>
      <c r="N67" s="17">
        <v>1</v>
      </c>
      <c r="P67" t="s">
        <v>1614</v>
      </c>
    </row>
    <row r="68" spans="1:16">
      <c r="A68">
        <v>4</v>
      </c>
      <c r="B68">
        <v>34</v>
      </c>
      <c r="C68">
        <v>46277.583333333336</v>
      </c>
      <c r="D68" t="s">
        <v>903</v>
      </c>
      <c r="E68" t="s">
        <v>639</v>
      </c>
      <c r="F68" t="s">
        <v>1613</v>
      </c>
      <c r="G68">
        <v>3</v>
      </c>
      <c r="H68">
        <v>12</v>
      </c>
      <c r="I68">
        <v>8</v>
      </c>
      <c r="J68" s="17"/>
      <c r="K68" s="17"/>
      <c r="L68" s="19" t="str">
        <f t="shared" si="1"/>
        <v/>
      </c>
      <c r="M68" s="17">
        <v>1</v>
      </c>
      <c r="N68" s="17">
        <v>1</v>
      </c>
      <c r="P68" t="s">
        <v>1614</v>
      </c>
    </row>
    <row r="69" spans="1:16">
      <c r="A69">
        <v>4</v>
      </c>
      <c r="B69">
        <v>34</v>
      </c>
      <c r="C69">
        <v>46277.583333333336</v>
      </c>
      <c r="D69" t="s">
        <v>639</v>
      </c>
      <c r="E69" t="s">
        <v>903</v>
      </c>
      <c r="F69" t="s">
        <v>1615</v>
      </c>
      <c r="G69">
        <v>2</v>
      </c>
      <c r="H69">
        <v>8</v>
      </c>
      <c r="I69">
        <v>12</v>
      </c>
      <c r="J69" s="17"/>
      <c r="K69" s="17"/>
      <c r="L69" s="19" t="str">
        <f t="shared" si="1"/>
        <v/>
      </c>
      <c r="M69" s="17">
        <v>1</v>
      </c>
      <c r="N69" s="17">
        <v>1</v>
      </c>
      <c r="P69" t="s">
        <v>1614</v>
      </c>
    </row>
    <row r="70" spans="1:16">
      <c r="A70">
        <v>4</v>
      </c>
      <c r="B70">
        <v>35</v>
      </c>
      <c r="C70">
        <v>46277.583333333336</v>
      </c>
      <c r="D70" t="s">
        <v>777</v>
      </c>
      <c r="E70" t="s">
        <v>1037</v>
      </c>
      <c r="F70" t="s">
        <v>1613</v>
      </c>
      <c r="G70">
        <v>4</v>
      </c>
      <c r="H70">
        <v>10</v>
      </c>
      <c r="I70">
        <v>14</v>
      </c>
      <c r="J70" s="17"/>
      <c r="K70" s="17"/>
      <c r="L70" s="19" t="str">
        <f t="shared" si="1"/>
        <v/>
      </c>
      <c r="M70" s="17">
        <v>1</v>
      </c>
      <c r="N70" s="17">
        <v>1</v>
      </c>
      <c r="P70" t="s">
        <v>1614</v>
      </c>
    </row>
    <row r="71" spans="1:16">
      <c r="A71">
        <v>4</v>
      </c>
      <c r="B71">
        <v>35</v>
      </c>
      <c r="C71">
        <v>46277.583333333336</v>
      </c>
      <c r="D71" t="s">
        <v>1037</v>
      </c>
      <c r="E71" t="s">
        <v>777</v>
      </c>
      <c r="F71" t="s">
        <v>1615</v>
      </c>
      <c r="G71">
        <v>2</v>
      </c>
      <c r="H71">
        <v>14</v>
      </c>
      <c r="I71">
        <v>10</v>
      </c>
      <c r="J71" s="17"/>
      <c r="K71" s="17"/>
      <c r="L71" s="19" t="str">
        <f t="shared" si="1"/>
        <v/>
      </c>
      <c r="M71" s="17">
        <v>1</v>
      </c>
      <c r="N71" s="17">
        <v>1</v>
      </c>
      <c r="P71" t="s">
        <v>1614</v>
      </c>
    </row>
    <row r="72" spans="1:16">
      <c r="A72">
        <v>4</v>
      </c>
      <c r="B72">
        <v>36</v>
      </c>
      <c r="C72">
        <v>46277.791666666664</v>
      </c>
      <c r="D72" t="s">
        <v>64</v>
      </c>
      <c r="E72" t="s">
        <v>1493</v>
      </c>
      <c r="F72" t="s">
        <v>1613</v>
      </c>
      <c r="G72">
        <v>3</v>
      </c>
      <c r="H72">
        <v>1</v>
      </c>
      <c r="I72">
        <v>20</v>
      </c>
      <c r="J72" s="17"/>
      <c r="K72" s="17"/>
      <c r="L72" s="19" t="str">
        <f t="shared" si="1"/>
        <v/>
      </c>
      <c r="M72" s="17">
        <v>1</v>
      </c>
      <c r="N72" s="17">
        <v>1</v>
      </c>
      <c r="P72" t="s">
        <v>1614</v>
      </c>
    </row>
    <row r="73" spans="1:16">
      <c r="A73">
        <v>4</v>
      </c>
      <c r="B73">
        <v>36</v>
      </c>
      <c r="C73">
        <v>46277.791666666664</v>
      </c>
      <c r="D73" t="s">
        <v>1493</v>
      </c>
      <c r="E73" t="s">
        <v>64</v>
      </c>
      <c r="F73" t="s">
        <v>1615</v>
      </c>
      <c r="G73">
        <v>4</v>
      </c>
      <c r="H73">
        <v>20</v>
      </c>
      <c r="I73">
        <v>1</v>
      </c>
      <c r="J73" s="17"/>
      <c r="K73" s="17"/>
      <c r="L73" s="19" t="str">
        <f t="shared" si="1"/>
        <v/>
      </c>
      <c r="M73" s="17">
        <v>1</v>
      </c>
      <c r="N73" s="17">
        <v>1</v>
      </c>
      <c r="P73" t="s">
        <v>1614</v>
      </c>
    </row>
    <row r="74" spans="1:16">
      <c r="A74">
        <v>4</v>
      </c>
      <c r="B74">
        <v>37</v>
      </c>
      <c r="C74">
        <v>46277.6875</v>
      </c>
      <c r="D74" t="s">
        <v>714</v>
      </c>
      <c r="E74" t="s">
        <v>1412</v>
      </c>
      <c r="F74" t="s">
        <v>1613</v>
      </c>
      <c r="G74">
        <v>3</v>
      </c>
      <c r="H74">
        <v>9</v>
      </c>
      <c r="I74">
        <v>19</v>
      </c>
      <c r="J74" s="17"/>
      <c r="K74" s="17"/>
      <c r="L74" s="19" t="str">
        <f t="shared" si="1"/>
        <v/>
      </c>
      <c r="M74" s="17">
        <v>1</v>
      </c>
      <c r="N74" s="17">
        <v>1</v>
      </c>
      <c r="P74" t="s">
        <v>1614</v>
      </c>
    </row>
    <row r="75" spans="1:16">
      <c r="A75">
        <v>4</v>
      </c>
      <c r="B75">
        <v>37</v>
      </c>
      <c r="C75">
        <v>46277.6875</v>
      </c>
      <c r="D75" t="s">
        <v>1412</v>
      </c>
      <c r="E75" t="s">
        <v>714</v>
      </c>
      <c r="F75" t="s">
        <v>1615</v>
      </c>
      <c r="G75">
        <v>3</v>
      </c>
      <c r="H75">
        <v>19</v>
      </c>
      <c r="I75">
        <v>9</v>
      </c>
      <c r="J75" s="17"/>
      <c r="K75" s="17"/>
      <c r="L75" s="19" t="str">
        <f t="shared" si="1"/>
        <v/>
      </c>
      <c r="M75" s="17">
        <v>1</v>
      </c>
      <c r="N75" s="17">
        <v>1</v>
      </c>
      <c r="P75" t="s">
        <v>1614</v>
      </c>
    </row>
    <row r="76" spans="1:16">
      <c r="A76">
        <v>4</v>
      </c>
      <c r="B76">
        <v>38</v>
      </c>
      <c r="C76">
        <v>46278.541666666664</v>
      </c>
      <c r="D76" t="s">
        <v>390</v>
      </c>
      <c r="E76" t="s">
        <v>567</v>
      </c>
      <c r="F76" t="s">
        <v>1613</v>
      </c>
      <c r="G76">
        <v>2</v>
      </c>
      <c r="H76">
        <v>5</v>
      </c>
      <c r="I76">
        <v>7</v>
      </c>
      <c r="J76" s="17"/>
      <c r="K76" s="17"/>
      <c r="L76" s="19" t="str">
        <f t="shared" si="1"/>
        <v/>
      </c>
      <c r="M76" s="17">
        <v>1</v>
      </c>
      <c r="N76" s="17">
        <v>1</v>
      </c>
      <c r="P76" t="s">
        <v>1614</v>
      </c>
    </row>
    <row r="77" spans="1:16">
      <c r="A77">
        <v>4</v>
      </c>
      <c r="B77">
        <v>38</v>
      </c>
      <c r="C77">
        <v>46278.541666666664</v>
      </c>
      <c r="D77" t="s">
        <v>567</v>
      </c>
      <c r="E77" t="s">
        <v>390</v>
      </c>
      <c r="F77" t="s">
        <v>1615</v>
      </c>
      <c r="G77">
        <v>2</v>
      </c>
      <c r="H77">
        <v>7</v>
      </c>
      <c r="I77">
        <v>5</v>
      </c>
      <c r="J77" s="17"/>
      <c r="K77" s="17"/>
      <c r="L77" s="19" t="str">
        <f t="shared" si="1"/>
        <v/>
      </c>
      <c r="M77" s="17">
        <v>1</v>
      </c>
      <c r="N77" s="17">
        <v>1</v>
      </c>
      <c r="P77" t="s">
        <v>1614</v>
      </c>
    </row>
    <row r="78" spans="1:16">
      <c r="A78">
        <v>4</v>
      </c>
      <c r="B78">
        <v>39</v>
      </c>
      <c r="C78">
        <v>46278.645833333336</v>
      </c>
      <c r="D78" t="s">
        <v>1126</v>
      </c>
      <c r="E78" t="s">
        <v>1199</v>
      </c>
      <c r="F78" t="s">
        <v>1613</v>
      </c>
      <c r="G78">
        <v>4</v>
      </c>
      <c r="H78">
        <v>15</v>
      </c>
      <c r="I78">
        <v>16</v>
      </c>
      <c r="J78" s="17"/>
      <c r="K78" s="17"/>
      <c r="L78" s="19" t="str">
        <f t="shared" si="1"/>
        <v/>
      </c>
      <c r="M78" s="17">
        <v>1</v>
      </c>
      <c r="N78" s="17">
        <v>1</v>
      </c>
      <c r="P78" t="s">
        <v>1614</v>
      </c>
    </row>
    <row r="79" spans="1:16">
      <c r="A79">
        <v>4</v>
      </c>
      <c r="B79">
        <v>39</v>
      </c>
      <c r="C79">
        <v>46278.645833333336</v>
      </c>
      <c r="D79" t="s">
        <v>1199</v>
      </c>
      <c r="E79" t="s">
        <v>1126</v>
      </c>
      <c r="F79" t="s">
        <v>1615</v>
      </c>
      <c r="G79">
        <v>4</v>
      </c>
      <c r="H79">
        <v>16</v>
      </c>
      <c r="I79">
        <v>15</v>
      </c>
      <c r="J79" s="17"/>
      <c r="K79" s="17"/>
      <c r="L79" s="19" t="str">
        <f t="shared" si="1"/>
        <v/>
      </c>
      <c r="M79" s="17">
        <v>1</v>
      </c>
      <c r="N79" s="17">
        <v>1</v>
      </c>
      <c r="P79" t="s">
        <v>1614</v>
      </c>
    </row>
    <row r="80" spans="1:16">
      <c r="A80">
        <v>4</v>
      </c>
      <c r="B80">
        <v>40</v>
      </c>
      <c r="C80">
        <v>46279.791666666664</v>
      </c>
      <c r="D80" t="s">
        <v>1283</v>
      </c>
      <c r="E80" t="s">
        <v>978</v>
      </c>
      <c r="F80" t="s">
        <v>1613</v>
      </c>
      <c r="G80">
        <v>3</v>
      </c>
      <c r="H80">
        <v>17</v>
      </c>
      <c r="I80">
        <v>13</v>
      </c>
      <c r="J80" s="17"/>
      <c r="K80" s="17"/>
      <c r="L80" s="19" t="str">
        <f t="shared" si="1"/>
        <v/>
      </c>
      <c r="M80" s="17">
        <v>1</v>
      </c>
      <c r="N80" s="17">
        <v>1</v>
      </c>
      <c r="P80" t="s">
        <v>1614</v>
      </c>
    </row>
    <row r="81" spans="1:16">
      <c r="A81">
        <v>4</v>
      </c>
      <c r="B81">
        <v>40</v>
      </c>
      <c r="C81">
        <v>46279.791666666664</v>
      </c>
      <c r="D81" t="s">
        <v>978</v>
      </c>
      <c r="E81" t="s">
        <v>1283</v>
      </c>
      <c r="F81" t="s">
        <v>1615</v>
      </c>
      <c r="G81">
        <v>2</v>
      </c>
      <c r="H81">
        <v>13</v>
      </c>
      <c r="I81">
        <v>17</v>
      </c>
      <c r="J81" s="17"/>
      <c r="K81" s="17"/>
      <c r="L81" s="19" t="str">
        <f t="shared" si="1"/>
        <v/>
      </c>
      <c r="M81" s="17">
        <v>1</v>
      </c>
      <c r="N81" s="17">
        <v>1</v>
      </c>
      <c r="P81" t="s">
        <v>1614</v>
      </c>
    </row>
    <row r="82" spans="1:16">
      <c r="A82">
        <v>5</v>
      </c>
      <c r="B82">
        <v>41</v>
      </c>
      <c r="C82">
        <v>46283.791666666664</v>
      </c>
      <c r="D82" t="s">
        <v>474</v>
      </c>
      <c r="E82" t="s">
        <v>312</v>
      </c>
      <c r="F82" t="s">
        <v>1613</v>
      </c>
      <c r="G82">
        <v>3</v>
      </c>
      <c r="H82">
        <v>6</v>
      </c>
      <c r="I82">
        <v>4</v>
      </c>
      <c r="J82" s="17"/>
      <c r="K82" s="17"/>
      <c r="L82" s="19" t="str">
        <f t="shared" si="1"/>
        <v/>
      </c>
      <c r="M82" s="17">
        <v>1</v>
      </c>
      <c r="N82" s="17">
        <v>1</v>
      </c>
      <c r="P82" t="s">
        <v>1614</v>
      </c>
    </row>
    <row r="83" spans="1:16">
      <c r="A83">
        <v>5</v>
      </c>
      <c r="B83">
        <v>41</v>
      </c>
      <c r="C83">
        <v>46283.791666666664</v>
      </c>
      <c r="D83" t="s">
        <v>312</v>
      </c>
      <c r="E83" t="s">
        <v>474</v>
      </c>
      <c r="F83" t="s">
        <v>1615</v>
      </c>
      <c r="G83">
        <v>4</v>
      </c>
      <c r="H83">
        <v>4</v>
      </c>
      <c r="I83">
        <v>6</v>
      </c>
      <c r="J83" s="17"/>
      <c r="K83" s="17"/>
      <c r="L83" s="19" t="str">
        <f t="shared" si="1"/>
        <v/>
      </c>
      <c r="M83" s="17">
        <v>1</v>
      </c>
      <c r="N83" s="17">
        <v>1</v>
      </c>
      <c r="P83" t="s">
        <v>1614</v>
      </c>
    </row>
    <row r="84" spans="1:16">
      <c r="A84">
        <v>5</v>
      </c>
      <c r="B84">
        <v>42</v>
      </c>
      <c r="C84">
        <v>46284.583333333336</v>
      </c>
      <c r="D84" t="s">
        <v>64</v>
      </c>
      <c r="E84" t="s">
        <v>390</v>
      </c>
      <c r="F84" t="s">
        <v>1613</v>
      </c>
      <c r="G84">
        <v>3</v>
      </c>
      <c r="H84">
        <v>1</v>
      </c>
      <c r="I84">
        <v>5</v>
      </c>
      <c r="J84" s="17"/>
      <c r="K84" s="17"/>
      <c r="L84" s="19" t="str">
        <f t="shared" si="1"/>
        <v/>
      </c>
      <c r="M84" s="17">
        <v>1</v>
      </c>
      <c r="N84" s="17">
        <v>1</v>
      </c>
      <c r="P84" t="s">
        <v>1614</v>
      </c>
    </row>
    <row r="85" spans="1:16">
      <c r="A85">
        <v>5</v>
      </c>
      <c r="B85">
        <v>42</v>
      </c>
      <c r="C85">
        <v>46284.583333333336</v>
      </c>
      <c r="D85" t="s">
        <v>390</v>
      </c>
      <c r="E85" t="s">
        <v>64</v>
      </c>
      <c r="F85" t="s">
        <v>1615</v>
      </c>
      <c r="G85">
        <v>4</v>
      </c>
      <c r="H85">
        <v>5</v>
      </c>
      <c r="I85">
        <v>1</v>
      </c>
      <c r="J85" s="17"/>
      <c r="K85" s="17"/>
      <c r="L85" s="19" t="str">
        <f t="shared" si="1"/>
        <v/>
      </c>
      <c r="M85" s="17">
        <v>1</v>
      </c>
      <c r="N85" s="17">
        <v>1</v>
      </c>
      <c r="P85" t="s">
        <v>1614</v>
      </c>
    </row>
    <row r="86" spans="1:16">
      <c r="A86">
        <v>5</v>
      </c>
      <c r="B86">
        <v>43</v>
      </c>
      <c r="C86">
        <v>46284.583333333336</v>
      </c>
      <c r="D86" t="s">
        <v>903</v>
      </c>
      <c r="E86" t="s">
        <v>714</v>
      </c>
      <c r="F86" t="s">
        <v>1613</v>
      </c>
      <c r="G86">
        <v>3</v>
      </c>
      <c r="H86">
        <v>12</v>
      </c>
      <c r="I86">
        <v>9</v>
      </c>
      <c r="J86" s="17"/>
      <c r="K86" s="17"/>
      <c r="L86" s="19" t="str">
        <f t="shared" si="1"/>
        <v/>
      </c>
      <c r="M86" s="17">
        <v>1</v>
      </c>
      <c r="N86" s="17">
        <v>1</v>
      </c>
      <c r="P86" t="s">
        <v>1614</v>
      </c>
    </row>
    <row r="87" spans="1:16">
      <c r="A87">
        <v>5</v>
      </c>
      <c r="B87">
        <v>43</v>
      </c>
      <c r="C87">
        <v>46284.583333333336</v>
      </c>
      <c r="D87" t="s">
        <v>714</v>
      </c>
      <c r="E87" t="s">
        <v>903</v>
      </c>
      <c r="F87" t="s">
        <v>1615</v>
      </c>
      <c r="G87">
        <v>2</v>
      </c>
      <c r="H87">
        <v>9</v>
      </c>
      <c r="I87">
        <v>12</v>
      </c>
      <c r="J87" s="17"/>
      <c r="K87" s="17"/>
      <c r="L87" s="19" t="str">
        <f t="shared" si="1"/>
        <v/>
      </c>
      <c r="M87" s="17">
        <v>1</v>
      </c>
      <c r="N87" s="17">
        <v>1</v>
      </c>
      <c r="P87" t="s">
        <v>1614</v>
      </c>
    </row>
    <row r="88" spans="1:16">
      <c r="A88">
        <v>5</v>
      </c>
      <c r="B88">
        <v>44</v>
      </c>
      <c r="C88">
        <v>46284.583333333336</v>
      </c>
      <c r="D88" t="s">
        <v>639</v>
      </c>
      <c r="E88" t="s">
        <v>978</v>
      </c>
      <c r="F88" t="s">
        <v>1613</v>
      </c>
      <c r="G88">
        <v>3</v>
      </c>
      <c r="H88">
        <v>8</v>
      </c>
      <c r="I88">
        <v>13</v>
      </c>
      <c r="J88" s="17"/>
      <c r="K88" s="17"/>
      <c r="L88" s="19" t="str">
        <f t="shared" si="1"/>
        <v/>
      </c>
      <c r="M88" s="17">
        <v>1</v>
      </c>
      <c r="N88" s="17">
        <v>1</v>
      </c>
      <c r="P88" t="s">
        <v>1614</v>
      </c>
    </row>
    <row r="89" spans="1:16">
      <c r="A89">
        <v>5</v>
      </c>
      <c r="B89">
        <v>44</v>
      </c>
      <c r="C89">
        <v>46284.583333333336</v>
      </c>
      <c r="D89" t="s">
        <v>978</v>
      </c>
      <c r="E89" t="s">
        <v>639</v>
      </c>
      <c r="F89" t="s">
        <v>1615</v>
      </c>
      <c r="G89">
        <v>3</v>
      </c>
      <c r="H89">
        <v>13</v>
      </c>
      <c r="I89">
        <v>8</v>
      </c>
      <c r="J89" s="17"/>
      <c r="K89" s="17"/>
      <c r="L89" s="19" t="str">
        <f t="shared" si="1"/>
        <v/>
      </c>
      <c r="M89" s="17">
        <v>1</v>
      </c>
      <c r="N89" s="17">
        <v>1</v>
      </c>
      <c r="P89" t="s">
        <v>1614</v>
      </c>
    </row>
    <row r="90" spans="1:16">
      <c r="A90">
        <v>5</v>
      </c>
      <c r="B90">
        <v>45</v>
      </c>
      <c r="C90">
        <v>46284.583333333336</v>
      </c>
      <c r="D90" t="s">
        <v>1493</v>
      </c>
      <c r="E90" t="s">
        <v>1126</v>
      </c>
      <c r="F90" t="s">
        <v>1613</v>
      </c>
      <c r="G90">
        <v>5</v>
      </c>
      <c r="H90">
        <v>20</v>
      </c>
      <c r="I90">
        <v>15</v>
      </c>
      <c r="J90" s="17"/>
      <c r="K90" s="17"/>
      <c r="L90" s="19" t="str">
        <f t="shared" si="1"/>
        <v/>
      </c>
      <c r="M90" s="17">
        <v>1</v>
      </c>
      <c r="N90" s="17">
        <v>1</v>
      </c>
      <c r="P90" t="s">
        <v>1614</v>
      </c>
    </row>
    <row r="91" spans="1:16">
      <c r="A91">
        <v>5</v>
      </c>
      <c r="B91">
        <v>45</v>
      </c>
      <c r="C91">
        <v>46284.583333333336</v>
      </c>
      <c r="D91" t="s">
        <v>1126</v>
      </c>
      <c r="E91" t="s">
        <v>1493</v>
      </c>
      <c r="F91" t="s">
        <v>1615</v>
      </c>
      <c r="G91">
        <v>2</v>
      </c>
      <c r="H91">
        <v>15</v>
      </c>
      <c r="I91">
        <v>20</v>
      </c>
      <c r="J91" s="17"/>
      <c r="K91" s="17"/>
      <c r="L91" s="19" t="str">
        <f t="shared" si="1"/>
        <v/>
      </c>
      <c r="M91" s="17">
        <v>1</v>
      </c>
      <c r="N91" s="17">
        <v>1</v>
      </c>
      <c r="P91" t="s">
        <v>1614</v>
      </c>
    </row>
    <row r="92" spans="1:16">
      <c r="A92">
        <v>5</v>
      </c>
      <c r="B92">
        <v>46</v>
      </c>
      <c r="C92">
        <v>46284.583333333336</v>
      </c>
      <c r="D92" t="s">
        <v>831</v>
      </c>
      <c r="E92" t="s">
        <v>1283</v>
      </c>
      <c r="F92" t="s">
        <v>1613</v>
      </c>
      <c r="G92">
        <v>3</v>
      </c>
      <c r="H92">
        <v>11</v>
      </c>
      <c r="I92">
        <v>17</v>
      </c>
      <c r="J92" s="17"/>
      <c r="K92" s="17"/>
      <c r="L92" s="19" t="str">
        <f t="shared" si="1"/>
        <v/>
      </c>
      <c r="M92" s="17">
        <v>1</v>
      </c>
      <c r="N92" s="17">
        <v>1</v>
      </c>
      <c r="P92" t="s">
        <v>1614</v>
      </c>
    </row>
    <row r="93" spans="1:16">
      <c r="A93">
        <v>5</v>
      </c>
      <c r="B93">
        <v>46</v>
      </c>
      <c r="C93">
        <v>46284.583333333336</v>
      </c>
      <c r="D93" t="s">
        <v>1283</v>
      </c>
      <c r="E93" t="s">
        <v>831</v>
      </c>
      <c r="F93" t="s">
        <v>1615</v>
      </c>
      <c r="G93">
        <v>2</v>
      </c>
      <c r="H93">
        <v>17</v>
      </c>
      <c r="I93">
        <v>11</v>
      </c>
      <c r="J93" s="17"/>
      <c r="K93" s="17"/>
      <c r="L93" s="19" t="str">
        <f t="shared" si="1"/>
        <v/>
      </c>
      <c r="M93" s="17">
        <v>1</v>
      </c>
      <c r="N93" s="17">
        <v>1</v>
      </c>
      <c r="P93" t="s">
        <v>1614</v>
      </c>
    </row>
    <row r="94" spans="1:16">
      <c r="A94">
        <v>5</v>
      </c>
      <c r="B94">
        <v>47</v>
      </c>
      <c r="C94">
        <v>46284.6875</v>
      </c>
      <c r="D94" t="s">
        <v>567</v>
      </c>
      <c r="E94" t="s">
        <v>1354</v>
      </c>
      <c r="F94" t="s">
        <v>1613</v>
      </c>
      <c r="G94">
        <v>3</v>
      </c>
      <c r="H94">
        <v>7</v>
      </c>
      <c r="I94">
        <v>18</v>
      </c>
      <c r="J94" s="17"/>
      <c r="K94" s="17"/>
      <c r="L94" s="19" t="str">
        <f t="shared" si="1"/>
        <v/>
      </c>
      <c r="M94" s="17">
        <v>1</v>
      </c>
      <c r="N94" s="17">
        <v>1</v>
      </c>
      <c r="P94" t="s">
        <v>1614</v>
      </c>
    </row>
    <row r="95" spans="1:16">
      <c r="A95">
        <v>5</v>
      </c>
      <c r="B95">
        <v>47</v>
      </c>
      <c r="C95">
        <v>46284.6875</v>
      </c>
      <c r="D95" t="s">
        <v>1354</v>
      </c>
      <c r="E95" t="s">
        <v>567</v>
      </c>
      <c r="F95" t="s">
        <v>1615</v>
      </c>
      <c r="G95">
        <v>2</v>
      </c>
      <c r="H95">
        <v>18</v>
      </c>
      <c r="I95">
        <v>7</v>
      </c>
      <c r="J95" s="17"/>
      <c r="K95" s="17"/>
      <c r="L95" s="19" t="str">
        <f t="shared" si="1"/>
        <v/>
      </c>
      <c r="M95" s="17">
        <v>1</v>
      </c>
      <c r="N95" s="17">
        <v>1</v>
      </c>
      <c r="P95" t="s">
        <v>1614</v>
      </c>
    </row>
    <row r="96" spans="1:16">
      <c r="A96">
        <v>5</v>
      </c>
      <c r="B96">
        <v>48</v>
      </c>
      <c r="C96">
        <v>46284.479166666664</v>
      </c>
      <c r="D96" t="s">
        <v>153</v>
      </c>
      <c r="E96" t="s">
        <v>1412</v>
      </c>
      <c r="F96" t="s">
        <v>1613</v>
      </c>
      <c r="G96">
        <v>3</v>
      </c>
      <c r="H96">
        <v>2</v>
      </c>
      <c r="I96">
        <v>19</v>
      </c>
      <c r="J96" s="17"/>
      <c r="K96" s="17"/>
      <c r="L96" s="19" t="str">
        <f t="shared" si="1"/>
        <v/>
      </c>
      <c r="M96" s="17">
        <v>1</v>
      </c>
      <c r="N96" s="17">
        <v>1</v>
      </c>
      <c r="P96" t="s">
        <v>1614</v>
      </c>
    </row>
    <row r="97" spans="1:16">
      <c r="A97">
        <v>5</v>
      </c>
      <c r="B97">
        <v>48</v>
      </c>
      <c r="C97">
        <v>46284.479166666664</v>
      </c>
      <c r="D97" t="s">
        <v>1412</v>
      </c>
      <c r="E97" t="s">
        <v>153</v>
      </c>
      <c r="F97" t="s">
        <v>1615</v>
      </c>
      <c r="G97">
        <v>3</v>
      </c>
      <c r="H97">
        <v>19</v>
      </c>
      <c r="I97">
        <v>2</v>
      </c>
      <c r="J97" s="17"/>
      <c r="K97" s="17"/>
      <c r="L97" s="19" t="str">
        <f t="shared" si="1"/>
        <v/>
      </c>
      <c r="M97" s="17">
        <v>1</v>
      </c>
      <c r="N97" s="17">
        <v>1</v>
      </c>
      <c r="P97" t="s">
        <v>1614</v>
      </c>
    </row>
    <row r="98" spans="1:16">
      <c r="A98">
        <v>5</v>
      </c>
      <c r="B98">
        <v>49</v>
      </c>
      <c r="C98">
        <v>46285.541666666664</v>
      </c>
      <c r="D98" t="s">
        <v>1037</v>
      </c>
      <c r="E98" t="s">
        <v>236</v>
      </c>
      <c r="F98" t="s">
        <v>1613</v>
      </c>
      <c r="G98">
        <v>3</v>
      </c>
      <c r="H98">
        <v>14</v>
      </c>
      <c r="I98">
        <v>3</v>
      </c>
      <c r="J98" s="17"/>
      <c r="K98" s="17"/>
      <c r="L98" s="19" t="str">
        <f t="shared" si="1"/>
        <v/>
      </c>
      <c r="M98" s="17">
        <v>1</v>
      </c>
      <c r="N98" s="17">
        <v>1</v>
      </c>
      <c r="P98" t="s">
        <v>1614</v>
      </c>
    </row>
    <row r="99" spans="1:16">
      <c r="A99">
        <v>5</v>
      </c>
      <c r="B99">
        <v>49</v>
      </c>
      <c r="C99">
        <v>46285.541666666664</v>
      </c>
      <c r="D99" t="s">
        <v>236</v>
      </c>
      <c r="E99" t="s">
        <v>1037</v>
      </c>
      <c r="F99" t="s">
        <v>1615</v>
      </c>
      <c r="G99">
        <v>4</v>
      </c>
      <c r="H99">
        <v>3</v>
      </c>
      <c r="I99">
        <v>14</v>
      </c>
      <c r="J99" s="17"/>
      <c r="K99" s="17"/>
      <c r="L99" s="19" t="str">
        <f t="shared" si="1"/>
        <v/>
      </c>
      <c r="M99" s="17">
        <v>1</v>
      </c>
      <c r="N99" s="17">
        <v>1</v>
      </c>
      <c r="P99" t="s">
        <v>1614</v>
      </c>
    </row>
    <row r="100" spans="1:16">
      <c r="A100">
        <v>5</v>
      </c>
      <c r="B100">
        <v>50</v>
      </c>
      <c r="C100">
        <v>46285.645833333336</v>
      </c>
      <c r="D100" t="s">
        <v>1199</v>
      </c>
      <c r="E100" t="s">
        <v>777</v>
      </c>
      <c r="F100" t="s">
        <v>1613</v>
      </c>
      <c r="G100">
        <v>3</v>
      </c>
      <c r="H100">
        <v>16</v>
      </c>
      <c r="I100">
        <v>10</v>
      </c>
      <c r="J100" s="17"/>
      <c r="K100" s="17"/>
      <c r="L100" s="19" t="str">
        <f t="shared" si="1"/>
        <v/>
      </c>
      <c r="M100" s="17">
        <v>1</v>
      </c>
      <c r="N100" s="17">
        <v>1</v>
      </c>
      <c r="P100" t="s">
        <v>1614</v>
      </c>
    </row>
    <row r="101" spans="1:16">
      <c r="A101">
        <v>5</v>
      </c>
      <c r="B101">
        <v>50</v>
      </c>
      <c r="C101">
        <v>46285.645833333336</v>
      </c>
      <c r="D101" t="s">
        <v>777</v>
      </c>
      <c r="E101" t="s">
        <v>1199</v>
      </c>
      <c r="F101" t="s">
        <v>1615</v>
      </c>
      <c r="G101">
        <v>4</v>
      </c>
      <c r="H101">
        <v>10</v>
      </c>
      <c r="I101">
        <v>16</v>
      </c>
      <c r="J101" s="17"/>
      <c r="K101" s="17"/>
      <c r="L101" s="19" t="str">
        <f t="shared" si="1"/>
        <v/>
      </c>
      <c r="M101" s="17">
        <v>1</v>
      </c>
      <c r="N101" s="17">
        <v>1</v>
      </c>
      <c r="P101" t="s">
        <v>1614</v>
      </c>
    </row>
    <row r="102" spans="1:16">
      <c r="A102">
        <v>6</v>
      </c>
      <c r="B102">
        <v>51</v>
      </c>
      <c r="C102">
        <v>46305.583333333336</v>
      </c>
      <c r="D102" t="s">
        <v>978</v>
      </c>
      <c r="E102" t="s">
        <v>64</v>
      </c>
      <c r="F102" t="s">
        <v>1613</v>
      </c>
      <c r="G102">
        <v>5</v>
      </c>
      <c r="H102">
        <v>13</v>
      </c>
      <c r="I102">
        <v>1</v>
      </c>
      <c r="J102" s="17"/>
      <c r="K102" s="17"/>
      <c r="L102" s="19" t="str">
        <f t="shared" si="1"/>
        <v/>
      </c>
      <c r="M102" s="17">
        <v>1</v>
      </c>
      <c r="N102" s="17">
        <v>1</v>
      </c>
      <c r="P102" t="s">
        <v>1614</v>
      </c>
    </row>
    <row r="103" spans="1:16">
      <c r="A103">
        <v>6</v>
      </c>
      <c r="B103">
        <v>51</v>
      </c>
      <c r="C103">
        <v>46305.583333333336</v>
      </c>
      <c r="D103" t="s">
        <v>64</v>
      </c>
      <c r="E103" t="s">
        <v>978</v>
      </c>
      <c r="F103" t="s">
        <v>1615</v>
      </c>
      <c r="G103">
        <v>2</v>
      </c>
      <c r="H103">
        <v>1</v>
      </c>
      <c r="I103">
        <v>13</v>
      </c>
      <c r="J103" s="17"/>
      <c r="K103" s="17"/>
      <c r="L103" s="19" t="str">
        <f t="shared" si="1"/>
        <v/>
      </c>
      <c r="M103" s="17">
        <v>1</v>
      </c>
      <c r="N103" s="17">
        <v>1</v>
      </c>
      <c r="P103" t="s">
        <v>1614</v>
      </c>
    </row>
    <row r="104" spans="1:16">
      <c r="A104">
        <v>6</v>
      </c>
      <c r="B104">
        <v>52</v>
      </c>
      <c r="C104">
        <v>46305.583333333336</v>
      </c>
      <c r="D104" t="s">
        <v>312</v>
      </c>
      <c r="E104" t="s">
        <v>153</v>
      </c>
      <c r="F104" t="s">
        <v>1613</v>
      </c>
      <c r="G104">
        <v>4</v>
      </c>
      <c r="H104">
        <v>4</v>
      </c>
      <c r="I104">
        <v>2</v>
      </c>
      <c r="J104" s="17"/>
      <c r="K104" s="17"/>
      <c r="L104" s="19" t="str">
        <f t="shared" si="1"/>
        <v/>
      </c>
      <c r="M104" s="17">
        <v>1</v>
      </c>
      <c r="N104" s="17">
        <v>1</v>
      </c>
      <c r="P104" t="s">
        <v>1614</v>
      </c>
    </row>
    <row r="105" spans="1:16">
      <c r="A105">
        <v>6</v>
      </c>
      <c r="B105">
        <v>52</v>
      </c>
      <c r="C105">
        <v>46305.583333333336</v>
      </c>
      <c r="D105" t="s">
        <v>153</v>
      </c>
      <c r="E105" t="s">
        <v>312</v>
      </c>
      <c r="F105" t="s">
        <v>1615</v>
      </c>
      <c r="G105">
        <v>3</v>
      </c>
      <c r="H105">
        <v>2</v>
      </c>
      <c r="I105">
        <v>4</v>
      </c>
      <c r="J105" s="17"/>
      <c r="K105" s="17"/>
      <c r="L105" s="19" t="str">
        <f t="shared" si="1"/>
        <v/>
      </c>
      <c r="M105" s="17">
        <v>1</v>
      </c>
      <c r="N105" s="17">
        <v>1</v>
      </c>
      <c r="P105" t="s">
        <v>1614</v>
      </c>
    </row>
    <row r="106" spans="1:16">
      <c r="A106">
        <v>6</v>
      </c>
      <c r="B106">
        <v>53</v>
      </c>
      <c r="C106">
        <v>46305.583333333336</v>
      </c>
      <c r="D106" t="s">
        <v>236</v>
      </c>
      <c r="E106" t="s">
        <v>474</v>
      </c>
      <c r="F106" t="s">
        <v>1613</v>
      </c>
      <c r="G106">
        <v>4</v>
      </c>
      <c r="H106">
        <v>3</v>
      </c>
      <c r="I106">
        <v>6</v>
      </c>
      <c r="J106" s="17"/>
      <c r="K106" s="17"/>
      <c r="L106" s="19" t="str">
        <f t="shared" si="1"/>
        <v/>
      </c>
      <c r="M106" s="17">
        <v>1</v>
      </c>
      <c r="N106" s="17">
        <v>1</v>
      </c>
      <c r="P106" t="s">
        <v>1614</v>
      </c>
    </row>
    <row r="107" spans="1:16">
      <c r="A107">
        <v>6</v>
      </c>
      <c r="B107">
        <v>53</v>
      </c>
      <c r="C107">
        <v>46305.583333333336</v>
      </c>
      <c r="D107" t="s">
        <v>474</v>
      </c>
      <c r="E107" t="s">
        <v>236</v>
      </c>
      <c r="F107" t="s">
        <v>1615</v>
      </c>
      <c r="G107">
        <v>3</v>
      </c>
      <c r="H107">
        <v>6</v>
      </c>
      <c r="I107">
        <v>3</v>
      </c>
      <c r="J107" s="17"/>
      <c r="K107" s="17"/>
      <c r="L107" s="19" t="str">
        <f t="shared" si="1"/>
        <v/>
      </c>
      <c r="M107" s="17">
        <v>1</v>
      </c>
      <c r="N107" s="17">
        <v>1</v>
      </c>
      <c r="P107" t="s">
        <v>1614</v>
      </c>
    </row>
    <row r="108" spans="1:16">
      <c r="A108">
        <v>6</v>
      </c>
      <c r="B108">
        <v>54</v>
      </c>
      <c r="C108">
        <v>46305.583333333336</v>
      </c>
      <c r="D108" t="s">
        <v>1283</v>
      </c>
      <c r="E108" t="s">
        <v>567</v>
      </c>
      <c r="F108" t="s">
        <v>1613</v>
      </c>
      <c r="G108">
        <v>2</v>
      </c>
      <c r="H108">
        <v>17</v>
      </c>
      <c r="I108">
        <v>7</v>
      </c>
      <c r="J108" s="17"/>
      <c r="K108" s="17"/>
      <c r="L108" s="19" t="str">
        <f t="shared" si="1"/>
        <v/>
      </c>
      <c r="M108" s="17">
        <v>1</v>
      </c>
      <c r="N108" s="17">
        <v>1</v>
      </c>
      <c r="P108" t="s">
        <v>1614</v>
      </c>
    </row>
    <row r="109" spans="1:16">
      <c r="A109">
        <v>6</v>
      </c>
      <c r="B109">
        <v>54</v>
      </c>
      <c r="C109">
        <v>46305.583333333336</v>
      </c>
      <c r="D109" t="s">
        <v>567</v>
      </c>
      <c r="E109" t="s">
        <v>1283</v>
      </c>
      <c r="F109" t="s">
        <v>1615</v>
      </c>
      <c r="G109">
        <v>2</v>
      </c>
      <c r="H109">
        <v>7</v>
      </c>
      <c r="I109">
        <v>17</v>
      </c>
      <c r="J109" s="17"/>
      <c r="K109" s="17"/>
      <c r="L109" s="19" t="str">
        <f t="shared" si="1"/>
        <v/>
      </c>
      <c r="M109" s="17">
        <v>1</v>
      </c>
      <c r="N109" s="17">
        <v>1</v>
      </c>
      <c r="P109" t="s">
        <v>1614</v>
      </c>
    </row>
    <row r="110" spans="1:16">
      <c r="A110">
        <v>6</v>
      </c>
      <c r="B110">
        <v>55</v>
      </c>
      <c r="C110">
        <v>46305.583333333336</v>
      </c>
      <c r="D110" t="s">
        <v>1354</v>
      </c>
      <c r="E110" t="s">
        <v>639</v>
      </c>
      <c r="F110" t="s">
        <v>1613</v>
      </c>
      <c r="G110">
        <v>3</v>
      </c>
      <c r="H110">
        <v>18</v>
      </c>
      <c r="I110">
        <v>8</v>
      </c>
      <c r="J110" s="17"/>
      <c r="K110" s="17"/>
      <c r="L110" s="19" t="str">
        <f t="shared" si="1"/>
        <v/>
      </c>
      <c r="M110" s="17">
        <v>1</v>
      </c>
      <c r="N110" s="17">
        <v>1</v>
      </c>
      <c r="P110" t="s">
        <v>1614</v>
      </c>
    </row>
    <row r="111" spans="1:16">
      <c r="A111">
        <v>6</v>
      </c>
      <c r="B111">
        <v>55</v>
      </c>
      <c r="C111">
        <v>46305.583333333336</v>
      </c>
      <c r="D111" t="s">
        <v>639</v>
      </c>
      <c r="E111" t="s">
        <v>1354</v>
      </c>
      <c r="F111" t="s">
        <v>1615</v>
      </c>
      <c r="G111">
        <v>3</v>
      </c>
      <c r="H111">
        <v>8</v>
      </c>
      <c r="I111">
        <v>18</v>
      </c>
      <c r="J111" s="17"/>
      <c r="K111" s="17"/>
      <c r="L111" s="19" t="str">
        <f t="shared" si="1"/>
        <v/>
      </c>
      <c r="M111" s="17">
        <v>1</v>
      </c>
      <c r="N111" s="17">
        <v>1</v>
      </c>
      <c r="P111" t="s">
        <v>1614</v>
      </c>
    </row>
    <row r="112" spans="1:16">
      <c r="A112">
        <v>6</v>
      </c>
      <c r="B112">
        <v>56</v>
      </c>
      <c r="C112">
        <v>46305.583333333336</v>
      </c>
      <c r="D112" t="s">
        <v>714</v>
      </c>
      <c r="E112" t="s">
        <v>831</v>
      </c>
      <c r="F112" t="s">
        <v>1613</v>
      </c>
      <c r="G112">
        <v>2</v>
      </c>
      <c r="H112">
        <v>9</v>
      </c>
      <c r="I112">
        <v>11</v>
      </c>
      <c r="J112" s="17"/>
      <c r="K112" s="17"/>
      <c r="L112" s="19" t="str">
        <f t="shared" si="1"/>
        <v/>
      </c>
      <c r="M112" s="17">
        <v>1</v>
      </c>
      <c r="N112" s="17">
        <v>1</v>
      </c>
      <c r="P112" t="s">
        <v>1614</v>
      </c>
    </row>
    <row r="113" spans="1:16">
      <c r="A113">
        <v>6</v>
      </c>
      <c r="B113">
        <v>56</v>
      </c>
      <c r="C113">
        <v>46305.583333333336</v>
      </c>
      <c r="D113" t="s">
        <v>831</v>
      </c>
      <c r="E113" t="s">
        <v>714</v>
      </c>
      <c r="F113" t="s">
        <v>1615</v>
      </c>
      <c r="G113">
        <v>3</v>
      </c>
      <c r="H113">
        <v>11</v>
      </c>
      <c r="I113">
        <v>9</v>
      </c>
      <c r="J113" s="17"/>
      <c r="K113" s="17"/>
      <c r="L113" s="19" t="str">
        <f t="shared" si="1"/>
        <v/>
      </c>
      <c r="M113" s="17">
        <v>1</v>
      </c>
      <c r="N113" s="17">
        <v>1</v>
      </c>
      <c r="P113" t="s">
        <v>1614</v>
      </c>
    </row>
    <row r="114" spans="1:16">
      <c r="A114">
        <v>6</v>
      </c>
      <c r="B114">
        <v>57</v>
      </c>
      <c r="C114">
        <v>46305.583333333336</v>
      </c>
      <c r="D114" t="s">
        <v>777</v>
      </c>
      <c r="E114" t="s">
        <v>903</v>
      </c>
      <c r="F114" t="s">
        <v>1613</v>
      </c>
      <c r="G114">
        <v>2</v>
      </c>
      <c r="H114">
        <v>10</v>
      </c>
      <c r="I114">
        <v>12</v>
      </c>
      <c r="J114" s="17"/>
      <c r="K114" s="17"/>
      <c r="L114" s="19" t="str">
        <f t="shared" si="1"/>
        <v/>
      </c>
      <c r="M114" s="17">
        <v>1</v>
      </c>
      <c r="N114" s="17">
        <v>1</v>
      </c>
      <c r="P114" t="s">
        <v>1614</v>
      </c>
    </row>
    <row r="115" spans="1:16">
      <c r="A115">
        <v>6</v>
      </c>
      <c r="B115">
        <v>57</v>
      </c>
      <c r="C115">
        <v>46305.583333333336</v>
      </c>
      <c r="D115" t="s">
        <v>903</v>
      </c>
      <c r="E115" t="s">
        <v>777</v>
      </c>
      <c r="F115" t="s">
        <v>1615</v>
      </c>
      <c r="G115">
        <v>2</v>
      </c>
      <c r="H115">
        <v>12</v>
      </c>
      <c r="I115">
        <v>10</v>
      </c>
      <c r="J115" s="17"/>
      <c r="K115" s="17"/>
      <c r="L115" s="19" t="str">
        <f t="shared" si="1"/>
        <v/>
      </c>
      <c r="M115" s="17">
        <v>1</v>
      </c>
      <c r="N115" s="17">
        <v>1</v>
      </c>
      <c r="P115" t="s">
        <v>1614</v>
      </c>
    </row>
    <row r="116" spans="1:16">
      <c r="A116">
        <v>6</v>
      </c>
      <c r="B116">
        <v>58</v>
      </c>
      <c r="C116">
        <v>46305.583333333336</v>
      </c>
      <c r="D116" t="s">
        <v>1126</v>
      </c>
      <c r="E116" t="s">
        <v>1037</v>
      </c>
      <c r="F116" t="s">
        <v>1613</v>
      </c>
      <c r="G116">
        <v>4</v>
      </c>
      <c r="H116">
        <v>15</v>
      </c>
      <c r="I116">
        <v>14</v>
      </c>
      <c r="J116" s="17"/>
      <c r="K116" s="17"/>
      <c r="L116" s="19" t="str">
        <f t="shared" si="1"/>
        <v/>
      </c>
      <c r="M116" s="17">
        <v>1</v>
      </c>
      <c r="N116" s="17">
        <v>1</v>
      </c>
      <c r="P116" t="s">
        <v>1614</v>
      </c>
    </row>
    <row r="117" spans="1:16">
      <c r="A117">
        <v>6</v>
      </c>
      <c r="B117">
        <v>58</v>
      </c>
      <c r="C117">
        <v>46305.583333333336</v>
      </c>
      <c r="D117" t="s">
        <v>1037</v>
      </c>
      <c r="E117" t="s">
        <v>1126</v>
      </c>
      <c r="F117" t="s">
        <v>1615</v>
      </c>
      <c r="G117">
        <v>4</v>
      </c>
      <c r="H117">
        <v>14</v>
      </c>
      <c r="I117">
        <v>15</v>
      </c>
      <c r="J117" s="17"/>
      <c r="K117" s="17"/>
      <c r="L117" s="19" t="str">
        <f t="shared" si="1"/>
        <v/>
      </c>
      <c r="M117" s="17">
        <v>1</v>
      </c>
      <c r="N117" s="17">
        <v>1</v>
      </c>
      <c r="P117" t="s">
        <v>1614</v>
      </c>
    </row>
    <row r="118" spans="1:16">
      <c r="A118">
        <v>6</v>
      </c>
      <c r="B118">
        <v>59</v>
      </c>
      <c r="C118">
        <v>46305.583333333336</v>
      </c>
      <c r="D118" t="s">
        <v>1412</v>
      </c>
      <c r="E118" t="s">
        <v>1199</v>
      </c>
      <c r="F118" t="s">
        <v>1613</v>
      </c>
      <c r="G118">
        <v>4</v>
      </c>
      <c r="H118">
        <v>19</v>
      </c>
      <c r="I118">
        <v>16</v>
      </c>
      <c r="J118" s="17"/>
      <c r="K118" s="17"/>
      <c r="L118" s="19" t="str">
        <f t="shared" si="1"/>
        <v/>
      </c>
      <c r="M118" s="17">
        <v>1</v>
      </c>
      <c r="N118" s="17">
        <v>1</v>
      </c>
      <c r="P118" t="s">
        <v>1614</v>
      </c>
    </row>
    <row r="119" spans="1:16">
      <c r="A119">
        <v>6</v>
      </c>
      <c r="B119">
        <v>59</v>
      </c>
      <c r="C119">
        <v>46305.583333333336</v>
      </c>
      <c r="D119" t="s">
        <v>1199</v>
      </c>
      <c r="E119" t="s">
        <v>1412</v>
      </c>
      <c r="F119" t="s">
        <v>1615</v>
      </c>
      <c r="G119">
        <v>3</v>
      </c>
      <c r="H119">
        <v>16</v>
      </c>
      <c r="I119">
        <v>19</v>
      </c>
      <c r="J119" s="17"/>
      <c r="K119" s="17"/>
      <c r="L119" s="19" t="str">
        <f t="shared" si="1"/>
        <v/>
      </c>
      <c r="M119" s="17">
        <v>1</v>
      </c>
      <c r="N119" s="17">
        <v>1</v>
      </c>
      <c r="P119" t="s">
        <v>1614</v>
      </c>
    </row>
    <row r="120" spans="1:16">
      <c r="A120">
        <v>6</v>
      </c>
      <c r="B120">
        <v>60</v>
      </c>
      <c r="C120">
        <v>46305.583333333336</v>
      </c>
      <c r="D120" t="s">
        <v>390</v>
      </c>
      <c r="E120" t="s">
        <v>1493</v>
      </c>
      <c r="F120" t="s">
        <v>1613</v>
      </c>
      <c r="G120">
        <v>3</v>
      </c>
      <c r="H120">
        <v>5</v>
      </c>
      <c r="I120">
        <v>20</v>
      </c>
      <c r="J120" s="17"/>
      <c r="K120" s="17"/>
      <c r="L120" s="19" t="str">
        <f t="shared" si="1"/>
        <v/>
      </c>
      <c r="M120" s="17">
        <v>1</v>
      </c>
      <c r="N120" s="17">
        <v>1</v>
      </c>
      <c r="P120" t="s">
        <v>1614</v>
      </c>
    </row>
    <row r="121" spans="1:16">
      <c r="A121">
        <v>6</v>
      </c>
      <c r="B121">
        <v>60</v>
      </c>
      <c r="C121">
        <v>46305.583333333336</v>
      </c>
      <c r="D121" t="s">
        <v>1493</v>
      </c>
      <c r="E121" t="s">
        <v>390</v>
      </c>
      <c r="F121" t="s">
        <v>1615</v>
      </c>
      <c r="G121">
        <v>2</v>
      </c>
      <c r="H121">
        <v>20</v>
      </c>
      <c r="I121">
        <v>5</v>
      </c>
      <c r="J121" s="17"/>
      <c r="K121" s="17"/>
      <c r="L121" s="19" t="str">
        <f t="shared" si="1"/>
        <v/>
      </c>
      <c r="M121" s="17">
        <v>1</v>
      </c>
      <c r="N121" s="17">
        <v>1</v>
      </c>
      <c r="P121" t="s">
        <v>1614</v>
      </c>
    </row>
    <row r="122" spans="1:16">
      <c r="A122">
        <v>7</v>
      </c>
      <c r="B122">
        <v>61</v>
      </c>
      <c r="C122">
        <v>46312.583333333336</v>
      </c>
      <c r="D122" t="s">
        <v>1493</v>
      </c>
      <c r="E122" t="s">
        <v>236</v>
      </c>
      <c r="F122" t="s">
        <v>1613</v>
      </c>
      <c r="G122">
        <v>3</v>
      </c>
      <c r="H122">
        <v>20</v>
      </c>
      <c r="I122">
        <v>3</v>
      </c>
      <c r="J122" s="17"/>
      <c r="K122" s="17"/>
      <c r="L122" s="19" t="str">
        <f t="shared" si="1"/>
        <v/>
      </c>
      <c r="M122" s="17">
        <v>1</v>
      </c>
      <c r="N122" s="17">
        <v>1</v>
      </c>
      <c r="P122" t="s">
        <v>1614</v>
      </c>
    </row>
    <row r="123" spans="1:16">
      <c r="A123">
        <v>7</v>
      </c>
      <c r="B123">
        <v>61</v>
      </c>
      <c r="C123">
        <v>46312.583333333336</v>
      </c>
      <c r="D123" t="s">
        <v>236</v>
      </c>
      <c r="E123" t="s">
        <v>1493</v>
      </c>
      <c r="F123" t="s">
        <v>1615</v>
      </c>
      <c r="G123">
        <v>2</v>
      </c>
      <c r="H123">
        <v>3</v>
      </c>
      <c r="I123">
        <v>20</v>
      </c>
      <c r="J123" s="17"/>
      <c r="K123" s="17"/>
      <c r="L123" s="19" t="str">
        <f t="shared" si="1"/>
        <v/>
      </c>
      <c r="M123" s="17">
        <v>1</v>
      </c>
      <c r="N123" s="17">
        <v>1</v>
      </c>
      <c r="P123" t="s">
        <v>1614</v>
      </c>
    </row>
    <row r="124" spans="1:16">
      <c r="A124">
        <v>7</v>
      </c>
      <c r="B124">
        <v>62</v>
      </c>
      <c r="C124">
        <v>46312.583333333336</v>
      </c>
      <c r="D124" t="s">
        <v>1037</v>
      </c>
      <c r="E124" t="s">
        <v>312</v>
      </c>
      <c r="F124" t="s">
        <v>1613</v>
      </c>
      <c r="G124">
        <v>3</v>
      </c>
      <c r="H124">
        <v>14</v>
      </c>
      <c r="I124">
        <v>4</v>
      </c>
      <c r="J124" s="17"/>
      <c r="K124" s="17"/>
      <c r="L124" s="19" t="str">
        <f t="shared" si="1"/>
        <v/>
      </c>
      <c r="M124" s="17">
        <v>1</v>
      </c>
      <c r="N124" s="17">
        <v>1</v>
      </c>
      <c r="P124" t="s">
        <v>1614</v>
      </c>
    </row>
    <row r="125" spans="1:16">
      <c r="A125">
        <v>7</v>
      </c>
      <c r="B125">
        <v>62</v>
      </c>
      <c r="C125">
        <v>46312.583333333336</v>
      </c>
      <c r="D125" t="s">
        <v>312</v>
      </c>
      <c r="E125" t="s">
        <v>1037</v>
      </c>
      <c r="F125" t="s">
        <v>1615</v>
      </c>
      <c r="G125">
        <v>4</v>
      </c>
      <c r="H125">
        <v>4</v>
      </c>
      <c r="I125">
        <v>14</v>
      </c>
      <c r="J125" s="17"/>
      <c r="K125" s="17"/>
      <c r="L125" s="19" t="str">
        <f t="shared" si="1"/>
        <v/>
      </c>
      <c r="M125" s="17">
        <v>1</v>
      </c>
      <c r="N125" s="17">
        <v>1</v>
      </c>
      <c r="P125" t="s">
        <v>1614</v>
      </c>
    </row>
    <row r="126" spans="1:16">
      <c r="A126">
        <v>7</v>
      </c>
      <c r="B126">
        <v>63</v>
      </c>
      <c r="C126">
        <v>46312.583333333336</v>
      </c>
      <c r="D126" t="s">
        <v>639</v>
      </c>
      <c r="E126" t="s">
        <v>390</v>
      </c>
      <c r="F126" t="s">
        <v>1613</v>
      </c>
      <c r="G126">
        <v>3</v>
      </c>
      <c r="H126">
        <v>8</v>
      </c>
      <c r="I126">
        <v>5</v>
      </c>
      <c r="J126" s="17"/>
      <c r="K126" s="17"/>
      <c r="L126" s="19" t="str">
        <f t="shared" si="1"/>
        <v/>
      </c>
      <c r="M126" s="17">
        <v>1</v>
      </c>
      <c r="N126" s="17">
        <v>1</v>
      </c>
      <c r="P126" t="s">
        <v>1614</v>
      </c>
    </row>
    <row r="127" spans="1:16">
      <c r="A127">
        <v>7</v>
      </c>
      <c r="B127">
        <v>63</v>
      </c>
      <c r="C127">
        <v>46312.583333333336</v>
      </c>
      <c r="D127" t="s">
        <v>390</v>
      </c>
      <c r="E127" t="s">
        <v>639</v>
      </c>
      <c r="F127" t="s">
        <v>1615</v>
      </c>
      <c r="G127">
        <v>3</v>
      </c>
      <c r="H127">
        <v>5</v>
      </c>
      <c r="I127">
        <v>8</v>
      </c>
      <c r="J127" s="17"/>
      <c r="K127" s="17"/>
      <c r="L127" s="19" t="str">
        <f t="shared" si="1"/>
        <v/>
      </c>
      <c r="M127" s="17">
        <v>1</v>
      </c>
      <c r="N127" s="17">
        <v>1</v>
      </c>
      <c r="P127" t="s">
        <v>1614</v>
      </c>
    </row>
    <row r="128" spans="1:16">
      <c r="A128">
        <v>7</v>
      </c>
      <c r="B128">
        <v>64</v>
      </c>
      <c r="C128">
        <v>46312.583333333336</v>
      </c>
      <c r="D128" t="s">
        <v>474</v>
      </c>
      <c r="E128" t="s">
        <v>714</v>
      </c>
      <c r="F128" t="s">
        <v>1613</v>
      </c>
      <c r="G128">
        <v>3</v>
      </c>
      <c r="H128">
        <v>6</v>
      </c>
      <c r="I128">
        <v>9</v>
      </c>
      <c r="J128" s="17"/>
      <c r="K128" s="17"/>
      <c r="L128" s="19" t="str">
        <f t="shared" si="1"/>
        <v/>
      </c>
      <c r="M128" s="17">
        <v>1</v>
      </c>
      <c r="N128" s="17">
        <v>1</v>
      </c>
      <c r="P128" t="s">
        <v>1614</v>
      </c>
    </row>
    <row r="129" spans="1:16">
      <c r="A129">
        <v>7</v>
      </c>
      <c r="B129">
        <v>64</v>
      </c>
      <c r="C129">
        <v>46312.583333333336</v>
      </c>
      <c r="D129" t="s">
        <v>714</v>
      </c>
      <c r="E129" t="s">
        <v>474</v>
      </c>
      <c r="F129" t="s">
        <v>1615</v>
      </c>
      <c r="G129">
        <v>4</v>
      </c>
      <c r="H129">
        <v>9</v>
      </c>
      <c r="I129">
        <v>6</v>
      </c>
      <c r="J129" s="17"/>
      <c r="K129" s="17"/>
      <c r="L129" s="19" t="str">
        <f t="shared" si="1"/>
        <v/>
      </c>
      <c r="M129" s="17">
        <v>1</v>
      </c>
      <c r="N129" s="17">
        <v>1</v>
      </c>
      <c r="P129" t="s">
        <v>1614</v>
      </c>
    </row>
    <row r="130" spans="1:16">
      <c r="A130">
        <v>7</v>
      </c>
      <c r="B130">
        <v>65</v>
      </c>
      <c r="C130">
        <v>46312.583333333336</v>
      </c>
      <c r="D130" t="s">
        <v>831</v>
      </c>
      <c r="E130" t="s">
        <v>777</v>
      </c>
      <c r="F130" t="s">
        <v>1613</v>
      </c>
      <c r="G130">
        <v>3</v>
      </c>
      <c r="H130">
        <v>11</v>
      </c>
      <c r="I130">
        <v>10</v>
      </c>
      <c r="J130" s="17"/>
      <c r="K130" s="17"/>
      <c r="L130" s="19" t="str">
        <f t="shared" ref="L130:L193" si="2">IF(K130="","",EXP(-K130))</f>
        <v/>
      </c>
      <c r="M130" s="17">
        <v>1</v>
      </c>
      <c r="N130" s="17">
        <v>1</v>
      </c>
      <c r="P130" t="s">
        <v>1614</v>
      </c>
    </row>
    <row r="131" spans="1:16">
      <c r="A131">
        <v>7</v>
      </c>
      <c r="B131">
        <v>65</v>
      </c>
      <c r="C131">
        <v>46312.583333333336</v>
      </c>
      <c r="D131" t="s">
        <v>777</v>
      </c>
      <c r="E131" t="s">
        <v>831</v>
      </c>
      <c r="F131" t="s">
        <v>1615</v>
      </c>
      <c r="G131">
        <v>2</v>
      </c>
      <c r="H131">
        <v>10</v>
      </c>
      <c r="I131">
        <v>11</v>
      </c>
      <c r="J131" s="17"/>
      <c r="K131" s="17"/>
      <c r="L131" s="19" t="str">
        <f t="shared" si="2"/>
        <v/>
      </c>
      <c r="M131" s="17">
        <v>1</v>
      </c>
      <c r="N131" s="17">
        <v>1</v>
      </c>
      <c r="P131" t="s">
        <v>1614</v>
      </c>
    </row>
    <row r="132" spans="1:16">
      <c r="A132">
        <v>7</v>
      </c>
      <c r="B132">
        <v>66</v>
      </c>
      <c r="C132">
        <v>46312.583333333336</v>
      </c>
      <c r="D132" t="s">
        <v>1199</v>
      </c>
      <c r="E132" t="s">
        <v>978</v>
      </c>
      <c r="F132" t="s">
        <v>1613</v>
      </c>
      <c r="G132">
        <v>3</v>
      </c>
      <c r="H132">
        <v>16</v>
      </c>
      <c r="I132">
        <v>13</v>
      </c>
      <c r="J132" s="17"/>
      <c r="K132" s="17"/>
      <c r="L132" s="19" t="str">
        <f t="shared" si="2"/>
        <v/>
      </c>
      <c r="M132" s="17">
        <v>1</v>
      </c>
      <c r="N132" s="17">
        <v>1</v>
      </c>
      <c r="P132" t="s">
        <v>1614</v>
      </c>
    </row>
    <row r="133" spans="1:16">
      <c r="A133">
        <v>7</v>
      </c>
      <c r="B133">
        <v>66</v>
      </c>
      <c r="C133">
        <v>46312.583333333336</v>
      </c>
      <c r="D133" t="s">
        <v>978</v>
      </c>
      <c r="E133" t="s">
        <v>1199</v>
      </c>
      <c r="F133" t="s">
        <v>1615</v>
      </c>
      <c r="G133">
        <v>4</v>
      </c>
      <c r="H133">
        <v>13</v>
      </c>
      <c r="I133">
        <v>16</v>
      </c>
      <c r="J133" s="17"/>
      <c r="K133" s="17"/>
      <c r="L133" s="19" t="str">
        <f t="shared" si="2"/>
        <v/>
      </c>
      <c r="M133" s="17">
        <v>1</v>
      </c>
      <c r="N133" s="17">
        <v>1</v>
      </c>
      <c r="P133" t="s">
        <v>1614</v>
      </c>
    </row>
    <row r="134" spans="1:16">
      <c r="A134">
        <v>7</v>
      </c>
      <c r="B134">
        <v>67</v>
      </c>
      <c r="C134">
        <v>46312.583333333336</v>
      </c>
      <c r="D134" t="s">
        <v>903</v>
      </c>
      <c r="E134" t="s">
        <v>1126</v>
      </c>
      <c r="F134" t="s">
        <v>1613</v>
      </c>
      <c r="G134">
        <v>5</v>
      </c>
      <c r="H134">
        <v>12</v>
      </c>
      <c r="I134">
        <v>15</v>
      </c>
      <c r="J134" s="17"/>
      <c r="K134" s="17"/>
      <c r="L134" s="19" t="str">
        <f t="shared" si="2"/>
        <v/>
      </c>
      <c r="M134" s="17">
        <v>1</v>
      </c>
      <c r="N134" s="17">
        <v>1</v>
      </c>
      <c r="P134" t="s">
        <v>1614</v>
      </c>
    </row>
    <row r="135" spans="1:16">
      <c r="A135">
        <v>7</v>
      </c>
      <c r="B135">
        <v>67</v>
      </c>
      <c r="C135">
        <v>46312.583333333336</v>
      </c>
      <c r="D135" t="s">
        <v>1126</v>
      </c>
      <c r="E135" t="s">
        <v>903</v>
      </c>
      <c r="F135" t="s">
        <v>1615</v>
      </c>
      <c r="G135">
        <v>2</v>
      </c>
      <c r="H135">
        <v>15</v>
      </c>
      <c r="I135">
        <v>12</v>
      </c>
      <c r="J135" s="17"/>
      <c r="K135" s="17"/>
      <c r="L135" s="19" t="str">
        <f t="shared" si="2"/>
        <v/>
      </c>
      <c r="M135" s="17">
        <v>1</v>
      </c>
      <c r="N135" s="17">
        <v>1</v>
      </c>
      <c r="P135" t="s">
        <v>1614</v>
      </c>
    </row>
    <row r="136" spans="1:16">
      <c r="A136">
        <v>7</v>
      </c>
      <c r="B136">
        <v>68</v>
      </c>
      <c r="C136">
        <v>46312.583333333336</v>
      </c>
      <c r="D136" t="s">
        <v>153</v>
      </c>
      <c r="E136" t="s">
        <v>1283</v>
      </c>
      <c r="F136" t="s">
        <v>1613</v>
      </c>
      <c r="G136">
        <v>3</v>
      </c>
      <c r="H136">
        <v>2</v>
      </c>
      <c r="I136">
        <v>17</v>
      </c>
      <c r="J136" s="17"/>
      <c r="K136" s="17"/>
      <c r="L136" s="19" t="str">
        <f t="shared" si="2"/>
        <v/>
      </c>
      <c r="M136" s="17">
        <v>1</v>
      </c>
      <c r="N136" s="17">
        <v>1</v>
      </c>
      <c r="P136" t="s">
        <v>1614</v>
      </c>
    </row>
    <row r="137" spans="1:16">
      <c r="A137">
        <v>7</v>
      </c>
      <c r="B137">
        <v>68</v>
      </c>
      <c r="C137">
        <v>46312.583333333336</v>
      </c>
      <c r="D137" t="s">
        <v>1283</v>
      </c>
      <c r="E137" t="s">
        <v>153</v>
      </c>
      <c r="F137" t="s">
        <v>1615</v>
      </c>
      <c r="G137">
        <v>3</v>
      </c>
      <c r="H137">
        <v>17</v>
      </c>
      <c r="I137">
        <v>2</v>
      </c>
      <c r="J137" s="17"/>
      <c r="K137" s="17"/>
      <c r="L137" s="19" t="str">
        <f t="shared" si="2"/>
        <v/>
      </c>
      <c r="M137" s="17">
        <v>1</v>
      </c>
      <c r="N137" s="17">
        <v>1</v>
      </c>
      <c r="P137" t="s">
        <v>1614</v>
      </c>
    </row>
    <row r="138" spans="1:16">
      <c r="A138">
        <v>7</v>
      </c>
      <c r="B138">
        <v>69</v>
      </c>
      <c r="C138">
        <v>46312.583333333336</v>
      </c>
      <c r="D138" t="s">
        <v>64</v>
      </c>
      <c r="E138" t="s">
        <v>1354</v>
      </c>
      <c r="F138" t="s">
        <v>1613</v>
      </c>
      <c r="G138">
        <v>3</v>
      </c>
      <c r="H138">
        <v>1</v>
      </c>
      <c r="I138">
        <v>18</v>
      </c>
      <c r="J138" s="17"/>
      <c r="K138" s="17"/>
      <c r="L138" s="19" t="str">
        <f t="shared" si="2"/>
        <v/>
      </c>
      <c r="M138" s="17">
        <v>1</v>
      </c>
      <c r="N138" s="17">
        <v>1</v>
      </c>
      <c r="P138" t="s">
        <v>1614</v>
      </c>
    </row>
    <row r="139" spans="1:16">
      <c r="A139">
        <v>7</v>
      </c>
      <c r="B139">
        <v>69</v>
      </c>
      <c r="C139">
        <v>46312.583333333336</v>
      </c>
      <c r="D139" t="s">
        <v>1354</v>
      </c>
      <c r="E139" t="s">
        <v>64</v>
      </c>
      <c r="F139" t="s">
        <v>1615</v>
      </c>
      <c r="G139">
        <v>4</v>
      </c>
      <c r="H139">
        <v>18</v>
      </c>
      <c r="I139">
        <v>1</v>
      </c>
      <c r="J139" s="17"/>
      <c r="K139" s="17"/>
      <c r="L139" s="19" t="str">
        <f t="shared" si="2"/>
        <v/>
      </c>
      <c r="M139" s="17">
        <v>1</v>
      </c>
      <c r="N139" s="17">
        <v>1</v>
      </c>
      <c r="P139" t="s">
        <v>1614</v>
      </c>
    </row>
    <row r="140" spans="1:16">
      <c r="A140">
        <v>7</v>
      </c>
      <c r="B140">
        <v>70</v>
      </c>
      <c r="C140">
        <v>46312.583333333336</v>
      </c>
      <c r="D140" t="s">
        <v>567</v>
      </c>
      <c r="E140" t="s">
        <v>1412</v>
      </c>
      <c r="F140" t="s">
        <v>1613</v>
      </c>
      <c r="G140">
        <v>3</v>
      </c>
      <c r="H140">
        <v>7</v>
      </c>
      <c r="I140">
        <v>19</v>
      </c>
      <c r="J140" s="17"/>
      <c r="K140" s="17"/>
      <c r="L140" s="19" t="str">
        <f t="shared" si="2"/>
        <v/>
      </c>
      <c r="M140" s="17">
        <v>1</v>
      </c>
      <c r="N140" s="17">
        <v>1</v>
      </c>
      <c r="P140" t="s">
        <v>1614</v>
      </c>
    </row>
    <row r="141" spans="1:16">
      <c r="A141">
        <v>7</v>
      </c>
      <c r="B141">
        <v>70</v>
      </c>
      <c r="C141">
        <v>46312.583333333336</v>
      </c>
      <c r="D141" t="s">
        <v>1412</v>
      </c>
      <c r="E141" t="s">
        <v>567</v>
      </c>
      <c r="F141" t="s">
        <v>1615</v>
      </c>
      <c r="G141">
        <v>2</v>
      </c>
      <c r="H141">
        <v>19</v>
      </c>
      <c r="I141">
        <v>7</v>
      </c>
      <c r="J141" s="17"/>
      <c r="K141" s="17"/>
      <c r="L141" s="19" t="str">
        <f t="shared" si="2"/>
        <v/>
      </c>
      <c r="M141" s="17">
        <v>1</v>
      </c>
      <c r="N141" s="17">
        <v>1</v>
      </c>
      <c r="P141" t="s">
        <v>1614</v>
      </c>
    </row>
    <row r="142" spans="1:16">
      <c r="A142">
        <v>8</v>
      </c>
      <c r="B142">
        <v>71</v>
      </c>
      <c r="C142">
        <v>46319.583333333336</v>
      </c>
      <c r="D142" t="s">
        <v>714</v>
      </c>
      <c r="E142" t="s">
        <v>64</v>
      </c>
      <c r="F142" t="s">
        <v>1613</v>
      </c>
      <c r="G142">
        <v>5</v>
      </c>
      <c r="H142">
        <v>9</v>
      </c>
      <c r="I142">
        <v>1</v>
      </c>
      <c r="J142" s="17"/>
      <c r="K142" s="17"/>
      <c r="L142" s="19" t="str">
        <f t="shared" si="2"/>
        <v/>
      </c>
      <c r="M142" s="17">
        <v>1</v>
      </c>
      <c r="N142" s="17">
        <v>1</v>
      </c>
      <c r="P142" t="s">
        <v>1614</v>
      </c>
    </row>
    <row r="143" spans="1:16">
      <c r="A143">
        <v>8</v>
      </c>
      <c r="B143">
        <v>71</v>
      </c>
      <c r="C143">
        <v>46319.583333333336</v>
      </c>
      <c r="D143" t="s">
        <v>64</v>
      </c>
      <c r="E143" t="s">
        <v>714</v>
      </c>
      <c r="F143" t="s">
        <v>1615</v>
      </c>
      <c r="G143">
        <v>3</v>
      </c>
      <c r="H143">
        <v>1</v>
      </c>
      <c r="I143">
        <v>9</v>
      </c>
      <c r="J143" s="17"/>
      <c r="K143" s="17"/>
      <c r="L143" s="19" t="str">
        <f t="shared" si="2"/>
        <v/>
      </c>
      <c r="M143" s="17">
        <v>1</v>
      </c>
      <c r="N143" s="17">
        <v>1</v>
      </c>
      <c r="P143" t="s">
        <v>1614</v>
      </c>
    </row>
    <row r="144" spans="1:16">
      <c r="A144">
        <v>8</v>
      </c>
      <c r="B144">
        <v>72</v>
      </c>
      <c r="C144">
        <v>46319.583333333336</v>
      </c>
      <c r="D144" t="s">
        <v>1126</v>
      </c>
      <c r="E144" t="s">
        <v>153</v>
      </c>
      <c r="F144" t="s">
        <v>1613</v>
      </c>
      <c r="G144">
        <v>4</v>
      </c>
      <c r="H144">
        <v>15</v>
      </c>
      <c r="I144">
        <v>2</v>
      </c>
      <c r="J144" s="17"/>
      <c r="K144" s="17"/>
      <c r="L144" s="19" t="str">
        <f t="shared" si="2"/>
        <v/>
      </c>
      <c r="M144" s="17">
        <v>1</v>
      </c>
      <c r="N144" s="17">
        <v>1</v>
      </c>
      <c r="P144" t="s">
        <v>1614</v>
      </c>
    </row>
    <row r="145" spans="1:16">
      <c r="A145">
        <v>8</v>
      </c>
      <c r="B145">
        <v>72</v>
      </c>
      <c r="C145">
        <v>46319.583333333336</v>
      </c>
      <c r="D145" t="s">
        <v>153</v>
      </c>
      <c r="E145" t="s">
        <v>1126</v>
      </c>
      <c r="F145" t="s">
        <v>1615</v>
      </c>
      <c r="G145">
        <v>4</v>
      </c>
      <c r="H145">
        <v>2</v>
      </c>
      <c r="I145">
        <v>15</v>
      </c>
      <c r="J145" s="17"/>
      <c r="K145" s="17"/>
      <c r="L145" s="19" t="str">
        <f t="shared" si="2"/>
        <v/>
      </c>
      <c r="M145" s="17">
        <v>1</v>
      </c>
      <c r="N145" s="17">
        <v>1</v>
      </c>
      <c r="P145" t="s">
        <v>1614</v>
      </c>
    </row>
    <row r="146" spans="1:16">
      <c r="A146">
        <v>8</v>
      </c>
      <c r="B146">
        <v>73</v>
      </c>
      <c r="C146">
        <v>46319.583333333336</v>
      </c>
      <c r="D146" t="s">
        <v>1412</v>
      </c>
      <c r="E146" t="s">
        <v>474</v>
      </c>
      <c r="F146" t="s">
        <v>1613</v>
      </c>
      <c r="G146">
        <v>4</v>
      </c>
      <c r="H146">
        <v>19</v>
      </c>
      <c r="I146">
        <v>6</v>
      </c>
      <c r="J146" s="17"/>
      <c r="K146" s="17"/>
      <c r="L146" s="19" t="str">
        <f t="shared" si="2"/>
        <v/>
      </c>
      <c r="M146" s="17">
        <v>1</v>
      </c>
      <c r="N146" s="17">
        <v>1</v>
      </c>
      <c r="P146" t="s">
        <v>1614</v>
      </c>
    </row>
    <row r="147" spans="1:16">
      <c r="A147">
        <v>8</v>
      </c>
      <c r="B147">
        <v>73</v>
      </c>
      <c r="C147">
        <v>46319.583333333336</v>
      </c>
      <c r="D147" t="s">
        <v>474</v>
      </c>
      <c r="E147" t="s">
        <v>1412</v>
      </c>
      <c r="F147" t="s">
        <v>1615</v>
      </c>
      <c r="G147">
        <v>3</v>
      </c>
      <c r="H147">
        <v>6</v>
      </c>
      <c r="I147">
        <v>19</v>
      </c>
      <c r="J147" s="17"/>
      <c r="K147" s="17"/>
      <c r="L147" s="19" t="str">
        <f t="shared" si="2"/>
        <v/>
      </c>
      <c r="M147" s="17">
        <v>1</v>
      </c>
      <c r="N147" s="17">
        <v>1</v>
      </c>
      <c r="P147" t="s">
        <v>1614</v>
      </c>
    </row>
    <row r="148" spans="1:16">
      <c r="A148">
        <v>8</v>
      </c>
      <c r="B148">
        <v>74</v>
      </c>
      <c r="C148">
        <v>46319.583333333336</v>
      </c>
      <c r="D148" t="s">
        <v>777</v>
      </c>
      <c r="E148" t="s">
        <v>567</v>
      </c>
      <c r="F148" t="s">
        <v>1613</v>
      </c>
      <c r="G148">
        <v>2</v>
      </c>
      <c r="H148">
        <v>10</v>
      </c>
      <c r="I148">
        <v>7</v>
      </c>
      <c r="J148" s="17"/>
      <c r="K148" s="17"/>
      <c r="L148" s="19" t="str">
        <f t="shared" si="2"/>
        <v/>
      </c>
      <c r="M148" s="17">
        <v>1</v>
      </c>
      <c r="N148" s="17">
        <v>1</v>
      </c>
      <c r="P148" t="s">
        <v>1614</v>
      </c>
    </row>
    <row r="149" spans="1:16">
      <c r="A149">
        <v>8</v>
      </c>
      <c r="B149">
        <v>74</v>
      </c>
      <c r="C149">
        <v>46319.583333333336</v>
      </c>
      <c r="D149" t="s">
        <v>567</v>
      </c>
      <c r="E149" t="s">
        <v>777</v>
      </c>
      <c r="F149" t="s">
        <v>1615</v>
      </c>
      <c r="G149">
        <v>2</v>
      </c>
      <c r="H149">
        <v>7</v>
      </c>
      <c r="I149">
        <v>10</v>
      </c>
      <c r="J149" s="17"/>
      <c r="K149" s="17"/>
      <c r="L149" s="19" t="str">
        <f t="shared" si="2"/>
        <v/>
      </c>
      <c r="M149" s="17">
        <v>1</v>
      </c>
      <c r="N149" s="17">
        <v>1</v>
      </c>
      <c r="P149" t="s">
        <v>1614</v>
      </c>
    </row>
    <row r="150" spans="1:16">
      <c r="A150">
        <v>8</v>
      </c>
      <c r="B150">
        <v>75</v>
      </c>
      <c r="C150">
        <v>46319.583333333336</v>
      </c>
      <c r="D150" t="s">
        <v>1283</v>
      </c>
      <c r="E150" t="s">
        <v>639</v>
      </c>
      <c r="F150" t="s">
        <v>1613</v>
      </c>
      <c r="G150">
        <v>3</v>
      </c>
      <c r="H150">
        <v>17</v>
      </c>
      <c r="I150">
        <v>8</v>
      </c>
      <c r="J150" s="17"/>
      <c r="K150" s="17"/>
      <c r="L150" s="19" t="str">
        <f t="shared" si="2"/>
        <v/>
      </c>
      <c r="M150" s="17">
        <v>1</v>
      </c>
      <c r="N150" s="17">
        <v>1</v>
      </c>
      <c r="P150" t="s">
        <v>1614</v>
      </c>
    </row>
    <row r="151" spans="1:16">
      <c r="A151">
        <v>8</v>
      </c>
      <c r="B151">
        <v>75</v>
      </c>
      <c r="C151">
        <v>46319.583333333336</v>
      </c>
      <c r="D151" t="s">
        <v>639</v>
      </c>
      <c r="E151" t="s">
        <v>1283</v>
      </c>
      <c r="F151" t="s">
        <v>1615</v>
      </c>
      <c r="G151">
        <v>2</v>
      </c>
      <c r="H151">
        <v>8</v>
      </c>
      <c r="I151">
        <v>17</v>
      </c>
      <c r="J151" s="17"/>
      <c r="K151" s="17"/>
      <c r="L151" s="19" t="str">
        <f t="shared" si="2"/>
        <v/>
      </c>
      <c r="M151" s="17">
        <v>1</v>
      </c>
      <c r="N151" s="17">
        <v>1</v>
      </c>
      <c r="P151" t="s">
        <v>1614</v>
      </c>
    </row>
    <row r="152" spans="1:16">
      <c r="A152">
        <v>8</v>
      </c>
      <c r="B152">
        <v>76</v>
      </c>
      <c r="C152">
        <v>46319.583333333336</v>
      </c>
      <c r="D152" t="s">
        <v>312</v>
      </c>
      <c r="E152" t="s">
        <v>831</v>
      </c>
      <c r="F152" t="s">
        <v>1613</v>
      </c>
      <c r="G152">
        <v>2</v>
      </c>
      <c r="H152">
        <v>4</v>
      </c>
      <c r="I152">
        <v>11</v>
      </c>
      <c r="J152" s="17"/>
      <c r="K152" s="17"/>
      <c r="L152" s="19" t="str">
        <f t="shared" si="2"/>
        <v/>
      </c>
      <c r="M152" s="17">
        <v>1</v>
      </c>
      <c r="N152" s="17">
        <v>1</v>
      </c>
      <c r="P152" t="s">
        <v>1614</v>
      </c>
    </row>
    <row r="153" spans="1:16">
      <c r="A153">
        <v>8</v>
      </c>
      <c r="B153">
        <v>76</v>
      </c>
      <c r="C153">
        <v>46319.583333333336</v>
      </c>
      <c r="D153" t="s">
        <v>831</v>
      </c>
      <c r="E153" t="s">
        <v>312</v>
      </c>
      <c r="F153" t="s">
        <v>1615</v>
      </c>
      <c r="G153">
        <v>3</v>
      </c>
      <c r="H153">
        <v>11</v>
      </c>
      <c r="I153">
        <v>4</v>
      </c>
      <c r="J153" s="17"/>
      <c r="K153" s="17"/>
      <c r="L153" s="19" t="str">
        <f t="shared" si="2"/>
        <v/>
      </c>
      <c r="M153" s="17">
        <v>1</v>
      </c>
      <c r="N153" s="17">
        <v>1</v>
      </c>
      <c r="P153" t="s">
        <v>1614</v>
      </c>
    </row>
    <row r="154" spans="1:16">
      <c r="A154">
        <v>8</v>
      </c>
      <c r="B154">
        <v>77</v>
      </c>
      <c r="C154">
        <v>46319.583333333336</v>
      </c>
      <c r="D154" t="s">
        <v>1354</v>
      </c>
      <c r="E154" t="s">
        <v>903</v>
      </c>
      <c r="F154" t="s">
        <v>1613</v>
      </c>
      <c r="G154">
        <v>2</v>
      </c>
      <c r="H154">
        <v>18</v>
      </c>
      <c r="I154">
        <v>12</v>
      </c>
      <c r="J154" s="17"/>
      <c r="K154" s="17"/>
      <c r="L154" s="19" t="str">
        <f t="shared" si="2"/>
        <v/>
      </c>
      <c r="M154" s="17">
        <v>1</v>
      </c>
      <c r="N154" s="17">
        <v>1</v>
      </c>
      <c r="P154" t="s">
        <v>1614</v>
      </c>
    </row>
    <row r="155" spans="1:16">
      <c r="A155">
        <v>8</v>
      </c>
      <c r="B155">
        <v>77</v>
      </c>
      <c r="C155">
        <v>46319.583333333336</v>
      </c>
      <c r="D155" t="s">
        <v>903</v>
      </c>
      <c r="E155" t="s">
        <v>1354</v>
      </c>
      <c r="F155" t="s">
        <v>1615</v>
      </c>
      <c r="G155">
        <v>3</v>
      </c>
      <c r="H155">
        <v>12</v>
      </c>
      <c r="I155">
        <v>18</v>
      </c>
      <c r="J155" s="17"/>
      <c r="K155" s="17"/>
      <c r="L155" s="19" t="str">
        <f t="shared" si="2"/>
        <v/>
      </c>
      <c r="M155" s="17">
        <v>1</v>
      </c>
      <c r="N155" s="17">
        <v>1</v>
      </c>
      <c r="P155" t="s">
        <v>1614</v>
      </c>
    </row>
    <row r="156" spans="1:16">
      <c r="A156">
        <v>8</v>
      </c>
      <c r="B156">
        <v>78</v>
      </c>
      <c r="C156">
        <v>46319.583333333336</v>
      </c>
      <c r="D156" t="s">
        <v>390</v>
      </c>
      <c r="E156" t="s">
        <v>1037</v>
      </c>
      <c r="F156" t="s">
        <v>1613</v>
      </c>
      <c r="G156">
        <v>4</v>
      </c>
      <c r="H156">
        <v>5</v>
      </c>
      <c r="I156">
        <v>14</v>
      </c>
      <c r="J156" s="17"/>
      <c r="K156" s="17"/>
      <c r="L156" s="19" t="str">
        <f t="shared" si="2"/>
        <v/>
      </c>
      <c r="M156" s="17">
        <v>1</v>
      </c>
      <c r="N156" s="17">
        <v>1</v>
      </c>
      <c r="P156" t="s">
        <v>1614</v>
      </c>
    </row>
    <row r="157" spans="1:16">
      <c r="A157">
        <v>8</v>
      </c>
      <c r="B157">
        <v>78</v>
      </c>
      <c r="C157">
        <v>46319.583333333336</v>
      </c>
      <c r="D157" t="s">
        <v>1037</v>
      </c>
      <c r="E157" t="s">
        <v>390</v>
      </c>
      <c r="F157" t="s">
        <v>1615</v>
      </c>
      <c r="G157">
        <v>2</v>
      </c>
      <c r="H157">
        <v>14</v>
      </c>
      <c r="I157">
        <v>5</v>
      </c>
      <c r="J157" s="17"/>
      <c r="K157" s="17"/>
      <c r="L157" s="19" t="str">
        <f t="shared" si="2"/>
        <v/>
      </c>
      <c r="M157" s="17">
        <v>1</v>
      </c>
      <c r="N157" s="17">
        <v>1</v>
      </c>
      <c r="P157" t="s">
        <v>1614</v>
      </c>
    </row>
    <row r="158" spans="1:16">
      <c r="A158">
        <v>8</v>
      </c>
      <c r="B158">
        <v>79</v>
      </c>
      <c r="C158">
        <v>46319.583333333336</v>
      </c>
      <c r="D158" t="s">
        <v>236</v>
      </c>
      <c r="E158" t="s">
        <v>1199</v>
      </c>
      <c r="F158" t="s">
        <v>1613</v>
      </c>
      <c r="G158">
        <v>4</v>
      </c>
      <c r="H158">
        <v>3</v>
      </c>
      <c r="I158">
        <v>16</v>
      </c>
      <c r="J158" s="17"/>
      <c r="K158" s="17"/>
      <c r="L158" s="19" t="str">
        <f t="shared" si="2"/>
        <v/>
      </c>
      <c r="M158" s="17">
        <v>1</v>
      </c>
      <c r="N158" s="17">
        <v>1</v>
      </c>
      <c r="P158" t="s">
        <v>1614</v>
      </c>
    </row>
    <row r="159" spans="1:16">
      <c r="A159">
        <v>8</v>
      </c>
      <c r="B159">
        <v>79</v>
      </c>
      <c r="C159">
        <v>46319.583333333336</v>
      </c>
      <c r="D159" t="s">
        <v>1199</v>
      </c>
      <c r="E159" t="s">
        <v>236</v>
      </c>
      <c r="F159" t="s">
        <v>1615</v>
      </c>
      <c r="G159">
        <v>3</v>
      </c>
      <c r="H159">
        <v>16</v>
      </c>
      <c r="I159">
        <v>3</v>
      </c>
      <c r="J159" s="17"/>
      <c r="K159" s="17"/>
      <c r="L159" s="19" t="str">
        <f t="shared" si="2"/>
        <v/>
      </c>
      <c r="M159" s="17">
        <v>1</v>
      </c>
      <c r="N159" s="17">
        <v>1</v>
      </c>
      <c r="P159" t="s">
        <v>1614</v>
      </c>
    </row>
    <row r="160" spans="1:16">
      <c r="A160">
        <v>8</v>
      </c>
      <c r="B160">
        <v>80</v>
      </c>
      <c r="C160">
        <v>46319.583333333336</v>
      </c>
      <c r="D160" t="s">
        <v>978</v>
      </c>
      <c r="E160" t="s">
        <v>1493</v>
      </c>
      <c r="F160" t="s">
        <v>1613</v>
      </c>
      <c r="G160">
        <v>3</v>
      </c>
      <c r="H160">
        <v>13</v>
      </c>
      <c r="I160">
        <v>20</v>
      </c>
      <c r="J160" s="17"/>
      <c r="K160" s="17"/>
      <c r="L160" s="19" t="str">
        <f t="shared" si="2"/>
        <v/>
      </c>
      <c r="M160" s="17">
        <v>1</v>
      </c>
      <c r="N160" s="17">
        <v>1</v>
      </c>
      <c r="P160" t="s">
        <v>1614</v>
      </c>
    </row>
    <row r="161" spans="1:16">
      <c r="A161">
        <v>8</v>
      </c>
      <c r="B161">
        <v>80</v>
      </c>
      <c r="C161">
        <v>46319.583333333336</v>
      </c>
      <c r="D161" t="s">
        <v>1493</v>
      </c>
      <c r="E161" t="s">
        <v>978</v>
      </c>
      <c r="F161" t="s">
        <v>1615</v>
      </c>
      <c r="G161">
        <v>2</v>
      </c>
      <c r="H161">
        <v>20</v>
      </c>
      <c r="I161">
        <v>13</v>
      </c>
      <c r="J161" s="17"/>
      <c r="K161" s="17"/>
      <c r="L161" s="19" t="str">
        <f t="shared" si="2"/>
        <v/>
      </c>
      <c r="M161" s="17">
        <v>1</v>
      </c>
      <c r="N161" s="17">
        <v>1</v>
      </c>
      <c r="P161" t="s">
        <v>1614</v>
      </c>
    </row>
    <row r="162" spans="1:16">
      <c r="A162">
        <v>9</v>
      </c>
      <c r="B162">
        <v>81</v>
      </c>
      <c r="C162">
        <v>46326.625</v>
      </c>
      <c r="D162" t="s">
        <v>777</v>
      </c>
      <c r="E162" t="s">
        <v>153</v>
      </c>
      <c r="F162" t="s">
        <v>1613</v>
      </c>
      <c r="G162">
        <v>4</v>
      </c>
      <c r="H162">
        <v>10</v>
      </c>
      <c r="I162">
        <v>2</v>
      </c>
      <c r="J162" s="17"/>
      <c r="K162" s="17"/>
      <c r="L162" s="19" t="str">
        <f t="shared" si="2"/>
        <v/>
      </c>
      <c r="M162" s="17">
        <v>1</v>
      </c>
      <c r="N162" s="17">
        <v>1</v>
      </c>
      <c r="P162" t="s">
        <v>1614</v>
      </c>
    </row>
    <row r="163" spans="1:16">
      <c r="A163">
        <v>9</v>
      </c>
      <c r="B163">
        <v>81</v>
      </c>
      <c r="C163">
        <v>46326.625</v>
      </c>
      <c r="D163" t="s">
        <v>153</v>
      </c>
      <c r="E163" t="s">
        <v>777</v>
      </c>
      <c r="F163" t="s">
        <v>1615</v>
      </c>
      <c r="G163">
        <v>2</v>
      </c>
      <c r="H163">
        <v>2</v>
      </c>
      <c r="I163">
        <v>10</v>
      </c>
      <c r="J163" s="17"/>
      <c r="K163" s="17"/>
      <c r="L163" s="19" t="str">
        <f t="shared" si="2"/>
        <v/>
      </c>
      <c r="M163" s="17">
        <v>1</v>
      </c>
      <c r="N163" s="17">
        <v>1</v>
      </c>
      <c r="P163" t="s">
        <v>1614</v>
      </c>
    </row>
    <row r="164" spans="1:16">
      <c r="A164">
        <v>9</v>
      </c>
      <c r="B164">
        <v>82</v>
      </c>
      <c r="C164">
        <v>46326.625</v>
      </c>
      <c r="D164" t="s">
        <v>978</v>
      </c>
      <c r="E164" t="s">
        <v>236</v>
      </c>
      <c r="F164" t="s">
        <v>1613</v>
      </c>
      <c r="G164">
        <v>3</v>
      </c>
      <c r="H164">
        <v>13</v>
      </c>
      <c r="I164">
        <v>3</v>
      </c>
      <c r="J164" s="17"/>
      <c r="K164" s="17"/>
      <c r="L164" s="19" t="str">
        <f t="shared" si="2"/>
        <v/>
      </c>
      <c r="M164" s="17">
        <v>1</v>
      </c>
      <c r="N164" s="17">
        <v>1</v>
      </c>
      <c r="P164" t="s">
        <v>1614</v>
      </c>
    </row>
    <row r="165" spans="1:16">
      <c r="A165">
        <v>9</v>
      </c>
      <c r="B165">
        <v>82</v>
      </c>
      <c r="C165">
        <v>46326.625</v>
      </c>
      <c r="D165" t="s">
        <v>236</v>
      </c>
      <c r="E165" t="s">
        <v>978</v>
      </c>
      <c r="F165" t="s">
        <v>1615</v>
      </c>
      <c r="G165">
        <v>2</v>
      </c>
      <c r="H165">
        <v>3</v>
      </c>
      <c r="I165">
        <v>13</v>
      </c>
      <c r="J165" s="17"/>
      <c r="K165" s="17"/>
      <c r="L165" s="19" t="str">
        <f t="shared" si="2"/>
        <v/>
      </c>
      <c r="M165" s="17">
        <v>1</v>
      </c>
      <c r="N165" s="17">
        <v>1</v>
      </c>
      <c r="P165" t="s">
        <v>1614</v>
      </c>
    </row>
    <row r="166" spans="1:16">
      <c r="A166">
        <v>9</v>
      </c>
      <c r="B166">
        <v>83</v>
      </c>
      <c r="C166">
        <v>46326.625</v>
      </c>
      <c r="D166" t="s">
        <v>1354</v>
      </c>
      <c r="E166" t="s">
        <v>312</v>
      </c>
      <c r="F166" t="s">
        <v>1613</v>
      </c>
      <c r="G166">
        <v>3</v>
      </c>
      <c r="H166">
        <v>18</v>
      </c>
      <c r="I166">
        <v>4</v>
      </c>
      <c r="J166" s="17"/>
      <c r="K166" s="17"/>
      <c r="L166" s="19" t="str">
        <f t="shared" si="2"/>
        <v/>
      </c>
      <c r="M166" s="17">
        <v>1</v>
      </c>
      <c r="N166" s="17">
        <v>1</v>
      </c>
      <c r="P166" t="s">
        <v>1614</v>
      </c>
    </row>
    <row r="167" spans="1:16">
      <c r="A167">
        <v>9</v>
      </c>
      <c r="B167">
        <v>83</v>
      </c>
      <c r="C167">
        <v>46326.625</v>
      </c>
      <c r="D167" t="s">
        <v>312</v>
      </c>
      <c r="E167" t="s">
        <v>1354</v>
      </c>
      <c r="F167" t="s">
        <v>1615</v>
      </c>
      <c r="G167">
        <v>3</v>
      </c>
      <c r="H167">
        <v>4</v>
      </c>
      <c r="I167">
        <v>18</v>
      </c>
      <c r="J167" s="17"/>
      <c r="K167" s="17"/>
      <c r="L167" s="19" t="str">
        <f t="shared" si="2"/>
        <v/>
      </c>
      <c r="M167" s="17">
        <v>1</v>
      </c>
      <c r="N167" s="17">
        <v>1</v>
      </c>
      <c r="P167" t="s">
        <v>1614</v>
      </c>
    </row>
    <row r="168" spans="1:16">
      <c r="A168">
        <v>9</v>
      </c>
      <c r="B168">
        <v>84</v>
      </c>
      <c r="C168">
        <v>46326.625</v>
      </c>
      <c r="D168" t="s">
        <v>1199</v>
      </c>
      <c r="E168" t="s">
        <v>474</v>
      </c>
      <c r="F168" t="s">
        <v>1613</v>
      </c>
      <c r="G168">
        <v>4</v>
      </c>
      <c r="H168">
        <v>16</v>
      </c>
      <c r="I168">
        <v>6</v>
      </c>
      <c r="J168" s="17"/>
      <c r="K168" s="17"/>
      <c r="L168" s="19" t="str">
        <f t="shared" si="2"/>
        <v/>
      </c>
      <c r="M168" s="17">
        <v>1</v>
      </c>
      <c r="N168" s="17">
        <v>1</v>
      </c>
      <c r="P168" t="s">
        <v>1614</v>
      </c>
    </row>
    <row r="169" spans="1:16">
      <c r="A169">
        <v>9</v>
      </c>
      <c r="B169">
        <v>84</v>
      </c>
      <c r="C169">
        <v>46326.625</v>
      </c>
      <c r="D169" t="s">
        <v>474</v>
      </c>
      <c r="E169" t="s">
        <v>1199</v>
      </c>
      <c r="F169" t="s">
        <v>1615</v>
      </c>
      <c r="G169">
        <v>4</v>
      </c>
      <c r="H169">
        <v>6</v>
      </c>
      <c r="I169">
        <v>16</v>
      </c>
      <c r="J169" s="17"/>
      <c r="K169" s="17"/>
      <c r="L169" s="19" t="str">
        <f t="shared" si="2"/>
        <v/>
      </c>
      <c r="M169" s="17">
        <v>1</v>
      </c>
      <c r="N169" s="17">
        <v>1</v>
      </c>
      <c r="P169" t="s">
        <v>1614</v>
      </c>
    </row>
    <row r="170" spans="1:16">
      <c r="A170">
        <v>9</v>
      </c>
      <c r="B170">
        <v>85</v>
      </c>
      <c r="C170">
        <v>46326.625</v>
      </c>
      <c r="D170" t="s">
        <v>1493</v>
      </c>
      <c r="E170" t="s">
        <v>567</v>
      </c>
      <c r="F170" t="s">
        <v>1613</v>
      </c>
      <c r="G170">
        <v>2</v>
      </c>
      <c r="H170">
        <v>20</v>
      </c>
      <c r="I170">
        <v>7</v>
      </c>
      <c r="J170" s="17"/>
      <c r="K170" s="17"/>
      <c r="L170" s="19" t="str">
        <f t="shared" si="2"/>
        <v/>
      </c>
      <c r="M170" s="17">
        <v>1</v>
      </c>
      <c r="N170" s="17">
        <v>1</v>
      </c>
      <c r="P170" t="s">
        <v>1614</v>
      </c>
    </row>
    <row r="171" spans="1:16">
      <c r="A171">
        <v>9</v>
      </c>
      <c r="B171">
        <v>85</v>
      </c>
      <c r="C171">
        <v>46326.625</v>
      </c>
      <c r="D171" t="s">
        <v>567</v>
      </c>
      <c r="E171" t="s">
        <v>1493</v>
      </c>
      <c r="F171" t="s">
        <v>1615</v>
      </c>
      <c r="G171">
        <v>2</v>
      </c>
      <c r="H171">
        <v>7</v>
      </c>
      <c r="I171">
        <v>20</v>
      </c>
      <c r="J171" s="17"/>
      <c r="K171" s="17"/>
      <c r="L171" s="19" t="str">
        <f t="shared" si="2"/>
        <v/>
      </c>
      <c r="M171" s="17">
        <v>1</v>
      </c>
      <c r="N171" s="17">
        <v>1</v>
      </c>
      <c r="P171" t="s">
        <v>1614</v>
      </c>
    </row>
    <row r="172" spans="1:16">
      <c r="A172">
        <v>9</v>
      </c>
      <c r="B172">
        <v>86</v>
      </c>
      <c r="C172">
        <v>46326.625</v>
      </c>
      <c r="D172" t="s">
        <v>903</v>
      </c>
      <c r="E172" t="s">
        <v>831</v>
      </c>
      <c r="F172" t="s">
        <v>1613</v>
      </c>
      <c r="G172">
        <v>2</v>
      </c>
      <c r="H172">
        <v>12</v>
      </c>
      <c r="I172">
        <v>11</v>
      </c>
      <c r="J172" s="17"/>
      <c r="K172" s="17"/>
      <c r="L172" s="19" t="str">
        <f t="shared" si="2"/>
        <v/>
      </c>
      <c r="M172" s="17">
        <v>1</v>
      </c>
      <c r="N172" s="17">
        <v>1</v>
      </c>
      <c r="P172" t="s">
        <v>1614</v>
      </c>
    </row>
    <row r="173" spans="1:16">
      <c r="A173">
        <v>9</v>
      </c>
      <c r="B173">
        <v>86</v>
      </c>
      <c r="C173">
        <v>46326.625</v>
      </c>
      <c r="D173" t="s">
        <v>831</v>
      </c>
      <c r="E173" t="s">
        <v>903</v>
      </c>
      <c r="F173" t="s">
        <v>1615</v>
      </c>
      <c r="G173">
        <v>2</v>
      </c>
      <c r="H173">
        <v>11</v>
      </c>
      <c r="I173">
        <v>12</v>
      </c>
      <c r="J173" s="17"/>
      <c r="K173" s="17"/>
      <c r="L173" s="19" t="str">
        <f t="shared" si="2"/>
        <v/>
      </c>
      <c r="M173" s="17">
        <v>1</v>
      </c>
      <c r="N173" s="17">
        <v>1</v>
      </c>
      <c r="P173" t="s">
        <v>1614</v>
      </c>
    </row>
    <row r="174" spans="1:16">
      <c r="A174">
        <v>9</v>
      </c>
      <c r="B174">
        <v>87</v>
      </c>
      <c r="C174">
        <v>46326.625</v>
      </c>
      <c r="D174" t="s">
        <v>64</v>
      </c>
      <c r="E174" t="s">
        <v>1037</v>
      </c>
      <c r="F174" t="s">
        <v>1613</v>
      </c>
      <c r="G174">
        <v>4</v>
      </c>
      <c r="H174">
        <v>1</v>
      </c>
      <c r="I174">
        <v>14</v>
      </c>
      <c r="J174" s="17"/>
      <c r="K174" s="17"/>
      <c r="L174" s="19" t="str">
        <f t="shared" si="2"/>
        <v/>
      </c>
      <c r="M174" s="17">
        <v>1</v>
      </c>
      <c r="N174" s="17">
        <v>1</v>
      </c>
      <c r="P174" t="s">
        <v>1614</v>
      </c>
    </row>
    <row r="175" spans="1:16">
      <c r="A175">
        <v>9</v>
      </c>
      <c r="B175">
        <v>87</v>
      </c>
      <c r="C175">
        <v>46326.625</v>
      </c>
      <c r="D175" t="s">
        <v>1037</v>
      </c>
      <c r="E175" t="s">
        <v>64</v>
      </c>
      <c r="F175" t="s">
        <v>1615</v>
      </c>
      <c r="G175">
        <v>4</v>
      </c>
      <c r="H175">
        <v>14</v>
      </c>
      <c r="I175">
        <v>1</v>
      </c>
      <c r="J175" s="17"/>
      <c r="K175" s="17"/>
      <c r="L175" s="19" t="str">
        <f t="shared" si="2"/>
        <v/>
      </c>
      <c r="M175" s="17">
        <v>1</v>
      </c>
      <c r="N175" s="17">
        <v>1</v>
      </c>
      <c r="P175" t="s">
        <v>1614</v>
      </c>
    </row>
    <row r="176" spans="1:16">
      <c r="A176">
        <v>9</v>
      </c>
      <c r="B176">
        <v>88</v>
      </c>
      <c r="C176">
        <v>46326.625</v>
      </c>
      <c r="D176" t="s">
        <v>390</v>
      </c>
      <c r="E176" t="s">
        <v>1126</v>
      </c>
      <c r="F176" t="s">
        <v>1613</v>
      </c>
      <c r="G176">
        <v>5</v>
      </c>
      <c r="H176">
        <v>5</v>
      </c>
      <c r="I176">
        <v>15</v>
      </c>
      <c r="J176" s="17"/>
      <c r="K176" s="17"/>
      <c r="L176" s="19" t="str">
        <f t="shared" si="2"/>
        <v/>
      </c>
      <c r="M176" s="17">
        <v>1</v>
      </c>
      <c r="N176" s="17">
        <v>1</v>
      </c>
      <c r="P176" t="s">
        <v>1614</v>
      </c>
    </row>
    <row r="177" spans="1:16">
      <c r="A177">
        <v>9</v>
      </c>
      <c r="B177">
        <v>88</v>
      </c>
      <c r="C177">
        <v>46326.625</v>
      </c>
      <c r="D177" t="s">
        <v>1126</v>
      </c>
      <c r="E177" t="s">
        <v>390</v>
      </c>
      <c r="F177" t="s">
        <v>1615</v>
      </c>
      <c r="G177">
        <v>2</v>
      </c>
      <c r="H177">
        <v>15</v>
      </c>
      <c r="I177">
        <v>5</v>
      </c>
      <c r="J177" s="17"/>
      <c r="K177" s="17"/>
      <c r="L177" s="19" t="str">
        <f t="shared" si="2"/>
        <v/>
      </c>
      <c r="M177" s="17">
        <v>1</v>
      </c>
      <c r="N177" s="17">
        <v>1</v>
      </c>
      <c r="P177" t="s">
        <v>1614</v>
      </c>
    </row>
    <row r="178" spans="1:16">
      <c r="A178">
        <v>9</v>
      </c>
      <c r="B178">
        <v>89</v>
      </c>
      <c r="C178">
        <v>46326.625</v>
      </c>
      <c r="D178" t="s">
        <v>714</v>
      </c>
      <c r="E178" t="s">
        <v>1283</v>
      </c>
      <c r="F178" t="s">
        <v>1613</v>
      </c>
      <c r="G178">
        <v>3</v>
      </c>
      <c r="H178">
        <v>9</v>
      </c>
      <c r="I178">
        <v>17</v>
      </c>
      <c r="J178" s="17"/>
      <c r="K178" s="17"/>
      <c r="L178" s="19" t="str">
        <f t="shared" si="2"/>
        <v/>
      </c>
      <c r="M178" s="17">
        <v>1</v>
      </c>
      <c r="N178" s="17">
        <v>1</v>
      </c>
      <c r="P178" t="s">
        <v>1614</v>
      </c>
    </row>
    <row r="179" spans="1:16">
      <c r="A179">
        <v>9</v>
      </c>
      <c r="B179">
        <v>89</v>
      </c>
      <c r="C179">
        <v>46326.625</v>
      </c>
      <c r="D179" t="s">
        <v>1283</v>
      </c>
      <c r="E179" t="s">
        <v>714</v>
      </c>
      <c r="F179" t="s">
        <v>1615</v>
      </c>
      <c r="G179">
        <v>3</v>
      </c>
      <c r="H179">
        <v>17</v>
      </c>
      <c r="I179">
        <v>9</v>
      </c>
      <c r="J179" s="17"/>
      <c r="K179" s="17"/>
      <c r="L179" s="19" t="str">
        <f t="shared" si="2"/>
        <v/>
      </c>
      <c r="M179" s="17">
        <v>1</v>
      </c>
      <c r="N179" s="17">
        <v>1</v>
      </c>
      <c r="P179" t="s">
        <v>1614</v>
      </c>
    </row>
    <row r="180" spans="1:16">
      <c r="A180">
        <v>9</v>
      </c>
      <c r="B180">
        <v>90</v>
      </c>
      <c r="C180">
        <v>46326.625</v>
      </c>
      <c r="D180" t="s">
        <v>639</v>
      </c>
      <c r="E180" t="s">
        <v>1412</v>
      </c>
      <c r="F180" t="s">
        <v>1613</v>
      </c>
      <c r="G180">
        <v>3</v>
      </c>
      <c r="H180">
        <v>8</v>
      </c>
      <c r="I180">
        <v>19</v>
      </c>
      <c r="J180" s="17"/>
      <c r="K180" s="17"/>
      <c r="L180" s="19" t="str">
        <f t="shared" si="2"/>
        <v/>
      </c>
      <c r="M180" s="17">
        <v>1</v>
      </c>
      <c r="N180" s="17">
        <v>1</v>
      </c>
      <c r="P180" t="s">
        <v>1614</v>
      </c>
    </row>
    <row r="181" spans="1:16">
      <c r="A181">
        <v>9</v>
      </c>
      <c r="B181">
        <v>90</v>
      </c>
      <c r="C181">
        <v>46326.625</v>
      </c>
      <c r="D181" t="s">
        <v>1412</v>
      </c>
      <c r="E181" t="s">
        <v>639</v>
      </c>
      <c r="F181" t="s">
        <v>1615</v>
      </c>
      <c r="G181">
        <v>3</v>
      </c>
      <c r="H181">
        <v>19</v>
      </c>
      <c r="I181">
        <v>8</v>
      </c>
      <c r="J181" s="17"/>
      <c r="K181" s="17"/>
      <c r="L181" s="19" t="str">
        <f t="shared" si="2"/>
        <v/>
      </c>
      <c r="M181" s="17">
        <v>1</v>
      </c>
      <c r="N181" s="17">
        <v>1</v>
      </c>
      <c r="P181" t="s">
        <v>1614</v>
      </c>
    </row>
    <row r="182" spans="1:16">
      <c r="A182">
        <v>10</v>
      </c>
      <c r="B182">
        <v>91</v>
      </c>
      <c r="C182">
        <v>46333.625</v>
      </c>
      <c r="D182" t="s">
        <v>831</v>
      </c>
      <c r="E182" t="s">
        <v>64</v>
      </c>
      <c r="F182" t="s">
        <v>1613</v>
      </c>
      <c r="G182">
        <v>5</v>
      </c>
      <c r="H182">
        <v>11</v>
      </c>
      <c r="I182">
        <v>1</v>
      </c>
      <c r="J182" s="17"/>
      <c r="K182" s="17"/>
      <c r="L182" s="19" t="str">
        <f t="shared" si="2"/>
        <v/>
      </c>
      <c r="M182" s="17">
        <v>1</v>
      </c>
      <c r="N182" s="17">
        <v>1</v>
      </c>
      <c r="P182" t="s">
        <v>1614</v>
      </c>
    </row>
    <row r="183" spans="1:16">
      <c r="A183">
        <v>10</v>
      </c>
      <c r="B183">
        <v>91</v>
      </c>
      <c r="C183">
        <v>46333.625</v>
      </c>
      <c r="D183" t="s">
        <v>64</v>
      </c>
      <c r="E183" t="s">
        <v>831</v>
      </c>
      <c r="F183" t="s">
        <v>1615</v>
      </c>
      <c r="G183">
        <v>2</v>
      </c>
      <c r="H183">
        <v>1</v>
      </c>
      <c r="I183">
        <v>11</v>
      </c>
      <c r="J183" s="17"/>
      <c r="K183" s="17"/>
      <c r="L183" s="19" t="str">
        <f t="shared" si="2"/>
        <v/>
      </c>
      <c r="M183" s="17">
        <v>1</v>
      </c>
      <c r="N183" s="17">
        <v>1</v>
      </c>
      <c r="P183" t="s">
        <v>1614</v>
      </c>
    </row>
    <row r="184" spans="1:16">
      <c r="A184">
        <v>10</v>
      </c>
      <c r="B184">
        <v>92</v>
      </c>
      <c r="C184">
        <v>46333.625</v>
      </c>
      <c r="D184" t="s">
        <v>312</v>
      </c>
      <c r="E184" t="s">
        <v>390</v>
      </c>
      <c r="F184" t="s">
        <v>1613</v>
      </c>
      <c r="G184">
        <v>3</v>
      </c>
      <c r="H184">
        <v>4</v>
      </c>
      <c r="I184">
        <v>5</v>
      </c>
      <c r="J184" s="17"/>
      <c r="K184" s="17"/>
      <c r="L184" s="19" t="str">
        <f t="shared" si="2"/>
        <v/>
      </c>
      <c r="M184" s="17">
        <v>1</v>
      </c>
      <c r="N184" s="17">
        <v>1</v>
      </c>
      <c r="P184" t="s">
        <v>1614</v>
      </c>
    </row>
    <row r="185" spans="1:16">
      <c r="A185">
        <v>10</v>
      </c>
      <c r="B185">
        <v>92</v>
      </c>
      <c r="C185">
        <v>46333.625</v>
      </c>
      <c r="D185" t="s">
        <v>390</v>
      </c>
      <c r="E185" t="s">
        <v>312</v>
      </c>
      <c r="F185" t="s">
        <v>1615</v>
      </c>
      <c r="G185">
        <v>3</v>
      </c>
      <c r="H185">
        <v>5</v>
      </c>
      <c r="I185">
        <v>4</v>
      </c>
      <c r="J185" s="17"/>
      <c r="K185" s="17"/>
      <c r="L185" s="19" t="str">
        <f t="shared" si="2"/>
        <v/>
      </c>
      <c r="M185" s="17">
        <v>1</v>
      </c>
      <c r="N185" s="17">
        <v>1</v>
      </c>
      <c r="P185" t="s">
        <v>1614</v>
      </c>
    </row>
    <row r="186" spans="1:16">
      <c r="A186">
        <v>10</v>
      </c>
      <c r="B186">
        <v>93</v>
      </c>
      <c r="C186">
        <v>46333.625</v>
      </c>
      <c r="D186" t="s">
        <v>1037</v>
      </c>
      <c r="E186" t="s">
        <v>639</v>
      </c>
      <c r="F186" t="s">
        <v>1613</v>
      </c>
      <c r="G186">
        <v>3</v>
      </c>
      <c r="H186">
        <v>14</v>
      </c>
      <c r="I186">
        <v>8</v>
      </c>
      <c r="J186" s="17"/>
      <c r="K186" s="17"/>
      <c r="L186" s="19" t="str">
        <f t="shared" si="2"/>
        <v/>
      </c>
      <c r="M186" s="17">
        <v>1</v>
      </c>
      <c r="N186" s="17">
        <v>1</v>
      </c>
      <c r="P186" t="s">
        <v>1614</v>
      </c>
    </row>
    <row r="187" spans="1:16">
      <c r="A187">
        <v>10</v>
      </c>
      <c r="B187">
        <v>93</v>
      </c>
      <c r="C187">
        <v>46333.625</v>
      </c>
      <c r="D187" t="s">
        <v>639</v>
      </c>
      <c r="E187" t="s">
        <v>1037</v>
      </c>
      <c r="F187" t="s">
        <v>1615</v>
      </c>
      <c r="G187">
        <v>4</v>
      </c>
      <c r="H187">
        <v>8</v>
      </c>
      <c r="I187">
        <v>14</v>
      </c>
      <c r="J187" s="17"/>
      <c r="K187" s="17"/>
      <c r="L187" s="19" t="str">
        <f t="shared" si="2"/>
        <v/>
      </c>
      <c r="M187" s="17">
        <v>1</v>
      </c>
      <c r="N187" s="17">
        <v>1</v>
      </c>
      <c r="P187" t="s">
        <v>1614</v>
      </c>
    </row>
    <row r="188" spans="1:16">
      <c r="A188">
        <v>10</v>
      </c>
      <c r="B188">
        <v>94</v>
      </c>
      <c r="C188">
        <v>46333.625</v>
      </c>
      <c r="D188" t="s">
        <v>567</v>
      </c>
      <c r="E188" t="s">
        <v>714</v>
      </c>
      <c r="F188" t="s">
        <v>1613</v>
      </c>
      <c r="G188">
        <v>3</v>
      </c>
      <c r="H188">
        <v>7</v>
      </c>
      <c r="I188">
        <v>9</v>
      </c>
      <c r="J188" s="17"/>
      <c r="K188" s="17"/>
      <c r="L188" s="19" t="str">
        <f t="shared" si="2"/>
        <v/>
      </c>
      <c r="M188" s="17">
        <v>1</v>
      </c>
      <c r="N188" s="17">
        <v>1</v>
      </c>
      <c r="P188" t="s">
        <v>1614</v>
      </c>
    </row>
    <row r="189" spans="1:16">
      <c r="A189">
        <v>10</v>
      </c>
      <c r="B189">
        <v>94</v>
      </c>
      <c r="C189">
        <v>46333.625</v>
      </c>
      <c r="D189" t="s">
        <v>714</v>
      </c>
      <c r="E189" t="s">
        <v>567</v>
      </c>
      <c r="F189" t="s">
        <v>1615</v>
      </c>
      <c r="G189">
        <v>2</v>
      </c>
      <c r="H189">
        <v>9</v>
      </c>
      <c r="I189">
        <v>7</v>
      </c>
      <c r="J189" s="17"/>
      <c r="K189" s="17"/>
      <c r="L189" s="19" t="str">
        <f t="shared" si="2"/>
        <v/>
      </c>
      <c r="M189" s="17">
        <v>1</v>
      </c>
      <c r="N189" s="17">
        <v>1</v>
      </c>
      <c r="P189" t="s">
        <v>1614</v>
      </c>
    </row>
    <row r="190" spans="1:16">
      <c r="A190">
        <v>10</v>
      </c>
      <c r="B190">
        <v>95</v>
      </c>
      <c r="C190">
        <v>46333.625</v>
      </c>
      <c r="D190" t="s">
        <v>1283</v>
      </c>
      <c r="E190" t="s">
        <v>777</v>
      </c>
      <c r="F190" t="s">
        <v>1613</v>
      </c>
      <c r="G190">
        <v>3</v>
      </c>
      <c r="H190">
        <v>17</v>
      </c>
      <c r="I190">
        <v>10</v>
      </c>
      <c r="J190" s="17"/>
      <c r="K190" s="17"/>
      <c r="L190" s="19" t="str">
        <f t="shared" si="2"/>
        <v/>
      </c>
      <c r="M190" s="17">
        <v>1</v>
      </c>
      <c r="N190" s="17">
        <v>1</v>
      </c>
      <c r="P190" t="s">
        <v>1614</v>
      </c>
    </row>
    <row r="191" spans="1:16">
      <c r="A191">
        <v>10</v>
      </c>
      <c r="B191">
        <v>95</v>
      </c>
      <c r="C191">
        <v>46333.625</v>
      </c>
      <c r="D191" t="s">
        <v>777</v>
      </c>
      <c r="E191" t="s">
        <v>1283</v>
      </c>
      <c r="F191" t="s">
        <v>1615</v>
      </c>
      <c r="G191">
        <v>2</v>
      </c>
      <c r="H191">
        <v>10</v>
      </c>
      <c r="I191">
        <v>17</v>
      </c>
      <c r="J191" s="17"/>
      <c r="K191" s="17"/>
      <c r="L191" s="19" t="str">
        <f t="shared" si="2"/>
        <v/>
      </c>
      <c r="M191" s="17">
        <v>1</v>
      </c>
      <c r="N191" s="17">
        <v>1</v>
      </c>
      <c r="P191" t="s">
        <v>1614</v>
      </c>
    </row>
    <row r="192" spans="1:16">
      <c r="A192">
        <v>10</v>
      </c>
      <c r="B192">
        <v>96</v>
      </c>
      <c r="C192">
        <v>46333.625</v>
      </c>
      <c r="D192" t="s">
        <v>236</v>
      </c>
      <c r="E192" t="s">
        <v>903</v>
      </c>
      <c r="F192" t="s">
        <v>1613</v>
      </c>
      <c r="G192">
        <v>2</v>
      </c>
      <c r="H192">
        <v>3</v>
      </c>
      <c r="I192">
        <v>12</v>
      </c>
      <c r="J192" s="17"/>
      <c r="K192" s="17"/>
      <c r="L192" s="19" t="str">
        <f t="shared" si="2"/>
        <v/>
      </c>
      <c r="M192" s="17">
        <v>1</v>
      </c>
      <c r="N192" s="17">
        <v>1</v>
      </c>
      <c r="P192" t="s">
        <v>1614</v>
      </c>
    </row>
    <row r="193" spans="1:16">
      <c r="A193">
        <v>10</v>
      </c>
      <c r="B193">
        <v>96</v>
      </c>
      <c r="C193">
        <v>46333.625</v>
      </c>
      <c r="D193" t="s">
        <v>903</v>
      </c>
      <c r="E193" t="s">
        <v>236</v>
      </c>
      <c r="F193" t="s">
        <v>1615</v>
      </c>
      <c r="G193">
        <v>3</v>
      </c>
      <c r="H193">
        <v>12</v>
      </c>
      <c r="I193">
        <v>3</v>
      </c>
      <c r="J193" s="17"/>
      <c r="K193" s="17"/>
      <c r="L193" s="19" t="str">
        <f t="shared" si="2"/>
        <v/>
      </c>
      <c r="M193" s="17">
        <v>1</v>
      </c>
      <c r="N193" s="17">
        <v>1</v>
      </c>
      <c r="P193" t="s">
        <v>1614</v>
      </c>
    </row>
    <row r="194" spans="1:16">
      <c r="A194">
        <v>10</v>
      </c>
      <c r="B194">
        <v>97</v>
      </c>
      <c r="C194">
        <v>46333.625</v>
      </c>
      <c r="D194" t="s">
        <v>1412</v>
      </c>
      <c r="E194" t="s">
        <v>978</v>
      </c>
      <c r="F194" t="s">
        <v>1613</v>
      </c>
      <c r="G194">
        <v>3</v>
      </c>
      <c r="H194">
        <v>19</v>
      </c>
      <c r="I194">
        <v>13</v>
      </c>
      <c r="J194" s="17"/>
      <c r="K194" s="17"/>
      <c r="L194" s="19" t="str">
        <f t="shared" ref="L194:L257" si="3">IF(K194="","",EXP(-K194))</f>
        <v/>
      </c>
      <c r="M194" s="17">
        <v>1</v>
      </c>
      <c r="N194" s="17">
        <v>1</v>
      </c>
      <c r="P194" t="s">
        <v>1614</v>
      </c>
    </row>
    <row r="195" spans="1:16">
      <c r="A195">
        <v>10</v>
      </c>
      <c r="B195">
        <v>97</v>
      </c>
      <c r="C195">
        <v>46333.625</v>
      </c>
      <c r="D195" t="s">
        <v>978</v>
      </c>
      <c r="E195" t="s">
        <v>1412</v>
      </c>
      <c r="F195" t="s">
        <v>1615</v>
      </c>
      <c r="G195">
        <v>3</v>
      </c>
      <c r="H195">
        <v>13</v>
      </c>
      <c r="I195">
        <v>19</v>
      </c>
      <c r="J195" s="17"/>
      <c r="K195" s="17"/>
      <c r="L195" s="19" t="str">
        <f t="shared" si="3"/>
        <v/>
      </c>
      <c r="M195" s="17">
        <v>1</v>
      </c>
      <c r="N195" s="17">
        <v>1</v>
      </c>
      <c r="P195" t="s">
        <v>1614</v>
      </c>
    </row>
    <row r="196" spans="1:16">
      <c r="A196">
        <v>10</v>
      </c>
      <c r="B196">
        <v>98</v>
      </c>
      <c r="C196">
        <v>46333.625</v>
      </c>
      <c r="D196" t="s">
        <v>153</v>
      </c>
      <c r="E196" t="s">
        <v>1199</v>
      </c>
      <c r="F196" t="s">
        <v>1613</v>
      </c>
      <c r="G196">
        <v>4</v>
      </c>
      <c r="H196">
        <v>2</v>
      </c>
      <c r="I196">
        <v>16</v>
      </c>
      <c r="J196" s="17"/>
      <c r="K196" s="17"/>
      <c r="L196" s="19" t="str">
        <f t="shared" si="3"/>
        <v/>
      </c>
      <c r="M196" s="17">
        <v>1</v>
      </c>
      <c r="N196" s="17">
        <v>1</v>
      </c>
      <c r="P196" t="s">
        <v>1614</v>
      </c>
    </row>
    <row r="197" spans="1:16">
      <c r="A197">
        <v>10</v>
      </c>
      <c r="B197">
        <v>98</v>
      </c>
      <c r="C197">
        <v>46333.625</v>
      </c>
      <c r="D197" t="s">
        <v>1199</v>
      </c>
      <c r="E197" t="s">
        <v>153</v>
      </c>
      <c r="F197" t="s">
        <v>1615</v>
      </c>
      <c r="G197">
        <v>3</v>
      </c>
      <c r="H197">
        <v>16</v>
      </c>
      <c r="I197">
        <v>2</v>
      </c>
      <c r="J197" s="17"/>
      <c r="K197" s="17"/>
      <c r="L197" s="19" t="str">
        <f t="shared" si="3"/>
        <v/>
      </c>
      <c r="M197" s="17">
        <v>1</v>
      </c>
      <c r="N197" s="17">
        <v>1</v>
      </c>
      <c r="P197" t="s">
        <v>1614</v>
      </c>
    </row>
    <row r="198" spans="1:16">
      <c r="A198">
        <v>10</v>
      </c>
      <c r="B198">
        <v>99</v>
      </c>
      <c r="C198">
        <v>46333.625</v>
      </c>
      <c r="D198" t="s">
        <v>1126</v>
      </c>
      <c r="E198" t="s">
        <v>1354</v>
      </c>
      <c r="F198" t="s">
        <v>1613</v>
      </c>
      <c r="G198">
        <v>3</v>
      </c>
      <c r="H198">
        <v>15</v>
      </c>
      <c r="I198">
        <v>18</v>
      </c>
      <c r="J198" s="17"/>
      <c r="K198" s="17"/>
      <c r="L198" s="19" t="str">
        <f t="shared" si="3"/>
        <v/>
      </c>
      <c r="M198" s="17">
        <v>1</v>
      </c>
      <c r="N198" s="17">
        <v>1</v>
      </c>
      <c r="P198" t="s">
        <v>1614</v>
      </c>
    </row>
    <row r="199" spans="1:16">
      <c r="A199">
        <v>10</v>
      </c>
      <c r="B199">
        <v>99</v>
      </c>
      <c r="C199">
        <v>46333.625</v>
      </c>
      <c r="D199" t="s">
        <v>1354</v>
      </c>
      <c r="E199" t="s">
        <v>1126</v>
      </c>
      <c r="F199" t="s">
        <v>1615</v>
      </c>
      <c r="G199">
        <v>4</v>
      </c>
      <c r="H199">
        <v>18</v>
      </c>
      <c r="I199">
        <v>15</v>
      </c>
      <c r="J199" s="17"/>
      <c r="K199" s="17"/>
      <c r="L199" s="19" t="str">
        <f t="shared" si="3"/>
        <v/>
      </c>
      <c r="M199" s="17">
        <v>1</v>
      </c>
      <c r="N199" s="17">
        <v>1</v>
      </c>
      <c r="P199" t="s">
        <v>1614</v>
      </c>
    </row>
    <row r="200" spans="1:16">
      <c r="A200">
        <v>10</v>
      </c>
      <c r="B200">
        <v>100</v>
      </c>
      <c r="C200">
        <v>46333.625</v>
      </c>
      <c r="D200" t="s">
        <v>474</v>
      </c>
      <c r="E200" t="s">
        <v>1493</v>
      </c>
      <c r="F200" t="s">
        <v>1613</v>
      </c>
      <c r="G200">
        <v>3</v>
      </c>
      <c r="H200">
        <v>6</v>
      </c>
      <c r="I200">
        <v>20</v>
      </c>
      <c r="J200" s="17"/>
      <c r="K200" s="17"/>
      <c r="L200" s="19" t="str">
        <f t="shared" si="3"/>
        <v/>
      </c>
      <c r="M200" s="17">
        <v>1</v>
      </c>
      <c r="N200" s="17">
        <v>1</v>
      </c>
      <c r="P200" t="s">
        <v>1614</v>
      </c>
    </row>
    <row r="201" spans="1:16">
      <c r="A201">
        <v>10</v>
      </c>
      <c r="B201">
        <v>100</v>
      </c>
      <c r="C201">
        <v>46333.625</v>
      </c>
      <c r="D201" t="s">
        <v>1493</v>
      </c>
      <c r="E201" t="s">
        <v>474</v>
      </c>
      <c r="F201" t="s">
        <v>1615</v>
      </c>
      <c r="G201">
        <v>4</v>
      </c>
      <c r="H201">
        <v>20</v>
      </c>
      <c r="I201">
        <v>6</v>
      </c>
      <c r="J201" s="17"/>
      <c r="K201" s="17"/>
      <c r="L201" s="19" t="str">
        <f t="shared" si="3"/>
        <v/>
      </c>
      <c r="M201" s="17">
        <v>1</v>
      </c>
      <c r="N201" s="17">
        <v>1</v>
      </c>
      <c r="P201" t="s">
        <v>1614</v>
      </c>
    </row>
    <row r="202" spans="1:16">
      <c r="A202">
        <v>11</v>
      </c>
      <c r="B202">
        <v>101</v>
      </c>
      <c r="C202">
        <v>46347.625</v>
      </c>
      <c r="D202" t="s">
        <v>1493</v>
      </c>
      <c r="E202" t="s">
        <v>153</v>
      </c>
      <c r="F202" t="s">
        <v>1613</v>
      </c>
      <c r="G202">
        <v>4</v>
      </c>
      <c r="H202">
        <v>20</v>
      </c>
      <c r="I202">
        <v>2</v>
      </c>
      <c r="J202" s="17"/>
      <c r="K202" s="17"/>
      <c r="L202" s="19" t="str">
        <f t="shared" si="3"/>
        <v/>
      </c>
      <c r="M202" s="17">
        <v>1</v>
      </c>
      <c r="N202" s="17">
        <v>1</v>
      </c>
      <c r="P202" t="s">
        <v>1614</v>
      </c>
    </row>
    <row r="203" spans="1:16">
      <c r="A203">
        <v>11</v>
      </c>
      <c r="B203">
        <v>101</v>
      </c>
      <c r="C203">
        <v>46347.625</v>
      </c>
      <c r="D203" t="s">
        <v>153</v>
      </c>
      <c r="E203" t="s">
        <v>1493</v>
      </c>
      <c r="F203" t="s">
        <v>1615</v>
      </c>
      <c r="G203">
        <v>2</v>
      </c>
      <c r="H203">
        <v>2</v>
      </c>
      <c r="I203">
        <v>20</v>
      </c>
      <c r="J203" s="17"/>
      <c r="K203" s="17"/>
      <c r="L203" s="19" t="str">
        <f t="shared" si="3"/>
        <v/>
      </c>
      <c r="M203" s="17">
        <v>1</v>
      </c>
      <c r="N203" s="17">
        <v>1</v>
      </c>
      <c r="P203" t="s">
        <v>1614</v>
      </c>
    </row>
    <row r="204" spans="1:16">
      <c r="A204">
        <v>11</v>
      </c>
      <c r="B204">
        <v>102</v>
      </c>
      <c r="C204">
        <v>46347.625</v>
      </c>
      <c r="D204" t="s">
        <v>1354</v>
      </c>
      <c r="E204" t="s">
        <v>236</v>
      </c>
      <c r="F204" t="s">
        <v>1613</v>
      </c>
      <c r="G204">
        <v>3</v>
      </c>
      <c r="H204">
        <v>18</v>
      </c>
      <c r="I204">
        <v>3</v>
      </c>
      <c r="J204" s="17"/>
      <c r="K204" s="17"/>
      <c r="L204" s="19" t="str">
        <f t="shared" si="3"/>
        <v/>
      </c>
      <c r="M204" s="17">
        <v>1</v>
      </c>
      <c r="N204" s="17">
        <v>1</v>
      </c>
      <c r="P204" t="s">
        <v>1614</v>
      </c>
    </row>
    <row r="205" spans="1:16">
      <c r="A205">
        <v>11</v>
      </c>
      <c r="B205">
        <v>102</v>
      </c>
      <c r="C205">
        <v>46347.625</v>
      </c>
      <c r="D205" t="s">
        <v>236</v>
      </c>
      <c r="E205" t="s">
        <v>1354</v>
      </c>
      <c r="F205" t="s">
        <v>1615</v>
      </c>
      <c r="G205">
        <v>3</v>
      </c>
      <c r="H205">
        <v>3</v>
      </c>
      <c r="I205">
        <v>18</v>
      </c>
      <c r="J205" s="17"/>
      <c r="K205" s="17"/>
      <c r="L205" s="19" t="str">
        <f t="shared" si="3"/>
        <v/>
      </c>
      <c r="M205" s="17">
        <v>1</v>
      </c>
      <c r="N205" s="17">
        <v>1</v>
      </c>
      <c r="P205" t="s">
        <v>1614</v>
      </c>
    </row>
    <row r="206" spans="1:16">
      <c r="A206">
        <v>11</v>
      </c>
      <c r="B206">
        <v>103</v>
      </c>
      <c r="C206">
        <v>46347.625</v>
      </c>
      <c r="D206" t="s">
        <v>714</v>
      </c>
      <c r="E206" t="s">
        <v>312</v>
      </c>
      <c r="F206" t="s">
        <v>1613</v>
      </c>
      <c r="G206">
        <v>3</v>
      </c>
      <c r="H206">
        <v>9</v>
      </c>
      <c r="I206">
        <v>4</v>
      </c>
      <c r="J206" s="17"/>
      <c r="K206" s="17"/>
      <c r="L206" s="19" t="str">
        <f t="shared" si="3"/>
        <v/>
      </c>
      <c r="M206" s="17">
        <v>1</v>
      </c>
      <c r="N206" s="17">
        <v>1</v>
      </c>
      <c r="P206" t="s">
        <v>1614</v>
      </c>
    </row>
    <row r="207" spans="1:16">
      <c r="A207">
        <v>11</v>
      </c>
      <c r="B207">
        <v>103</v>
      </c>
      <c r="C207">
        <v>46347.625</v>
      </c>
      <c r="D207" t="s">
        <v>312</v>
      </c>
      <c r="E207" t="s">
        <v>714</v>
      </c>
      <c r="F207" t="s">
        <v>1615</v>
      </c>
      <c r="G207">
        <v>3</v>
      </c>
      <c r="H207">
        <v>4</v>
      </c>
      <c r="I207">
        <v>9</v>
      </c>
      <c r="J207" s="17"/>
      <c r="K207" s="17"/>
      <c r="L207" s="19" t="str">
        <f t="shared" si="3"/>
        <v/>
      </c>
      <c r="M207" s="17">
        <v>1</v>
      </c>
      <c r="N207" s="17">
        <v>1</v>
      </c>
      <c r="P207" t="s">
        <v>1614</v>
      </c>
    </row>
    <row r="208" spans="1:16">
      <c r="A208">
        <v>11</v>
      </c>
      <c r="B208">
        <v>104</v>
      </c>
      <c r="C208">
        <v>46347.625</v>
      </c>
      <c r="D208" t="s">
        <v>978</v>
      </c>
      <c r="E208" t="s">
        <v>474</v>
      </c>
      <c r="F208" t="s">
        <v>1613</v>
      </c>
      <c r="G208">
        <v>4</v>
      </c>
      <c r="H208">
        <v>13</v>
      </c>
      <c r="I208">
        <v>6</v>
      </c>
      <c r="J208" s="17"/>
      <c r="K208" s="17"/>
      <c r="L208" s="19" t="str">
        <f t="shared" si="3"/>
        <v/>
      </c>
      <c r="M208" s="17">
        <v>1</v>
      </c>
      <c r="N208" s="17">
        <v>1</v>
      </c>
      <c r="P208" t="s">
        <v>1614</v>
      </c>
    </row>
    <row r="209" spans="1:16">
      <c r="A209">
        <v>11</v>
      </c>
      <c r="B209">
        <v>104</v>
      </c>
      <c r="C209">
        <v>46347.625</v>
      </c>
      <c r="D209" t="s">
        <v>474</v>
      </c>
      <c r="E209" t="s">
        <v>978</v>
      </c>
      <c r="F209" t="s">
        <v>1615</v>
      </c>
      <c r="G209">
        <v>2</v>
      </c>
      <c r="H209">
        <v>6</v>
      </c>
      <c r="I209">
        <v>13</v>
      </c>
      <c r="J209" s="17"/>
      <c r="K209" s="17"/>
      <c r="L209" s="19" t="str">
        <f t="shared" si="3"/>
        <v/>
      </c>
      <c r="M209" s="17">
        <v>1</v>
      </c>
      <c r="N209" s="17">
        <v>1</v>
      </c>
      <c r="P209" t="s">
        <v>1614</v>
      </c>
    </row>
    <row r="210" spans="1:16">
      <c r="A210">
        <v>11</v>
      </c>
      <c r="B210">
        <v>105</v>
      </c>
      <c r="C210">
        <v>46347.625</v>
      </c>
      <c r="D210" t="s">
        <v>639</v>
      </c>
      <c r="E210" t="s">
        <v>567</v>
      </c>
      <c r="F210" t="s">
        <v>1613</v>
      </c>
      <c r="G210">
        <v>2</v>
      </c>
      <c r="H210">
        <v>8</v>
      </c>
      <c r="I210">
        <v>7</v>
      </c>
      <c r="J210" s="17"/>
      <c r="K210" s="17"/>
      <c r="L210" s="19" t="str">
        <f t="shared" si="3"/>
        <v/>
      </c>
      <c r="M210" s="17">
        <v>1</v>
      </c>
      <c r="N210" s="17">
        <v>1</v>
      </c>
      <c r="P210" t="s">
        <v>1614</v>
      </c>
    </row>
    <row r="211" spans="1:16">
      <c r="A211">
        <v>11</v>
      </c>
      <c r="B211">
        <v>105</v>
      </c>
      <c r="C211">
        <v>46347.625</v>
      </c>
      <c r="D211" t="s">
        <v>567</v>
      </c>
      <c r="E211" t="s">
        <v>639</v>
      </c>
      <c r="F211" t="s">
        <v>1615</v>
      </c>
      <c r="G211">
        <v>3</v>
      </c>
      <c r="H211">
        <v>7</v>
      </c>
      <c r="I211">
        <v>8</v>
      </c>
      <c r="J211" s="17"/>
      <c r="K211" s="17"/>
      <c r="L211" s="19" t="str">
        <f t="shared" si="3"/>
        <v/>
      </c>
      <c r="M211" s="17">
        <v>1</v>
      </c>
      <c r="N211" s="17">
        <v>1</v>
      </c>
      <c r="P211" t="s">
        <v>1614</v>
      </c>
    </row>
    <row r="212" spans="1:16">
      <c r="A212">
        <v>11</v>
      </c>
      <c r="B212">
        <v>106</v>
      </c>
      <c r="C212">
        <v>46347.625</v>
      </c>
      <c r="D212" t="s">
        <v>390</v>
      </c>
      <c r="E212" t="s">
        <v>831</v>
      </c>
      <c r="F212" t="s">
        <v>1613</v>
      </c>
      <c r="G212">
        <v>2</v>
      </c>
      <c r="H212">
        <v>5</v>
      </c>
      <c r="I212">
        <v>11</v>
      </c>
      <c r="J212" s="17"/>
      <c r="K212" s="17"/>
      <c r="L212" s="19" t="str">
        <f t="shared" si="3"/>
        <v/>
      </c>
      <c r="M212" s="17">
        <v>1</v>
      </c>
      <c r="N212" s="17">
        <v>1</v>
      </c>
      <c r="P212" t="s">
        <v>1614</v>
      </c>
    </row>
    <row r="213" spans="1:16">
      <c r="A213">
        <v>11</v>
      </c>
      <c r="B213">
        <v>106</v>
      </c>
      <c r="C213">
        <v>46347.625</v>
      </c>
      <c r="D213" t="s">
        <v>831</v>
      </c>
      <c r="E213" t="s">
        <v>390</v>
      </c>
      <c r="F213" t="s">
        <v>1615</v>
      </c>
      <c r="G213">
        <v>2</v>
      </c>
      <c r="H213">
        <v>11</v>
      </c>
      <c r="I213">
        <v>5</v>
      </c>
      <c r="J213" s="17"/>
      <c r="K213" s="17"/>
      <c r="L213" s="19" t="str">
        <f t="shared" si="3"/>
        <v/>
      </c>
      <c r="M213" s="17">
        <v>1</v>
      </c>
      <c r="N213" s="17">
        <v>1</v>
      </c>
      <c r="P213" t="s">
        <v>1614</v>
      </c>
    </row>
    <row r="214" spans="1:16">
      <c r="A214">
        <v>11</v>
      </c>
      <c r="B214">
        <v>107</v>
      </c>
      <c r="C214">
        <v>46347.625</v>
      </c>
      <c r="D214" t="s">
        <v>1199</v>
      </c>
      <c r="E214" t="s">
        <v>1037</v>
      </c>
      <c r="F214" t="s">
        <v>1613</v>
      </c>
      <c r="G214">
        <v>4</v>
      </c>
      <c r="H214">
        <v>16</v>
      </c>
      <c r="I214">
        <v>14</v>
      </c>
      <c r="J214" s="17"/>
      <c r="K214" s="17"/>
      <c r="L214" s="19" t="str">
        <f t="shared" si="3"/>
        <v/>
      </c>
      <c r="M214" s="17">
        <v>1</v>
      </c>
      <c r="N214" s="17">
        <v>1</v>
      </c>
      <c r="P214" t="s">
        <v>1614</v>
      </c>
    </row>
    <row r="215" spans="1:16">
      <c r="A215">
        <v>11</v>
      </c>
      <c r="B215">
        <v>107</v>
      </c>
      <c r="C215">
        <v>46347.625</v>
      </c>
      <c r="D215" t="s">
        <v>1037</v>
      </c>
      <c r="E215" t="s">
        <v>1199</v>
      </c>
      <c r="F215" t="s">
        <v>1615</v>
      </c>
      <c r="G215">
        <v>4</v>
      </c>
      <c r="H215">
        <v>14</v>
      </c>
      <c r="I215">
        <v>16</v>
      </c>
      <c r="J215" s="17"/>
      <c r="K215" s="17"/>
      <c r="L215" s="19" t="str">
        <f t="shared" si="3"/>
        <v/>
      </c>
      <c r="M215" s="17">
        <v>1</v>
      </c>
      <c r="N215" s="17">
        <v>1</v>
      </c>
      <c r="P215" t="s">
        <v>1614</v>
      </c>
    </row>
    <row r="216" spans="1:16">
      <c r="A216">
        <v>11</v>
      </c>
      <c r="B216">
        <v>108</v>
      </c>
      <c r="C216">
        <v>46347.625</v>
      </c>
      <c r="D216" t="s">
        <v>777</v>
      </c>
      <c r="E216" t="s">
        <v>1126</v>
      </c>
      <c r="F216" t="s">
        <v>1613</v>
      </c>
      <c r="G216">
        <v>5</v>
      </c>
      <c r="H216">
        <v>10</v>
      </c>
      <c r="I216">
        <v>15</v>
      </c>
      <c r="J216" s="17"/>
      <c r="K216" s="17"/>
      <c r="L216" s="19" t="str">
        <f t="shared" si="3"/>
        <v/>
      </c>
      <c r="M216" s="17">
        <v>1</v>
      </c>
      <c r="N216" s="17">
        <v>1</v>
      </c>
      <c r="P216" t="s">
        <v>1614</v>
      </c>
    </row>
    <row r="217" spans="1:16">
      <c r="A217">
        <v>11</v>
      </c>
      <c r="B217">
        <v>108</v>
      </c>
      <c r="C217">
        <v>46347.625</v>
      </c>
      <c r="D217" t="s">
        <v>1126</v>
      </c>
      <c r="E217" t="s">
        <v>777</v>
      </c>
      <c r="F217" t="s">
        <v>1615</v>
      </c>
      <c r="G217">
        <v>2</v>
      </c>
      <c r="H217">
        <v>15</v>
      </c>
      <c r="I217">
        <v>10</v>
      </c>
      <c r="J217" s="17"/>
      <c r="K217" s="17"/>
      <c r="L217" s="19" t="str">
        <f t="shared" si="3"/>
        <v/>
      </c>
      <c r="M217" s="17">
        <v>1</v>
      </c>
      <c r="N217" s="17">
        <v>1</v>
      </c>
      <c r="P217" t="s">
        <v>1614</v>
      </c>
    </row>
    <row r="218" spans="1:16">
      <c r="A218">
        <v>11</v>
      </c>
      <c r="B218">
        <v>109</v>
      </c>
      <c r="C218">
        <v>46347.625</v>
      </c>
      <c r="D218" t="s">
        <v>64</v>
      </c>
      <c r="E218" t="s">
        <v>1283</v>
      </c>
      <c r="F218" t="s">
        <v>1613</v>
      </c>
      <c r="G218">
        <v>3</v>
      </c>
      <c r="H218">
        <v>1</v>
      </c>
      <c r="I218">
        <v>17</v>
      </c>
      <c r="J218" s="17"/>
      <c r="K218" s="17"/>
      <c r="L218" s="19" t="str">
        <f t="shared" si="3"/>
        <v/>
      </c>
      <c r="M218" s="17">
        <v>1</v>
      </c>
      <c r="N218" s="17">
        <v>1</v>
      </c>
      <c r="P218" t="s">
        <v>1614</v>
      </c>
    </row>
    <row r="219" spans="1:16">
      <c r="A219">
        <v>11</v>
      </c>
      <c r="B219">
        <v>109</v>
      </c>
      <c r="C219">
        <v>46347.625</v>
      </c>
      <c r="D219" t="s">
        <v>1283</v>
      </c>
      <c r="E219" t="s">
        <v>64</v>
      </c>
      <c r="F219" t="s">
        <v>1615</v>
      </c>
      <c r="G219">
        <v>4</v>
      </c>
      <c r="H219">
        <v>17</v>
      </c>
      <c r="I219">
        <v>1</v>
      </c>
      <c r="J219" s="17"/>
      <c r="K219" s="17"/>
      <c r="L219" s="19" t="str">
        <f t="shared" si="3"/>
        <v/>
      </c>
      <c r="M219" s="17">
        <v>1</v>
      </c>
      <c r="N219" s="17">
        <v>1</v>
      </c>
      <c r="P219" t="s">
        <v>1614</v>
      </c>
    </row>
    <row r="220" spans="1:16">
      <c r="A220">
        <v>11</v>
      </c>
      <c r="B220">
        <v>110</v>
      </c>
      <c r="C220">
        <v>46347.625</v>
      </c>
      <c r="D220" t="s">
        <v>903</v>
      </c>
      <c r="E220" t="s">
        <v>1412</v>
      </c>
      <c r="F220" t="s">
        <v>1613</v>
      </c>
      <c r="G220">
        <v>3</v>
      </c>
      <c r="H220">
        <v>12</v>
      </c>
      <c r="I220">
        <v>19</v>
      </c>
      <c r="J220" s="17"/>
      <c r="K220" s="17"/>
      <c r="L220" s="19" t="str">
        <f t="shared" si="3"/>
        <v/>
      </c>
      <c r="M220" s="17">
        <v>1</v>
      </c>
      <c r="N220" s="17">
        <v>1</v>
      </c>
      <c r="P220" t="s">
        <v>1614</v>
      </c>
    </row>
    <row r="221" spans="1:16">
      <c r="A221">
        <v>11</v>
      </c>
      <c r="B221">
        <v>110</v>
      </c>
      <c r="C221">
        <v>46347.625</v>
      </c>
      <c r="D221" t="s">
        <v>1412</v>
      </c>
      <c r="E221" t="s">
        <v>903</v>
      </c>
      <c r="F221" t="s">
        <v>1615</v>
      </c>
      <c r="G221">
        <v>2</v>
      </c>
      <c r="H221">
        <v>19</v>
      </c>
      <c r="I221">
        <v>12</v>
      </c>
      <c r="J221" s="17"/>
      <c r="K221" s="17"/>
      <c r="L221" s="19" t="str">
        <f t="shared" si="3"/>
        <v/>
      </c>
      <c r="M221" s="17">
        <v>1</v>
      </c>
      <c r="N221" s="17">
        <v>1</v>
      </c>
      <c r="P221" t="s">
        <v>1614</v>
      </c>
    </row>
    <row r="222" spans="1:16">
      <c r="A222">
        <v>12</v>
      </c>
      <c r="B222">
        <v>111</v>
      </c>
      <c r="C222">
        <v>46354.625</v>
      </c>
      <c r="D222" t="s">
        <v>1126</v>
      </c>
      <c r="E222" t="s">
        <v>64</v>
      </c>
      <c r="F222" t="s">
        <v>1613</v>
      </c>
      <c r="G222">
        <v>5</v>
      </c>
      <c r="H222">
        <v>15</v>
      </c>
      <c r="I222">
        <v>1</v>
      </c>
      <c r="J222" s="17"/>
      <c r="K222" s="17"/>
      <c r="L222" s="19" t="str">
        <f t="shared" si="3"/>
        <v/>
      </c>
      <c r="M222" s="17">
        <v>1</v>
      </c>
      <c r="N222" s="17">
        <v>1</v>
      </c>
      <c r="P222" t="s">
        <v>1614</v>
      </c>
    </row>
    <row r="223" spans="1:16">
      <c r="A223">
        <v>12</v>
      </c>
      <c r="B223">
        <v>111</v>
      </c>
      <c r="C223">
        <v>46354.625</v>
      </c>
      <c r="D223" t="s">
        <v>64</v>
      </c>
      <c r="E223" t="s">
        <v>1126</v>
      </c>
      <c r="F223" t="s">
        <v>1615</v>
      </c>
      <c r="G223">
        <v>4</v>
      </c>
      <c r="H223">
        <v>1</v>
      </c>
      <c r="I223">
        <v>15</v>
      </c>
      <c r="J223" s="17"/>
      <c r="K223" s="17"/>
      <c r="L223" s="19" t="str">
        <f t="shared" si="3"/>
        <v/>
      </c>
      <c r="M223" s="17">
        <v>1</v>
      </c>
      <c r="N223" s="17">
        <v>1</v>
      </c>
      <c r="P223" t="s">
        <v>1614</v>
      </c>
    </row>
    <row r="224" spans="1:16">
      <c r="A224">
        <v>12</v>
      </c>
      <c r="B224">
        <v>112</v>
      </c>
      <c r="C224">
        <v>46354.625</v>
      </c>
      <c r="D224" t="s">
        <v>1283</v>
      </c>
      <c r="E224" t="s">
        <v>390</v>
      </c>
      <c r="F224" t="s">
        <v>1613</v>
      </c>
      <c r="G224">
        <v>3</v>
      </c>
      <c r="H224">
        <v>17</v>
      </c>
      <c r="I224">
        <v>5</v>
      </c>
      <c r="J224" s="17"/>
      <c r="K224" s="17"/>
      <c r="L224" s="19" t="str">
        <f t="shared" si="3"/>
        <v/>
      </c>
      <c r="M224" s="17">
        <v>1</v>
      </c>
      <c r="N224" s="17">
        <v>1</v>
      </c>
      <c r="P224" t="s">
        <v>1614</v>
      </c>
    </row>
    <row r="225" spans="1:16">
      <c r="A225">
        <v>12</v>
      </c>
      <c r="B225">
        <v>112</v>
      </c>
      <c r="C225">
        <v>46354.625</v>
      </c>
      <c r="D225" t="s">
        <v>390</v>
      </c>
      <c r="E225" t="s">
        <v>1283</v>
      </c>
      <c r="F225" t="s">
        <v>1615</v>
      </c>
      <c r="G225">
        <v>2</v>
      </c>
      <c r="H225">
        <v>5</v>
      </c>
      <c r="I225">
        <v>17</v>
      </c>
      <c r="J225" s="17"/>
      <c r="K225" s="17"/>
      <c r="L225" s="19" t="str">
        <f t="shared" si="3"/>
        <v/>
      </c>
      <c r="M225" s="17">
        <v>1</v>
      </c>
      <c r="N225" s="17">
        <v>1</v>
      </c>
      <c r="P225" t="s">
        <v>1614</v>
      </c>
    </row>
    <row r="226" spans="1:16">
      <c r="A226">
        <v>12</v>
      </c>
      <c r="B226">
        <v>113</v>
      </c>
      <c r="C226">
        <v>46354.625</v>
      </c>
      <c r="D226" t="s">
        <v>831</v>
      </c>
      <c r="E226" t="s">
        <v>639</v>
      </c>
      <c r="F226" t="s">
        <v>1613</v>
      </c>
      <c r="G226">
        <v>3</v>
      </c>
      <c r="H226">
        <v>11</v>
      </c>
      <c r="I226">
        <v>8</v>
      </c>
      <c r="J226" s="17"/>
      <c r="K226" s="17"/>
      <c r="L226" s="19" t="str">
        <f t="shared" si="3"/>
        <v/>
      </c>
      <c r="M226" s="17">
        <v>1</v>
      </c>
      <c r="N226" s="17">
        <v>1</v>
      </c>
      <c r="P226" t="s">
        <v>1614</v>
      </c>
    </row>
    <row r="227" spans="1:16">
      <c r="A227">
        <v>12</v>
      </c>
      <c r="B227">
        <v>113</v>
      </c>
      <c r="C227">
        <v>46354.625</v>
      </c>
      <c r="D227" t="s">
        <v>639</v>
      </c>
      <c r="E227" t="s">
        <v>831</v>
      </c>
      <c r="F227" t="s">
        <v>1615</v>
      </c>
      <c r="G227">
        <v>2</v>
      </c>
      <c r="H227">
        <v>8</v>
      </c>
      <c r="I227">
        <v>11</v>
      </c>
      <c r="J227" s="17"/>
      <c r="K227" s="17"/>
      <c r="L227" s="19" t="str">
        <f t="shared" si="3"/>
        <v/>
      </c>
      <c r="M227" s="17">
        <v>1</v>
      </c>
      <c r="N227" s="17">
        <v>1</v>
      </c>
      <c r="P227" t="s">
        <v>1614</v>
      </c>
    </row>
    <row r="228" spans="1:16">
      <c r="A228">
        <v>12</v>
      </c>
      <c r="B228">
        <v>114</v>
      </c>
      <c r="C228">
        <v>46354.625</v>
      </c>
      <c r="D228" t="s">
        <v>1037</v>
      </c>
      <c r="E228" t="s">
        <v>714</v>
      </c>
      <c r="F228" t="s">
        <v>1613</v>
      </c>
      <c r="G228">
        <v>3</v>
      </c>
      <c r="H228">
        <v>14</v>
      </c>
      <c r="I228">
        <v>9</v>
      </c>
      <c r="J228" s="17"/>
      <c r="K228" s="17"/>
      <c r="L228" s="19" t="str">
        <f t="shared" si="3"/>
        <v/>
      </c>
      <c r="M228" s="17">
        <v>1</v>
      </c>
      <c r="N228" s="17">
        <v>1</v>
      </c>
      <c r="P228" t="s">
        <v>1614</v>
      </c>
    </row>
    <row r="229" spans="1:16">
      <c r="A229">
        <v>12</v>
      </c>
      <c r="B229">
        <v>114</v>
      </c>
      <c r="C229">
        <v>46354.625</v>
      </c>
      <c r="D229" t="s">
        <v>714</v>
      </c>
      <c r="E229" t="s">
        <v>1037</v>
      </c>
      <c r="F229" t="s">
        <v>1615</v>
      </c>
      <c r="G229">
        <v>4</v>
      </c>
      <c r="H229">
        <v>9</v>
      </c>
      <c r="I229">
        <v>14</v>
      </c>
      <c r="J229" s="17"/>
      <c r="K229" s="17"/>
      <c r="L229" s="19" t="str">
        <f t="shared" si="3"/>
        <v/>
      </c>
      <c r="M229" s="17">
        <v>1</v>
      </c>
      <c r="N229" s="17">
        <v>1</v>
      </c>
      <c r="P229" t="s">
        <v>1614</v>
      </c>
    </row>
    <row r="230" spans="1:16">
      <c r="A230">
        <v>12</v>
      </c>
      <c r="B230">
        <v>115</v>
      </c>
      <c r="C230">
        <v>46354.625</v>
      </c>
      <c r="D230" t="s">
        <v>236</v>
      </c>
      <c r="E230" t="s">
        <v>777</v>
      </c>
      <c r="F230" t="s">
        <v>1613</v>
      </c>
      <c r="G230">
        <v>3</v>
      </c>
      <c r="H230">
        <v>3</v>
      </c>
      <c r="I230">
        <v>10</v>
      </c>
      <c r="J230" s="17"/>
      <c r="K230" s="17"/>
      <c r="L230" s="19" t="str">
        <f t="shared" si="3"/>
        <v/>
      </c>
      <c r="M230" s="17">
        <v>1</v>
      </c>
      <c r="N230" s="17">
        <v>1</v>
      </c>
      <c r="P230" t="s">
        <v>1614</v>
      </c>
    </row>
    <row r="231" spans="1:16">
      <c r="A231">
        <v>12</v>
      </c>
      <c r="B231">
        <v>115</v>
      </c>
      <c r="C231">
        <v>46354.625</v>
      </c>
      <c r="D231" t="s">
        <v>777</v>
      </c>
      <c r="E231" t="s">
        <v>236</v>
      </c>
      <c r="F231" t="s">
        <v>1615</v>
      </c>
      <c r="G231">
        <v>3</v>
      </c>
      <c r="H231">
        <v>10</v>
      </c>
      <c r="I231">
        <v>3</v>
      </c>
      <c r="J231" s="17"/>
      <c r="K231" s="17"/>
      <c r="L231" s="19" t="str">
        <f t="shared" si="3"/>
        <v/>
      </c>
      <c r="M231" s="17">
        <v>1</v>
      </c>
      <c r="N231" s="17">
        <v>1</v>
      </c>
      <c r="P231" t="s">
        <v>1614</v>
      </c>
    </row>
    <row r="232" spans="1:16">
      <c r="A232">
        <v>12</v>
      </c>
      <c r="B232">
        <v>116</v>
      </c>
      <c r="C232">
        <v>46354.625</v>
      </c>
      <c r="D232" t="s">
        <v>153</v>
      </c>
      <c r="E232" t="s">
        <v>903</v>
      </c>
      <c r="F232" t="s">
        <v>1613</v>
      </c>
      <c r="G232">
        <v>2</v>
      </c>
      <c r="H232">
        <v>2</v>
      </c>
      <c r="I232">
        <v>12</v>
      </c>
      <c r="J232" s="17"/>
      <c r="K232" s="17"/>
      <c r="L232" s="19" t="str">
        <f t="shared" si="3"/>
        <v/>
      </c>
      <c r="M232" s="17">
        <v>1</v>
      </c>
      <c r="N232" s="17">
        <v>1</v>
      </c>
      <c r="P232" t="s">
        <v>1614</v>
      </c>
    </row>
    <row r="233" spans="1:16">
      <c r="A233">
        <v>12</v>
      </c>
      <c r="B233">
        <v>116</v>
      </c>
      <c r="C233">
        <v>46354.625</v>
      </c>
      <c r="D233" t="s">
        <v>903</v>
      </c>
      <c r="E233" t="s">
        <v>153</v>
      </c>
      <c r="F233" t="s">
        <v>1615</v>
      </c>
      <c r="G233">
        <v>3</v>
      </c>
      <c r="H233">
        <v>12</v>
      </c>
      <c r="I233">
        <v>2</v>
      </c>
      <c r="J233" s="17"/>
      <c r="K233" s="17"/>
      <c r="L233" s="19" t="str">
        <f t="shared" si="3"/>
        <v/>
      </c>
      <c r="M233" s="17">
        <v>1</v>
      </c>
      <c r="N233" s="17">
        <v>1</v>
      </c>
      <c r="P233" t="s">
        <v>1614</v>
      </c>
    </row>
    <row r="234" spans="1:16">
      <c r="A234">
        <v>12</v>
      </c>
      <c r="B234">
        <v>117</v>
      </c>
      <c r="C234">
        <v>46354.625</v>
      </c>
      <c r="D234" t="s">
        <v>567</v>
      </c>
      <c r="E234" t="s">
        <v>978</v>
      </c>
      <c r="F234" t="s">
        <v>1613</v>
      </c>
      <c r="G234">
        <v>3</v>
      </c>
      <c r="H234">
        <v>7</v>
      </c>
      <c r="I234">
        <v>13</v>
      </c>
      <c r="J234" s="17"/>
      <c r="K234" s="17"/>
      <c r="L234" s="19" t="str">
        <f t="shared" si="3"/>
        <v/>
      </c>
      <c r="M234" s="17">
        <v>1</v>
      </c>
      <c r="N234" s="17">
        <v>1</v>
      </c>
      <c r="P234" t="s">
        <v>1614</v>
      </c>
    </row>
    <row r="235" spans="1:16">
      <c r="A235">
        <v>12</v>
      </c>
      <c r="B235">
        <v>117</v>
      </c>
      <c r="C235">
        <v>46354.625</v>
      </c>
      <c r="D235" t="s">
        <v>978</v>
      </c>
      <c r="E235" t="s">
        <v>567</v>
      </c>
      <c r="F235" t="s">
        <v>1615</v>
      </c>
      <c r="G235">
        <v>2</v>
      </c>
      <c r="H235">
        <v>13</v>
      </c>
      <c r="I235">
        <v>7</v>
      </c>
      <c r="J235" s="17"/>
      <c r="K235" s="17"/>
      <c r="L235" s="19" t="str">
        <f t="shared" si="3"/>
        <v/>
      </c>
      <c r="M235" s="17">
        <v>1</v>
      </c>
      <c r="N235" s="17">
        <v>1</v>
      </c>
      <c r="P235" t="s">
        <v>1614</v>
      </c>
    </row>
    <row r="236" spans="1:16">
      <c r="A236">
        <v>12</v>
      </c>
      <c r="B236">
        <v>118</v>
      </c>
      <c r="C236">
        <v>46354.625</v>
      </c>
      <c r="D236" t="s">
        <v>312</v>
      </c>
      <c r="E236" t="s">
        <v>1199</v>
      </c>
      <c r="F236" t="s">
        <v>1613</v>
      </c>
      <c r="G236">
        <v>4</v>
      </c>
      <c r="H236">
        <v>4</v>
      </c>
      <c r="I236">
        <v>16</v>
      </c>
      <c r="J236" s="17"/>
      <c r="K236" s="17"/>
      <c r="L236" s="19" t="str">
        <f t="shared" si="3"/>
        <v/>
      </c>
      <c r="M236" s="17">
        <v>1</v>
      </c>
      <c r="N236" s="17">
        <v>1</v>
      </c>
      <c r="P236" t="s">
        <v>1614</v>
      </c>
    </row>
    <row r="237" spans="1:16">
      <c r="A237">
        <v>12</v>
      </c>
      <c r="B237">
        <v>118</v>
      </c>
      <c r="C237">
        <v>46354.625</v>
      </c>
      <c r="D237" t="s">
        <v>1199</v>
      </c>
      <c r="E237" t="s">
        <v>312</v>
      </c>
      <c r="F237" t="s">
        <v>1615</v>
      </c>
      <c r="G237">
        <v>3</v>
      </c>
      <c r="H237">
        <v>16</v>
      </c>
      <c r="I237">
        <v>4</v>
      </c>
      <c r="J237" s="17"/>
      <c r="K237" s="17"/>
      <c r="L237" s="19" t="str">
        <f t="shared" si="3"/>
        <v/>
      </c>
      <c r="M237" s="17">
        <v>1</v>
      </c>
      <c r="N237" s="17">
        <v>1</v>
      </c>
      <c r="P237" t="s">
        <v>1614</v>
      </c>
    </row>
    <row r="238" spans="1:16">
      <c r="A238">
        <v>12</v>
      </c>
      <c r="B238">
        <v>119</v>
      </c>
      <c r="C238">
        <v>46354.625</v>
      </c>
      <c r="D238" t="s">
        <v>474</v>
      </c>
      <c r="E238" t="s">
        <v>1354</v>
      </c>
      <c r="F238" t="s">
        <v>1613</v>
      </c>
      <c r="G238">
        <v>3</v>
      </c>
      <c r="H238">
        <v>6</v>
      </c>
      <c r="I238">
        <v>18</v>
      </c>
      <c r="J238" s="17"/>
      <c r="K238" s="17"/>
      <c r="L238" s="19" t="str">
        <f t="shared" si="3"/>
        <v/>
      </c>
      <c r="M238" s="17">
        <v>1</v>
      </c>
      <c r="N238" s="17">
        <v>1</v>
      </c>
      <c r="P238" t="s">
        <v>1614</v>
      </c>
    </row>
    <row r="239" spans="1:16">
      <c r="A239">
        <v>12</v>
      </c>
      <c r="B239">
        <v>119</v>
      </c>
      <c r="C239">
        <v>46354.625</v>
      </c>
      <c r="D239" t="s">
        <v>1354</v>
      </c>
      <c r="E239" t="s">
        <v>474</v>
      </c>
      <c r="F239" t="s">
        <v>1615</v>
      </c>
      <c r="G239">
        <v>4</v>
      </c>
      <c r="H239">
        <v>18</v>
      </c>
      <c r="I239">
        <v>6</v>
      </c>
      <c r="J239" s="17"/>
      <c r="K239" s="17"/>
      <c r="L239" s="19" t="str">
        <f t="shared" si="3"/>
        <v/>
      </c>
      <c r="M239" s="17">
        <v>1</v>
      </c>
      <c r="N239" s="17">
        <v>1</v>
      </c>
      <c r="P239" t="s">
        <v>1614</v>
      </c>
    </row>
    <row r="240" spans="1:16">
      <c r="A240">
        <v>12</v>
      </c>
      <c r="B240">
        <v>120</v>
      </c>
      <c r="C240">
        <v>46354.625</v>
      </c>
      <c r="D240" t="s">
        <v>1412</v>
      </c>
      <c r="E240" t="s">
        <v>1493</v>
      </c>
      <c r="F240" t="s">
        <v>1613</v>
      </c>
      <c r="G240">
        <v>3</v>
      </c>
      <c r="H240">
        <v>19</v>
      </c>
      <c r="I240">
        <v>20</v>
      </c>
      <c r="J240" s="17"/>
      <c r="K240" s="17"/>
      <c r="L240" s="19" t="str">
        <f t="shared" si="3"/>
        <v/>
      </c>
      <c r="M240" s="17">
        <v>1</v>
      </c>
      <c r="N240" s="17">
        <v>1</v>
      </c>
      <c r="P240" t="s">
        <v>1614</v>
      </c>
    </row>
    <row r="241" spans="1:16">
      <c r="A241">
        <v>12</v>
      </c>
      <c r="B241">
        <v>120</v>
      </c>
      <c r="C241">
        <v>46354.625</v>
      </c>
      <c r="D241" t="s">
        <v>1493</v>
      </c>
      <c r="E241" t="s">
        <v>1412</v>
      </c>
      <c r="F241" t="s">
        <v>1615</v>
      </c>
      <c r="G241">
        <v>3</v>
      </c>
      <c r="H241">
        <v>20</v>
      </c>
      <c r="I241">
        <v>19</v>
      </c>
      <c r="J241" s="17"/>
      <c r="K241" s="17"/>
      <c r="L241" s="19" t="str">
        <f t="shared" si="3"/>
        <v/>
      </c>
      <c r="M241" s="17">
        <v>1</v>
      </c>
      <c r="N241" s="17">
        <v>1</v>
      </c>
      <c r="P241" t="s">
        <v>1614</v>
      </c>
    </row>
    <row r="242" spans="1:16">
      <c r="A242">
        <v>13</v>
      </c>
      <c r="B242">
        <v>121</v>
      </c>
      <c r="C242">
        <v>46358.833333333336</v>
      </c>
      <c r="D242" t="s">
        <v>714</v>
      </c>
      <c r="E242" t="s">
        <v>153</v>
      </c>
      <c r="F242" t="s">
        <v>1613</v>
      </c>
      <c r="G242">
        <v>4</v>
      </c>
      <c r="H242">
        <v>9</v>
      </c>
      <c r="I242">
        <v>2</v>
      </c>
      <c r="J242" s="17"/>
      <c r="K242" s="17"/>
      <c r="L242" s="19" t="str">
        <f t="shared" si="3"/>
        <v/>
      </c>
      <c r="M242" s="17">
        <v>1</v>
      </c>
      <c r="N242" s="17">
        <v>1</v>
      </c>
      <c r="P242" t="s">
        <v>1614</v>
      </c>
    </row>
    <row r="243" spans="1:16">
      <c r="A243">
        <v>13</v>
      </c>
      <c r="B243">
        <v>121</v>
      </c>
      <c r="C243">
        <v>46358.833333333336</v>
      </c>
      <c r="D243" t="s">
        <v>153</v>
      </c>
      <c r="E243" t="s">
        <v>714</v>
      </c>
      <c r="F243" t="s">
        <v>1615</v>
      </c>
      <c r="G243">
        <v>3</v>
      </c>
      <c r="H243">
        <v>2</v>
      </c>
      <c r="I243">
        <v>9</v>
      </c>
      <c r="J243" s="17"/>
      <c r="K243" s="17"/>
      <c r="L243" s="19" t="str">
        <f t="shared" si="3"/>
        <v/>
      </c>
      <c r="M243" s="17">
        <v>1</v>
      </c>
      <c r="N243" s="17">
        <v>1</v>
      </c>
      <c r="P243" t="s">
        <v>1614</v>
      </c>
    </row>
    <row r="244" spans="1:16">
      <c r="A244">
        <v>13</v>
      </c>
      <c r="B244">
        <v>122</v>
      </c>
      <c r="C244">
        <v>46358.833333333336</v>
      </c>
      <c r="D244" t="s">
        <v>390</v>
      </c>
      <c r="E244" t="s">
        <v>236</v>
      </c>
      <c r="F244" t="s">
        <v>1613</v>
      </c>
      <c r="G244">
        <v>3</v>
      </c>
      <c r="H244">
        <v>5</v>
      </c>
      <c r="I244">
        <v>3</v>
      </c>
      <c r="J244" s="17"/>
      <c r="K244" s="17"/>
      <c r="L244" s="19" t="str">
        <f t="shared" si="3"/>
        <v/>
      </c>
      <c r="M244" s="17">
        <v>1</v>
      </c>
      <c r="N244" s="17">
        <v>1</v>
      </c>
      <c r="P244" t="s">
        <v>1614</v>
      </c>
    </row>
    <row r="245" spans="1:16">
      <c r="A245">
        <v>13</v>
      </c>
      <c r="B245">
        <v>122</v>
      </c>
      <c r="C245">
        <v>46358.833333333336</v>
      </c>
      <c r="D245" t="s">
        <v>236</v>
      </c>
      <c r="E245" t="s">
        <v>390</v>
      </c>
      <c r="F245" t="s">
        <v>1615</v>
      </c>
      <c r="G245">
        <v>2</v>
      </c>
      <c r="H245">
        <v>3</v>
      </c>
      <c r="I245">
        <v>5</v>
      </c>
      <c r="J245" s="17"/>
      <c r="K245" s="17"/>
      <c r="L245" s="19" t="str">
        <f t="shared" si="3"/>
        <v/>
      </c>
      <c r="M245" s="17">
        <v>1</v>
      </c>
      <c r="N245" s="17">
        <v>1</v>
      </c>
      <c r="P245" t="s">
        <v>1614</v>
      </c>
    </row>
    <row r="246" spans="1:16">
      <c r="A246">
        <v>13</v>
      </c>
      <c r="B246">
        <v>123</v>
      </c>
      <c r="C246">
        <v>46358.833333333336</v>
      </c>
      <c r="D246" t="s">
        <v>64</v>
      </c>
      <c r="E246" t="s">
        <v>312</v>
      </c>
      <c r="F246" t="s">
        <v>1613</v>
      </c>
      <c r="G246">
        <v>3</v>
      </c>
      <c r="H246">
        <v>1</v>
      </c>
      <c r="I246">
        <v>4</v>
      </c>
      <c r="J246" s="17"/>
      <c r="K246" s="17"/>
      <c r="L246" s="19" t="str">
        <f t="shared" si="3"/>
        <v/>
      </c>
      <c r="M246" s="17">
        <v>1</v>
      </c>
      <c r="N246" s="17">
        <v>1</v>
      </c>
      <c r="P246" t="s">
        <v>1614</v>
      </c>
    </row>
    <row r="247" spans="1:16">
      <c r="A247">
        <v>13</v>
      </c>
      <c r="B247">
        <v>123</v>
      </c>
      <c r="C247">
        <v>46358.833333333336</v>
      </c>
      <c r="D247" t="s">
        <v>312</v>
      </c>
      <c r="E247" t="s">
        <v>64</v>
      </c>
      <c r="F247" t="s">
        <v>1615</v>
      </c>
      <c r="G247">
        <v>4</v>
      </c>
      <c r="H247">
        <v>4</v>
      </c>
      <c r="I247">
        <v>1</v>
      </c>
      <c r="J247" s="17"/>
      <c r="K247" s="17"/>
      <c r="L247" s="19" t="str">
        <f t="shared" si="3"/>
        <v/>
      </c>
      <c r="M247" s="17">
        <v>1</v>
      </c>
      <c r="N247" s="17">
        <v>1</v>
      </c>
      <c r="P247" t="s">
        <v>1614</v>
      </c>
    </row>
    <row r="248" spans="1:16">
      <c r="A248">
        <v>13</v>
      </c>
      <c r="B248">
        <v>124</v>
      </c>
      <c r="C248">
        <v>46358.833333333336</v>
      </c>
      <c r="D248" t="s">
        <v>639</v>
      </c>
      <c r="E248" t="s">
        <v>474</v>
      </c>
      <c r="F248" t="s">
        <v>1613</v>
      </c>
      <c r="G248">
        <v>4</v>
      </c>
      <c r="H248">
        <v>8</v>
      </c>
      <c r="I248">
        <v>6</v>
      </c>
      <c r="J248" s="17"/>
      <c r="K248" s="17"/>
      <c r="L248" s="19" t="str">
        <f t="shared" si="3"/>
        <v/>
      </c>
      <c r="M248" s="17">
        <v>1</v>
      </c>
      <c r="N248" s="17">
        <v>1</v>
      </c>
      <c r="P248" t="s">
        <v>1614</v>
      </c>
    </row>
    <row r="249" spans="1:16">
      <c r="A249">
        <v>13</v>
      </c>
      <c r="B249">
        <v>124</v>
      </c>
      <c r="C249">
        <v>46358.833333333336</v>
      </c>
      <c r="D249" t="s">
        <v>474</v>
      </c>
      <c r="E249" t="s">
        <v>639</v>
      </c>
      <c r="F249" t="s">
        <v>1615</v>
      </c>
      <c r="G249">
        <v>3</v>
      </c>
      <c r="H249">
        <v>6</v>
      </c>
      <c r="I249">
        <v>8</v>
      </c>
      <c r="J249" s="17"/>
      <c r="K249" s="17"/>
      <c r="L249" s="19" t="str">
        <f t="shared" si="3"/>
        <v/>
      </c>
      <c r="M249" s="17">
        <v>1</v>
      </c>
      <c r="N249" s="17">
        <v>1</v>
      </c>
      <c r="P249" t="s">
        <v>1614</v>
      </c>
    </row>
    <row r="250" spans="1:16">
      <c r="A250">
        <v>13</v>
      </c>
      <c r="B250">
        <v>125</v>
      </c>
      <c r="C250">
        <v>46358.833333333336</v>
      </c>
      <c r="D250" t="s">
        <v>903</v>
      </c>
      <c r="E250" t="s">
        <v>567</v>
      </c>
      <c r="F250" t="s">
        <v>1613</v>
      </c>
      <c r="G250">
        <v>2</v>
      </c>
      <c r="H250">
        <v>12</v>
      </c>
      <c r="I250">
        <v>7</v>
      </c>
      <c r="J250" s="17"/>
      <c r="K250" s="17"/>
      <c r="L250" s="19" t="str">
        <f t="shared" si="3"/>
        <v/>
      </c>
      <c r="M250" s="17">
        <v>1</v>
      </c>
      <c r="N250" s="17">
        <v>1</v>
      </c>
      <c r="P250" t="s">
        <v>1614</v>
      </c>
    </row>
    <row r="251" spans="1:16">
      <c r="A251">
        <v>13</v>
      </c>
      <c r="B251">
        <v>125</v>
      </c>
      <c r="C251">
        <v>46358.833333333336</v>
      </c>
      <c r="D251" t="s">
        <v>567</v>
      </c>
      <c r="E251" t="s">
        <v>903</v>
      </c>
      <c r="F251" t="s">
        <v>1615</v>
      </c>
      <c r="G251">
        <v>2</v>
      </c>
      <c r="H251">
        <v>7</v>
      </c>
      <c r="I251">
        <v>12</v>
      </c>
      <c r="J251" s="17"/>
      <c r="K251" s="17"/>
      <c r="L251" s="19" t="str">
        <f t="shared" si="3"/>
        <v/>
      </c>
      <c r="M251" s="17">
        <v>1</v>
      </c>
      <c r="N251" s="17">
        <v>1</v>
      </c>
      <c r="P251" t="s">
        <v>1614</v>
      </c>
    </row>
    <row r="252" spans="1:16">
      <c r="A252">
        <v>13</v>
      </c>
      <c r="B252">
        <v>126</v>
      </c>
      <c r="C252">
        <v>46358.833333333336</v>
      </c>
      <c r="D252" t="s">
        <v>1354</v>
      </c>
      <c r="E252" t="s">
        <v>831</v>
      </c>
      <c r="F252" t="s">
        <v>1613</v>
      </c>
      <c r="G252">
        <v>2</v>
      </c>
      <c r="H252">
        <v>18</v>
      </c>
      <c r="I252">
        <v>11</v>
      </c>
      <c r="J252" s="17"/>
      <c r="K252" s="17"/>
      <c r="L252" s="19" t="str">
        <f t="shared" si="3"/>
        <v/>
      </c>
      <c r="M252" s="17">
        <v>1</v>
      </c>
      <c r="N252" s="17">
        <v>1</v>
      </c>
      <c r="P252" t="s">
        <v>1614</v>
      </c>
    </row>
    <row r="253" spans="1:16">
      <c r="A253">
        <v>13</v>
      </c>
      <c r="B253">
        <v>126</v>
      </c>
      <c r="C253">
        <v>46358.833333333336</v>
      </c>
      <c r="D253" t="s">
        <v>831</v>
      </c>
      <c r="E253" t="s">
        <v>1354</v>
      </c>
      <c r="F253" t="s">
        <v>1615</v>
      </c>
      <c r="G253">
        <v>3</v>
      </c>
      <c r="H253">
        <v>11</v>
      </c>
      <c r="I253">
        <v>18</v>
      </c>
      <c r="J253" s="17"/>
      <c r="K253" s="17"/>
      <c r="L253" s="19" t="str">
        <f t="shared" si="3"/>
        <v/>
      </c>
      <c r="M253" s="17">
        <v>1</v>
      </c>
      <c r="N253" s="17">
        <v>1</v>
      </c>
      <c r="P253" t="s">
        <v>1614</v>
      </c>
    </row>
    <row r="254" spans="1:16">
      <c r="A254">
        <v>13</v>
      </c>
      <c r="B254">
        <v>127</v>
      </c>
      <c r="C254">
        <v>46358.833333333336</v>
      </c>
      <c r="D254" t="s">
        <v>1493</v>
      </c>
      <c r="E254" t="s">
        <v>1037</v>
      </c>
      <c r="F254" t="s">
        <v>1613</v>
      </c>
      <c r="G254">
        <v>4</v>
      </c>
      <c r="H254">
        <v>20</v>
      </c>
      <c r="I254">
        <v>14</v>
      </c>
      <c r="J254" s="17"/>
      <c r="K254" s="17"/>
      <c r="L254" s="19" t="str">
        <f t="shared" si="3"/>
        <v/>
      </c>
      <c r="M254" s="17">
        <v>1</v>
      </c>
      <c r="N254" s="17">
        <v>1</v>
      </c>
      <c r="P254" t="s">
        <v>1614</v>
      </c>
    </row>
    <row r="255" spans="1:16">
      <c r="A255">
        <v>13</v>
      </c>
      <c r="B255">
        <v>127</v>
      </c>
      <c r="C255">
        <v>46358.833333333336</v>
      </c>
      <c r="D255" t="s">
        <v>1037</v>
      </c>
      <c r="E255" t="s">
        <v>1493</v>
      </c>
      <c r="F255" t="s">
        <v>1615</v>
      </c>
      <c r="G255">
        <v>2</v>
      </c>
      <c r="H255">
        <v>14</v>
      </c>
      <c r="I255">
        <v>20</v>
      </c>
      <c r="J255" s="17"/>
      <c r="K255" s="17"/>
      <c r="L255" s="19" t="str">
        <f t="shared" si="3"/>
        <v/>
      </c>
      <c r="M255" s="17">
        <v>1</v>
      </c>
      <c r="N255" s="17">
        <v>1</v>
      </c>
      <c r="P255" t="s">
        <v>1614</v>
      </c>
    </row>
    <row r="256" spans="1:16">
      <c r="A256">
        <v>13</v>
      </c>
      <c r="B256">
        <v>128</v>
      </c>
      <c r="C256">
        <v>46358.833333333336</v>
      </c>
      <c r="D256" t="s">
        <v>978</v>
      </c>
      <c r="E256" t="s">
        <v>1126</v>
      </c>
      <c r="F256" t="s">
        <v>1613</v>
      </c>
      <c r="G256">
        <v>5</v>
      </c>
      <c r="H256">
        <v>13</v>
      </c>
      <c r="I256">
        <v>15</v>
      </c>
      <c r="J256" s="17"/>
      <c r="K256" s="17"/>
      <c r="L256" s="19" t="str">
        <f t="shared" si="3"/>
        <v/>
      </c>
      <c r="M256" s="17">
        <v>1</v>
      </c>
      <c r="N256" s="17">
        <v>1</v>
      </c>
      <c r="P256" t="s">
        <v>1614</v>
      </c>
    </row>
    <row r="257" spans="1:16">
      <c r="A257">
        <v>13</v>
      </c>
      <c r="B257">
        <v>128</v>
      </c>
      <c r="C257">
        <v>46358.833333333336</v>
      </c>
      <c r="D257" t="s">
        <v>1126</v>
      </c>
      <c r="E257" t="s">
        <v>978</v>
      </c>
      <c r="F257" t="s">
        <v>1615</v>
      </c>
      <c r="G257">
        <v>2</v>
      </c>
      <c r="H257">
        <v>15</v>
      </c>
      <c r="I257">
        <v>13</v>
      </c>
      <c r="J257" s="17"/>
      <c r="K257" s="17"/>
      <c r="L257" s="19" t="str">
        <f t="shared" si="3"/>
        <v/>
      </c>
      <c r="M257" s="17">
        <v>1</v>
      </c>
      <c r="N257" s="17">
        <v>1</v>
      </c>
      <c r="P257" t="s">
        <v>1614</v>
      </c>
    </row>
    <row r="258" spans="1:16">
      <c r="A258">
        <v>13</v>
      </c>
      <c r="B258">
        <v>129</v>
      </c>
      <c r="C258">
        <v>46358.833333333336</v>
      </c>
      <c r="D258" t="s">
        <v>1199</v>
      </c>
      <c r="E258" t="s">
        <v>1283</v>
      </c>
      <c r="F258" t="s">
        <v>1613</v>
      </c>
      <c r="G258">
        <v>3</v>
      </c>
      <c r="H258">
        <v>16</v>
      </c>
      <c r="I258">
        <v>17</v>
      </c>
      <c r="J258" s="17"/>
      <c r="K258" s="17"/>
      <c r="L258" s="19" t="str">
        <f t="shared" ref="L258:L321" si="4">IF(K258="","",EXP(-K258))</f>
        <v/>
      </c>
      <c r="M258" s="17">
        <v>1</v>
      </c>
      <c r="N258" s="17">
        <v>1</v>
      </c>
      <c r="P258" t="s">
        <v>1614</v>
      </c>
    </row>
    <row r="259" spans="1:16">
      <c r="A259">
        <v>13</v>
      </c>
      <c r="B259">
        <v>129</v>
      </c>
      <c r="C259">
        <v>46358.833333333336</v>
      </c>
      <c r="D259" t="s">
        <v>1283</v>
      </c>
      <c r="E259" t="s">
        <v>1199</v>
      </c>
      <c r="F259" t="s">
        <v>1615</v>
      </c>
      <c r="G259">
        <v>4</v>
      </c>
      <c r="H259">
        <v>17</v>
      </c>
      <c r="I259">
        <v>16</v>
      </c>
      <c r="J259" s="17"/>
      <c r="K259" s="17"/>
      <c r="L259" s="19" t="str">
        <f t="shared" si="4"/>
        <v/>
      </c>
      <c r="M259" s="17">
        <v>1</v>
      </c>
      <c r="N259" s="17">
        <v>1</v>
      </c>
      <c r="P259" t="s">
        <v>1614</v>
      </c>
    </row>
    <row r="260" spans="1:16">
      <c r="A260">
        <v>13</v>
      </c>
      <c r="B260">
        <v>130</v>
      </c>
      <c r="C260">
        <v>46358.833333333336</v>
      </c>
      <c r="D260" t="s">
        <v>777</v>
      </c>
      <c r="E260" t="s">
        <v>1412</v>
      </c>
      <c r="F260" t="s">
        <v>1613</v>
      </c>
      <c r="G260">
        <v>3</v>
      </c>
      <c r="H260">
        <v>10</v>
      </c>
      <c r="I260">
        <v>19</v>
      </c>
      <c r="J260" s="17"/>
      <c r="K260" s="17"/>
      <c r="L260" s="19" t="str">
        <f t="shared" si="4"/>
        <v/>
      </c>
      <c r="M260" s="17">
        <v>1</v>
      </c>
      <c r="N260" s="17">
        <v>1</v>
      </c>
      <c r="P260" t="s">
        <v>1614</v>
      </c>
    </row>
    <row r="261" spans="1:16">
      <c r="A261">
        <v>13</v>
      </c>
      <c r="B261">
        <v>130</v>
      </c>
      <c r="C261">
        <v>46358.833333333336</v>
      </c>
      <c r="D261" t="s">
        <v>1412</v>
      </c>
      <c r="E261" t="s">
        <v>777</v>
      </c>
      <c r="F261" t="s">
        <v>1615</v>
      </c>
      <c r="G261">
        <v>2</v>
      </c>
      <c r="H261">
        <v>19</v>
      </c>
      <c r="I261">
        <v>10</v>
      </c>
      <c r="J261" s="17"/>
      <c r="K261" s="17"/>
      <c r="L261" s="19" t="str">
        <f t="shared" si="4"/>
        <v/>
      </c>
      <c r="M261" s="17">
        <v>1</v>
      </c>
      <c r="N261" s="17">
        <v>1</v>
      </c>
      <c r="P261" t="s">
        <v>1614</v>
      </c>
    </row>
    <row r="262" spans="1:16">
      <c r="A262">
        <v>14</v>
      </c>
      <c r="B262">
        <v>131</v>
      </c>
      <c r="C262">
        <v>46361.625</v>
      </c>
      <c r="D262" t="s">
        <v>639</v>
      </c>
      <c r="E262" t="s">
        <v>153</v>
      </c>
      <c r="F262" t="s">
        <v>1613</v>
      </c>
      <c r="G262">
        <v>4</v>
      </c>
      <c r="H262">
        <v>8</v>
      </c>
      <c r="I262">
        <v>2</v>
      </c>
      <c r="J262" s="17"/>
      <c r="K262" s="17"/>
      <c r="L262" s="19" t="str">
        <f t="shared" si="4"/>
        <v/>
      </c>
      <c r="M262" s="17">
        <v>1</v>
      </c>
      <c r="N262" s="17">
        <v>1</v>
      </c>
      <c r="P262" t="s">
        <v>1614</v>
      </c>
    </row>
    <row r="263" spans="1:16">
      <c r="A263">
        <v>14</v>
      </c>
      <c r="B263">
        <v>131</v>
      </c>
      <c r="C263">
        <v>46361.625</v>
      </c>
      <c r="D263" t="s">
        <v>153</v>
      </c>
      <c r="E263" t="s">
        <v>639</v>
      </c>
      <c r="F263" t="s">
        <v>1615</v>
      </c>
      <c r="G263">
        <v>3</v>
      </c>
      <c r="H263">
        <v>2</v>
      </c>
      <c r="I263">
        <v>8</v>
      </c>
      <c r="J263" s="17"/>
      <c r="K263" s="17"/>
      <c r="L263" s="19" t="str">
        <f t="shared" si="4"/>
        <v/>
      </c>
      <c r="M263" s="17">
        <v>1</v>
      </c>
      <c r="N263" s="17">
        <v>1</v>
      </c>
      <c r="P263" t="s">
        <v>1614</v>
      </c>
    </row>
    <row r="264" spans="1:16">
      <c r="A264">
        <v>14</v>
      </c>
      <c r="B264">
        <v>132</v>
      </c>
      <c r="C264">
        <v>46361.625</v>
      </c>
      <c r="D264" t="s">
        <v>831</v>
      </c>
      <c r="E264" t="s">
        <v>236</v>
      </c>
      <c r="F264" t="s">
        <v>1613</v>
      </c>
      <c r="G264">
        <v>3</v>
      </c>
      <c r="H264">
        <v>11</v>
      </c>
      <c r="I264">
        <v>3</v>
      </c>
      <c r="J264" s="17"/>
      <c r="K264" s="17"/>
      <c r="L264" s="19" t="str">
        <f t="shared" si="4"/>
        <v/>
      </c>
      <c r="M264" s="17">
        <v>1</v>
      </c>
      <c r="N264" s="17">
        <v>1</v>
      </c>
      <c r="P264" t="s">
        <v>1614</v>
      </c>
    </row>
    <row r="265" spans="1:16">
      <c r="A265">
        <v>14</v>
      </c>
      <c r="B265">
        <v>132</v>
      </c>
      <c r="C265">
        <v>46361.625</v>
      </c>
      <c r="D265" t="s">
        <v>236</v>
      </c>
      <c r="E265" t="s">
        <v>831</v>
      </c>
      <c r="F265" t="s">
        <v>1615</v>
      </c>
      <c r="G265">
        <v>2</v>
      </c>
      <c r="H265">
        <v>3</v>
      </c>
      <c r="I265">
        <v>11</v>
      </c>
      <c r="J265" s="17"/>
      <c r="K265" s="17"/>
      <c r="L265" s="19" t="str">
        <f t="shared" si="4"/>
        <v/>
      </c>
      <c r="M265" s="17">
        <v>1</v>
      </c>
      <c r="N265" s="17">
        <v>1</v>
      </c>
      <c r="P265" t="s">
        <v>1614</v>
      </c>
    </row>
    <row r="266" spans="1:16">
      <c r="A266">
        <v>14</v>
      </c>
      <c r="B266">
        <v>133</v>
      </c>
      <c r="C266">
        <v>46361.625</v>
      </c>
      <c r="D266" t="s">
        <v>1126</v>
      </c>
      <c r="E266" t="s">
        <v>312</v>
      </c>
      <c r="F266" t="s">
        <v>1613</v>
      </c>
      <c r="G266">
        <v>3</v>
      </c>
      <c r="H266">
        <v>15</v>
      </c>
      <c r="I266">
        <v>4</v>
      </c>
      <c r="J266" s="17"/>
      <c r="K266" s="17"/>
      <c r="L266" s="19" t="str">
        <f t="shared" si="4"/>
        <v/>
      </c>
      <c r="M266" s="17">
        <v>1</v>
      </c>
      <c r="N266" s="17">
        <v>1</v>
      </c>
      <c r="P266" t="s">
        <v>1614</v>
      </c>
    </row>
    <row r="267" spans="1:16">
      <c r="A267">
        <v>14</v>
      </c>
      <c r="B267">
        <v>133</v>
      </c>
      <c r="C267">
        <v>46361.625</v>
      </c>
      <c r="D267" t="s">
        <v>312</v>
      </c>
      <c r="E267" t="s">
        <v>1126</v>
      </c>
      <c r="F267" t="s">
        <v>1615</v>
      </c>
      <c r="G267">
        <v>4</v>
      </c>
      <c r="H267">
        <v>4</v>
      </c>
      <c r="I267">
        <v>15</v>
      </c>
      <c r="J267" s="17"/>
      <c r="K267" s="17"/>
      <c r="L267" s="19" t="str">
        <f t="shared" si="4"/>
        <v/>
      </c>
      <c r="M267" s="17">
        <v>1</v>
      </c>
      <c r="N267" s="17">
        <v>1</v>
      </c>
      <c r="P267" t="s">
        <v>1614</v>
      </c>
    </row>
    <row r="268" spans="1:16">
      <c r="A268">
        <v>14</v>
      </c>
      <c r="B268">
        <v>134</v>
      </c>
      <c r="C268">
        <v>46361.625</v>
      </c>
      <c r="D268" t="s">
        <v>1037</v>
      </c>
      <c r="E268" t="s">
        <v>474</v>
      </c>
      <c r="F268" t="s">
        <v>1613</v>
      </c>
      <c r="G268">
        <v>4</v>
      </c>
      <c r="H268">
        <v>14</v>
      </c>
      <c r="I268">
        <v>6</v>
      </c>
      <c r="J268" s="17"/>
      <c r="K268" s="17"/>
      <c r="L268" s="19" t="str">
        <f t="shared" si="4"/>
        <v/>
      </c>
      <c r="M268" s="17">
        <v>1</v>
      </c>
      <c r="N268" s="17">
        <v>1</v>
      </c>
      <c r="P268" t="s">
        <v>1614</v>
      </c>
    </row>
    <row r="269" spans="1:16">
      <c r="A269">
        <v>14</v>
      </c>
      <c r="B269">
        <v>134</v>
      </c>
      <c r="C269">
        <v>46361.625</v>
      </c>
      <c r="D269" t="s">
        <v>474</v>
      </c>
      <c r="E269" t="s">
        <v>1037</v>
      </c>
      <c r="F269" t="s">
        <v>1615</v>
      </c>
      <c r="G269">
        <v>4</v>
      </c>
      <c r="H269">
        <v>6</v>
      </c>
      <c r="I269">
        <v>14</v>
      </c>
      <c r="J269" s="17"/>
      <c r="K269" s="17"/>
      <c r="L269" s="19" t="str">
        <f t="shared" si="4"/>
        <v/>
      </c>
      <c r="M269" s="17">
        <v>1</v>
      </c>
      <c r="N269" s="17">
        <v>1</v>
      </c>
      <c r="P269" t="s">
        <v>1614</v>
      </c>
    </row>
    <row r="270" spans="1:16">
      <c r="A270">
        <v>14</v>
      </c>
      <c r="B270">
        <v>135</v>
      </c>
      <c r="C270">
        <v>46361.625</v>
      </c>
      <c r="D270" t="s">
        <v>777</v>
      </c>
      <c r="E270" t="s">
        <v>714</v>
      </c>
      <c r="F270" t="s">
        <v>1613</v>
      </c>
      <c r="G270">
        <v>3</v>
      </c>
      <c r="H270">
        <v>10</v>
      </c>
      <c r="I270">
        <v>9</v>
      </c>
      <c r="J270" s="17"/>
      <c r="K270" s="17"/>
      <c r="L270" s="19" t="str">
        <f t="shared" si="4"/>
        <v/>
      </c>
      <c r="M270" s="17">
        <v>1</v>
      </c>
      <c r="N270" s="17">
        <v>1</v>
      </c>
      <c r="P270" t="s">
        <v>1614</v>
      </c>
    </row>
    <row r="271" spans="1:16">
      <c r="A271">
        <v>14</v>
      </c>
      <c r="B271">
        <v>135</v>
      </c>
      <c r="C271">
        <v>46361.625</v>
      </c>
      <c r="D271" t="s">
        <v>714</v>
      </c>
      <c r="E271" t="s">
        <v>777</v>
      </c>
      <c r="F271" t="s">
        <v>1615</v>
      </c>
      <c r="G271">
        <v>2</v>
      </c>
      <c r="H271">
        <v>9</v>
      </c>
      <c r="I271">
        <v>10</v>
      </c>
      <c r="J271" s="17"/>
      <c r="K271" s="17"/>
      <c r="L271" s="19" t="str">
        <f t="shared" si="4"/>
        <v/>
      </c>
      <c r="M271" s="17">
        <v>1</v>
      </c>
      <c r="N271" s="17">
        <v>1</v>
      </c>
      <c r="P271" t="s">
        <v>1614</v>
      </c>
    </row>
    <row r="272" spans="1:16">
      <c r="A272">
        <v>14</v>
      </c>
      <c r="B272">
        <v>136</v>
      </c>
      <c r="C272">
        <v>46361.625</v>
      </c>
      <c r="D272" t="s">
        <v>903</v>
      </c>
      <c r="E272" t="s">
        <v>978</v>
      </c>
      <c r="F272" t="s">
        <v>1613</v>
      </c>
      <c r="G272">
        <v>3</v>
      </c>
      <c r="H272">
        <v>12</v>
      </c>
      <c r="I272">
        <v>13</v>
      </c>
      <c r="J272" s="17"/>
      <c r="K272" s="17"/>
      <c r="L272" s="19" t="str">
        <f t="shared" si="4"/>
        <v/>
      </c>
      <c r="M272" s="17">
        <v>1</v>
      </c>
      <c r="N272" s="17">
        <v>1</v>
      </c>
      <c r="P272" t="s">
        <v>1614</v>
      </c>
    </row>
    <row r="273" spans="1:16">
      <c r="A273">
        <v>14</v>
      </c>
      <c r="B273">
        <v>136</v>
      </c>
      <c r="C273">
        <v>46361.625</v>
      </c>
      <c r="D273" t="s">
        <v>978</v>
      </c>
      <c r="E273" t="s">
        <v>903</v>
      </c>
      <c r="F273" t="s">
        <v>1615</v>
      </c>
      <c r="G273">
        <v>2</v>
      </c>
      <c r="H273">
        <v>13</v>
      </c>
      <c r="I273">
        <v>12</v>
      </c>
      <c r="J273" s="17"/>
      <c r="K273" s="17"/>
      <c r="L273" s="19" t="str">
        <f t="shared" si="4"/>
        <v/>
      </c>
      <c r="M273" s="17">
        <v>1</v>
      </c>
      <c r="N273" s="17">
        <v>1</v>
      </c>
      <c r="P273" t="s">
        <v>1614</v>
      </c>
    </row>
    <row r="274" spans="1:16">
      <c r="A274">
        <v>14</v>
      </c>
      <c r="B274">
        <v>137</v>
      </c>
      <c r="C274">
        <v>46361.625</v>
      </c>
      <c r="D274" t="s">
        <v>567</v>
      </c>
      <c r="E274" t="s">
        <v>1199</v>
      </c>
      <c r="F274" t="s">
        <v>1613</v>
      </c>
      <c r="G274">
        <v>4</v>
      </c>
      <c r="H274">
        <v>7</v>
      </c>
      <c r="I274">
        <v>16</v>
      </c>
      <c r="J274" s="17"/>
      <c r="K274" s="17"/>
      <c r="L274" s="19" t="str">
        <f t="shared" si="4"/>
        <v/>
      </c>
      <c r="M274" s="17">
        <v>1</v>
      </c>
      <c r="N274" s="17">
        <v>1</v>
      </c>
      <c r="P274" t="s">
        <v>1614</v>
      </c>
    </row>
    <row r="275" spans="1:16">
      <c r="A275">
        <v>14</v>
      </c>
      <c r="B275">
        <v>137</v>
      </c>
      <c r="C275">
        <v>46361.625</v>
      </c>
      <c r="D275" t="s">
        <v>1199</v>
      </c>
      <c r="E275" t="s">
        <v>567</v>
      </c>
      <c r="F275" t="s">
        <v>1615</v>
      </c>
      <c r="G275">
        <v>2</v>
      </c>
      <c r="H275">
        <v>16</v>
      </c>
      <c r="I275">
        <v>7</v>
      </c>
      <c r="J275" s="17"/>
      <c r="K275" s="17"/>
      <c r="L275" s="19" t="str">
        <f t="shared" si="4"/>
        <v/>
      </c>
      <c r="M275" s="17">
        <v>1</v>
      </c>
      <c r="N275" s="17">
        <v>1</v>
      </c>
      <c r="P275" t="s">
        <v>1614</v>
      </c>
    </row>
    <row r="276" spans="1:16">
      <c r="A276">
        <v>14</v>
      </c>
      <c r="B276">
        <v>138</v>
      </c>
      <c r="C276">
        <v>46361.625</v>
      </c>
      <c r="D276" t="s">
        <v>1493</v>
      </c>
      <c r="E276" t="s">
        <v>1283</v>
      </c>
      <c r="F276" t="s">
        <v>1613</v>
      </c>
      <c r="G276">
        <v>3</v>
      </c>
      <c r="H276">
        <v>20</v>
      </c>
      <c r="I276">
        <v>17</v>
      </c>
      <c r="J276" s="17"/>
      <c r="K276" s="17"/>
      <c r="L276" s="19" t="str">
        <f t="shared" si="4"/>
        <v/>
      </c>
      <c r="M276" s="17">
        <v>1</v>
      </c>
      <c r="N276" s="17">
        <v>1</v>
      </c>
      <c r="P276" t="s">
        <v>1614</v>
      </c>
    </row>
    <row r="277" spans="1:16">
      <c r="A277">
        <v>14</v>
      </c>
      <c r="B277">
        <v>138</v>
      </c>
      <c r="C277">
        <v>46361.625</v>
      </c>
      <c r="D277" t="s">
        <v>1283</v>
      </c>
      <c r="E277" t="s">
        <v>1493</v>
      </c>
      <c r="F277" t="s">
        <v>1615</v>
      </c>
      <c r="G277">
        <v>2</v>
      </c>
      <c r="H277">
        <v>17</v>
      </c>
      <c r="I277">
        <v>20</v>
      </c>
      <c r="J277" s="17"/>
      <c r="K277" s="17"/>
      <c r="L277" s="19" t="str">
        <f t="shared" si="4"/>
        <v/>
      </c>
      <c r="M277" s="17">
        <v>1</v>
      </c>
      <c r="N277" s="17">
        <v>1</v>
      </c>
      <c r="P277" t="s">
        <v>1614</v>
      </c>
    </row>
    <row r="278" spans="1:16">
      <c r="A278">
        <v>14</v>
      </c>
      <c r="B278">
        <v>139</v>
      </c>
      <c r="C278">
        <v>46361.625</v>
      </c>
      <c r="D278" t="s">
        <v>390</v>
      </c>
      <c r="E278" t="s">
        <v>1354</v>
      </c>
      <c r="F278" t="s">
        <v>1613</v>
      </c>
      <c r="G278">
        <v>3</v>
      </c>
      <c r="H278">
        <v>5</v>
      </c>
      <c r="I278">
        <v>18</v>
      </c>
      <c r="J278" s="17"/>
      <c r="K278" s="17"/>
      <c r="L278" s="19" t="str">
        <f t="shared" si="4"/>
        <v/>
      </c>
      <c r="M278" s="17">
        <v>1</v>
      </c>
      <c r="N278" s="17">
        <v>1</v>
      </c>
      <c r="P278" t="s">
        <v>1614</v>
      </c>
    </row>
    <row r="279" spans="1:16">
      <c r="A279">
        <v>14</v>
      </c>
      <c r="B279">
        <v>139</v>
      </c>
      <c r="C279">
        <v>46361.625</v>
      </c>
      <c r="D279" t="s">
        <v>1354</v>
      </c>
      <c r="E279" t="s">
        <v>390</v>
      </c>
      <c r="F279" t="s">
        <v>1615</v>
      </c>
      <c r="G279">
        <v>2</v>
      </c>
      <c r="H279">
        <v>18</v>
      </c>
      <c r="I279">
        <v>5</v>
      </c>
      <c r="J279" s="17"/>
      <c r="K279" s="17"/>
      <c r="L279" s="19" t="str">
        <f t="shared" si="4"/>
        <v/>
      </c>
      <c r="M279" s="17">
        <v>1</v>
      </c>
      <c r="N279" s="17">
        <v>1</v>
      </c>
      <c r="P279" t="s">
        <v>1614</v>
      </c>
    </row>
    <row r="280" spans="1:16">
      <c r="A280">
        <v>14</v>
      </c>
      <c r="B280">
        <v>140</v>
      </c>
      <c r="C280">
        <v>46361.625</v>
      </c>
      <c r="D280" t="s">
        <v>64</v>
      </c>
      <c r="E280" t="s">
        <v>1412</v>
      </c>
      <c r="F280" t="s">
        <v>1613</v>
      </c>
      <c r="G280">
        <v>3</v>
      </c>
      <c r="H280">
        <v>1</v>
      </c>
      <c r="I280">
        <v>19</v>
      </c>
      <c r="J280" s="17"/>
      <c r="K280" s="17"/>
      <c r="L280" s="19" t="str">
        <f t="shared" si="4"/>
        <v/>
      </c>
      <c r="M280" s="17">
        <v>1</v>
      </c>
      <c r="N280" s="17">
        <v>1</v>
      </c>
      <c r="P280" t="s">
        <v>1614</v>
      </c>
    </row>
    <row r="281" spans="1:16">
      <c r="A281">
        <v>14</v>
      </c>
      <c r="B281">
        <v>140</v>
      </c>
      <c r="C281">
        <v>46361.625</v>
      </c>
      <c r="D281" t="s">
        <v>1412</v>
      </c>
      <c r="E281" t="s">
        <v>64</v>
      </c>
      <c r="F281" t="s">
        <v>1615</v>
      </c>
      <c r="G281">
        <v>4</v>
      </c>
      <c r="H281">
        <v>19</v>
      </c>
      <c r="I281">
        <v>1</v>
      </c>
      <c r="J281" s="17"/>
      <c r="K281" s="17"/>
      <c r="L281" s="19" t="str">
        <f t="shared" si="4"/>
        <v/>
      </c>
      <c r="M281" s="17">
        <v>1</v>
      </c>
      <c r="N281" s="17">
        <v>1</v>
      </c>
      <c r="P281" t="s">
        <v>1614</v>
      </c>
    </row>
    <row r="282" spans="1:16">
      <c r="A282">
        <v>15</v>
      </c>
      <c r="B282">
        <v>141</v>
      </c>
      <c r="C282">
        <v>46368.625</v>
      </c>
      <c r="D282" t="s">
        <v>236</v>
      </c>
      <c r="E282" t="s">
        <v>64</v>
      </c>
      <c r="F282" t="s">
        <v>1613</v>
      </c>
      <c r="G282">
        <v>5</v>
      </c>
      <c r="H282">
        <v>3</v>
      </c>
      <c r="I282">
        <v>1</v>
      </c>
      <c r="J282" s="17"/>
      <c r="K282" s="17"/>
      <c r="L282" s="19" t="str">
        <f t="shared" si="4"/>
        <v/>
      </c>
      <c r="M282" s="17">
        <v>1</v>
      </c>
      <c r="N282" s="17">
        <v>1</v>
      </c>
      <c r="P282" t="s">
        <v>1614</v>
      </c>
    </row>
    <row r="283" spans="1:16">
      <c r="A283">
        <v>15</v>
      </c>
      <c r="B283">
        <v>141</v>
      </c>
      <c r="C283">
        <v>46368.625</v>
      </c>
      <c r="D283" t="s">
        <v>64</v>
      </c>
      <c r="E283" t="s">
        <v>236</v>
      </c>
      <c r="F283" t="s">
        <v>1615</v>
      </c>
      <c r="G283">
        <v>3</v>
      </c>
      <c r="H283">
        <v>1</v>
      </c>
      <c r="I283">
        <v>3</v>
      </c>
      <c r="J283" s="17"/>
      <c r="K283" s="17"/>
      <c r="L283" s="19" t="str">
        <f t="shared" si="4"/>
        <v/>
      </c>
      <c r="M283" s="17">
        <v>1</v>
      </c>
      <c r="N283" s="17">
        <v>1</v>
      </c>
      <c r="P283" t="s">
        <v>1614</v>
      </c>
    </row>
    <row r="284" spans="1:16">
      <c r="A284">
        <v>15</v>
      </c>
      <c r="B284">
        <v>142</v>
      </c>
      <c r="C284">
        <v>46368.625</v>
      </c>
      <c r="D284" t="s">
        <v>714</v>
      </c>
      <c r="E284" t="s">
        <v>390</v>
      </c>
      <c r="F284" t="s">
        <v>1613</v>
      </c>
      <c r="G284">
        <v>3</v>
      </c>
      <c r="H284">
        <v>9</v>
      </c>
      <c r="I284">
        <v>5</v>
      </c>
      <c r="J284" s="17"/>
      <c r="K284" s="17"/>
      <c r="L284" s="19" t="str">
        <f t="shared" si="4"/>
        <v/>
      </c>
      <c r="M284" s="17">
        <v>1</v>
      </c>
      <c r="N284" s="17">
        <v>1</v>
      </c>
      <c r="P284" t="s">
        <v>1614</v>
      </c>
    </row>
    <row r="285" spans="1:16">
      <c r="A285">
        <v>15</v>
      </c>
      <c r="B285">
        <v>142</v>
      </c>
      <c r="C285">
        <v>46368.625</v>
      </c>
      <c r="D285" t="s">
        <v>390</v>
      </c>
      <c r="E285" t="s">
        <v>714</v>
      </c>
      <c r="F285" t="s">
        <v>1615</v>
      </c>
      <c r="G285">
        <v>3</v>
      </c>
      <c r="H285">
        <v>5</v>
      </c>
      <c r="I285">
        <v>9</v>
      </c>
      <c r="J285" s="17"/>
      <c r="K285" s="17"/>
      <c r="L285" s="19" t="str">
        <f t="shared" si="4"/>
        <v/>
      </c>
      <c r="M285" s="17">
        <v>1</v>
      </c>
      <c r="N285" s="17">
        <v>1</v>
      </c>
      <c r="P285" t="s">
        <v>1614</v>
      </c>
    </row>
    <row r="286" spans="1:16">
      <c r="A286">
        <v>15</v>
      </c>
      <c r="B286">
        <v>143</v>
      </c>
      <c r="C286">
        <v>46368.625</v>
      </c>
      <c r="D286" t="s">
        <v>153</v>
      </c>
      <c r="E286" t="s">
        <v>567</v>
      </c>
      <c r="F286" t="s">
        <v>1613</v>
      </c>
      <c r="G286">
        <v>2</v>
      </c>
      <c r="H286">
        <v>2</v>
      </c>
      <c r="I286">
        <v>7</v>
      </c>
      <c r="J286" s="17"/>
      <c r="K286" s="17"/>
      <c r="L286" s="19" t="str">
        <f t="shared" si="4"/>
        <v/>
      </c>
      <c r="M286" s="17">
        <v>1</v>
      </c>
      <c r="N286" s="17">
        <v>1</v>
      </c>
      <c r="P286" t="s">
        <v>1614</v>
      </c>
    </row>
    <row r="287" spans="1:16">
      <c r="A287">
        <v>15</v>
      </c>
      <c r="B287">
        <v>143</v>
      </c>
      <c r="C287">
        <v>46368.625</v>
      </c>
      <c r="D287" t="s">
        <v>567</v>
      </c>
      <c r="E287" t="s">
        <v>153</v>
      </c>
      <c r="F287" t="s">
        <v>1615</v>
      </c>
      <c r="G287">
        <v>3</v>
      </c>
      <c r="H287">
        <v>7</v>
      </c>
      <c r="I287">
        <v>2</v>
      </c>
      <c r="J287" s="17"/>
      <c r="K287" s="17"/>
      <c r="L287" s="19" t="str">
        <f t="shared" si="4"/>
        <v/>
      </c>
      <c r="M287" s="17">
        <v>1</v>
      </c>
      <c r="N287" s="17">
        <v>1</v>
      </c>
      <c r="P287" t="s">
        <v>1614</v>
      </c>
    </row>
    <row r="288" spans="1:16">
      <c r="A288">
        <v>15</v>
      </c>
      <c r="B288">
        <v>144</v>
      </c>
      <c r="C288">
        <v>46368.625</v>
      </c>
      <c r="D288" t="s">
        <v>1199</v>
      </c>
      <c r="E288" t="s">
        <v>639</v>
      </c>
      <c r="F288" t="s">
        <v>1613</v>
      </c>
      <c r="G288">
        <v>3</v>
      </c>
      <c r="H288">
        <v>16</v>
      </c>
      <c r="I288">
        <v>8</v>
      </c>
      <c r="J288" s="17"/>
      <c r="K288" s="17"/>
      <c r="L288" s="19" t="str">
        <f t="shared" si="4"/>
        <v/>
      </c>
      <c r="M288" s="17">
        <v>1</v>
      </c>
      <c r="N288" s="17">
        <v>1</v>
      </c>
      <c r="P288" t="s">
        <v>1614</v>
      </c>
    </row>
    <row r="289" spans="1:16">
      <c r="A289">
        <v>15</v>
      </c>
      <c r="B289">
        <v>144</v>
      </c>
      <c r="C289">
        <v>46368.625</v>
      </c>
      <c r="D289" t="s">
        <v>639</v>
      </c>
      <c r="E289" t="s">
        <v>1199</v>
      </c>
      <c r="F289" t="s">
        <v>1615</v>
      </c>
      <c r="G289">
        <v>4</v>
      </c>
      <c r="H289">
        <v>8</v>
      </c>
      <c r="I289">
        <v>16</v>
      </c>
      <c r="J289" s="17"/>
      <c r="K289" s="17"/>
      <c r="L289" s="19" t="str">
        <f t="shared" si="4"/>
        <v/>
      </c>
      <c r="M289" s="17">
        <v>1</v>
      </c>
      <c r="N289" s="17">
        <v>1</v>
      </c>
      <c r="P289" t="s">
        <v>1614</v>
      </c>
    </row>
    <row r="290" spans="1:16">
      <c r="A290">
        <v>15</v>
      </c>
      <c r="B290">
        <v>145</v>
      </c>
      <c r="C290">
        <v>46368.625</v>
      </c>
      <c r="D290" t="s">
        <v>312</v>
      </c>
      <c r="E290" t="s">
        <v>777</v>
      </c>
      <c r="F290" t="s">
        <v>1613</v>
      </c>
      <c r="G290">
        <v>3</v>
      </c>
      <c r="H290">
        <v>4</v>
      </c>
      <c r="I290">
        <v>10</v>
      </c>
      <c r="J290" s="17"/>
      <c r="K290" s="17"/>
      <c r="L290" s="19" t="str">
        <f t="shared" si="4"/>
        <v/>
      </c>
      <c r="M290" s="17">
        <v>1</v>
      </c>
      <c r="N290" s="17">
        <v>1</v>
      </c>
      <c r="P290" t="s">
        <v>1614</v>
      </c>
    </row>
    <row r="291" spans="1:16">
      <c r="A291">
        <v>15</v>
      </c>
      <c r="B291">
        <v>145</v>
      </c>
      <c r="C291">
        <v>46368.625</v>
      </c>
      <c r="D291" t="s">
        <v>777</v>
      </c>
      <c r="E291" t="s">
        <v>312</v>
      </c>
      <c r="F291" t="s">
        <v>1615</v>
      </c>
      <c r="G291">
        <v>3</v>
      </c>
      <c r="H291">
        <v>10</v>
      </c>
      <c r="I291">
        <v>4</v>
      </c>
      <c r="J291" s="17"/>
      <c r="K291" s="17"/>
      <c r="L291" s="19" t="str">
        <f t="shared" si="4"/>
        <v/>
      </c>
      <c r="M291" s="17">
        <v>1</v>
      </c>
      <c r="N291" s="17">
        <v>1</v>
      </c>
      <c r="P291" t="s">
        <v>1614</v>
      </c>
    </row>
    <row r="292" spans="1:16">
      <c r="A292">
        <v>15</v>
      </c>
      <c r="B292">
        <v>146</v>
      </c>
      <c r="C292">
        <v>46368.625</v>
      </c>
      <c r="D292" t="s">
        <v>1412</v>
      </c>
      <c r="E292" t="s">
        <v>831</v>
      </c>
      <c r="F292" t="s">
        <v>1613</v>
      </c>
      <c r="G292">
        <v>2</v>
      </c>
      <c r="H292">
        <v>19</v>
      </c>
      <c r="I292">
        <v>11</v>
      </c>
      <c r="J292" s="17"/>
      <c r="K292" s="17"/>
      <c r="L292" s="19" t="str">
        <f t="shared" si="4"/>
        <v/>
      </c>
      <c r="M292" s="17">
        <v>1</v>
      </c>
      <c r="N292" s="17">
        <v>1</v>
      </c>
      <c r="P292" t="s">
        <v>1614</v>
      </c>
    </row>
    <row r="293" spans="1:16">
      <c r="A293">
        <v>15</v>
      </c>
      <c r="B293">
        <v>146</v>
      </c>
      <c r="C293">
        <v>46368.625</v>
      </c>
      <c r="D293" t="s">
        <v>831</v>
      </c>
      <c r="E293" t="s">
        <v>1412</v>
      </c>
      <c r="F293" t="s">
        <v>1615</v>
      </c>
      <c r="G293">
        <v>3</v>
      </c>
      <c r="H293">
        <v>11</v>
      </c>
      <c r="I293">
        <v>19</v>
      </c>
      <c r="J293" s="17"/>
      <c r="K293" s="17"/>
      <c r="L293" s="19" t="str">
        <f t="shared" si="4"/>
        <v/>
      </c>
      <c r="M293" s="17">
        <v>1</v>
      </c>
      <c r="N293" s="17">
        <v>1</v>
      </c>
      <c r="P293" t="s">
        <v>1614</v>
      </c>
    </row>
    <row r="294" spans="1:16">
      <c r="A294">
        <v>15</v>
      </c>
      <c r="B294">
        <v>147</v>
      </c>
      <c r="C294">
        <v>46368.625</v>
      </c>
      <c r="D294" t="s">
        <v>1283</v>
      </c>
      <c r="E294" t="s">
        <v>903</v>
      </c>
      <c r="F294" t="s">
        <v>1613</v>
      </c>
      <c r="G294">
        <v>2</v>
      </c>
      <c r="H294">
        <v>17</v>
      </c>
      <c r="I294">
        <v>12</v>
      </c>
      <c r="J294" s="17"/>
      <c r="K294" s="17"/>
      <c r="L294" s="19" t="str">
        <f t="shared" si="4"/>
        <v/>
      </c>
      <c r="M294" s="17">
        <v>1</v>
      </c>
      <c r="N294" s="17">
        <v>1</v>
      </c>
      <c r="P294" t="s">
        <v>1614</v>
      </c>
    </row>
    <row r="295" spans="1:16">
      <c r="A295">
        <v>15</v>
      </c>
      <c r="B295">
        <v>147</v>
      </c>
      <c r="C295">
        <v>46368.625</v>
      </c>
      <c r="D295" t="s">
        <v>903</v>
      </c>
      <c r="E295" t="s">
        <v>1283</v>
      </c>
      <c r="F295" t="s">
        <v>1615</v>
      </c>
      <c r="G295">
        <v>2</v>
      </c>
      <c r="H295">
        <v>12</v>
      </c>
      <c r="I295">
        <v>17</v>
      </c>
      <c r="J295" s="17"/>
      <c r="K295" s="17"/>
      <c r="L295" s="19" t="str">
        <f t="shared" si="4"/>
        <v/>
      </c>
      <c r="M295" s="17">
        <v>1</v>
      </c>
      <c r="N295" s="17">
        <v>1</v>
      </c>
      <c r="P295" t="s">
        <v>1614</v>
      </c>
    </row>
    <row r="296" spans="1:16">
      <c r="A296">
        <v>15</v>
      </c>
      <c r="B296">
        <v>148</v>
      </c>
      <c r="C296">
        <v>46368.625</v>
      </c>
      <c r="D296" t="s">
        <v>978</v>
      </c>
      <c r="E296" t="s">
        <v>1037</v>
      </c>
      <c r="F296" t="s">
        <v>1613</v>
      </c>
      <c r="G296">
        <v>4</v>
      </c>
      <c r="H296">
        <v>13</v>
      </c>
      <c r="I296">
        <v>14</v>
      </c>
      <c r="J296" s="17"/>
      <c r="K296" s="17"/>
      <c r="L296" s="19" t="str">
        <f t="shared" si="4"/>
        <v/>
      </c>
      <c r="M296" s="17">
        <v>1</v>
      </c>
      <c r="N296" s="17">
        <v>1</v>
      </c>
      <c r="P296" t="s">
        <v>1614</v>
      </c>
    </row>
    <row r="297" spans="1:16">
      <c r="A297">
        <v>15</v>
      </c>
      <c r="B297">
        <v>148</v>
      </c>
      <c r="C297">
        <v>46368.625</v>
      </c>
      <c r="D297" t="s">
        <v>1037</v>
      </c>
      <c r="E297" t="s">
        <v>978</v>
      </c>
      <c r="F297" t="s">
        <v>1615</v>
      </c>
      <c r="G297">
        <v>2</v>
      </c>
      <c r="H297">
        <v>14</v>
      </c>
      <c r="I297">
        <v>13</v>
      </c>
      <c r="J297" s="17"/>
      <c r="K297" s="17"/>
      <c r="L297" s="19" t="str">
        <f t="shared" si="4"/>
        <v/>
      </c>
      <c r="M297" s="17">
        <v>1</v>
      </c>
      <c r="N297" s="17">
        <v>1</v>
      </c>
      <c r="P297" t="s">
        <v>1614</v>
      </c>
    </row>
    <row r="298" spans="1:16">
      <c r="A298">
        <v>15</v>
      </c>
      <c r="B298">
        <v>149</v>
      </c>
      <c r="C298">
        <v>46368.625</v>
      </c>
      <c r="D298" t="s">
        <v>474</v>
      </c>
      <c r="E298" t="s">
        <v>1126</v>
      </c>
      <c r="F298" t="s">
        <v>1613</v>
      </c>
      <c r="G298">
        <v>5</v>
      </c>
      <c r="H298">
        <v>6</v>
      </c>
      <c r="I298">
        <v>15</v>
      </c>
      <c r="J298" s="17"/>
      <c r="K298" s="17"/>
      <c r="L298" s="19" t="str">
        <f t="shared" si="4"/>
        <v/>
      </c>
      <c r="M298" s="17">
        <v>1</v>
      </c>
      <c r="N298" s="17">
        <v>1</v>
      </c>
      <c r="P298" t="s">
        <v>1614</v>
      </c>
    </row>
    <row r="299" spans="1:16">
      <c r="A299">
        <v>15</v>
      </c>
      <c r="B299">
        <v>149</v>
      </c>
      <c r="C299">
        <v>46368.625</v>
      </c>
      <c r="D299" t="s">
        <v>1126</v>
      </c>
      <c r="E299" t="s">
        <v>474</v>
      </c>
      <c r="F299" t="s">
        <v>1615</v>
      </c>
      <c r="G299">
        <v>4</v>
      </c>
      <c r="H299">
        <v>15</v>
      </c>
      <c r="I299">
        <v>6</v>
      </c>
      <c r="J299" s="17"/>
      <c r="K299" s="17"/>
      <c r="L299" s="19" t="str">
        <f t="shared" si="4"/>
        <v/>
      </c>
      <c r="M299" s="17">
        <v>1</v>
      </c>
      <c r="N299" s="17">
        <v>1</v>
      </c>
      <c r="P299" t="s">
        <v>1614</v>
      </c>
    </row>
    <row r="300" spans="1:16">
      <c r="A300">
        <v>15</v>
      </c>
      <c r="B300">
        <v>150</v>
      </c>
      <c r="C300">
        <v>46368.625</v>
      </c>
      <c r="D300" t="s">
        <v>1354</v>
      </c>
      <c r="E300" t="s">
        <v>1493</v>
      </c>
      <c r="F300" t="s">
        <v>1613</v>
      </c>
      <c r="G300">
        <v>3</v>
      </c>
      <c r="H300">
        <v>18</v>
      </c>
      <c r="I300">
        <v>20</v>
      </c>
      <c r="J300" s="17"/>
      <c r="K300" s="17"/>
      <c r="L300" s="19" t="str">
        <f t="shared" si="4"/>
        <v/>
      </c>
      <c r="M300" s="17">
        <v>1</v>
      </c>
      <c r="N300" s="17">
        <v>1</v>
      </c>
      <c r="P300" t="s">
        <v>1614</v>
      </c>
    </row>
    <row r="301" spans="1:16">
      <c r="A301">
        <v>15</v>
      </c>
      <c r="B301">
        <v>150</v>
      </c>
      <c r="C301">
        <v>46368.625</v>
      </c>
      <c r="D301" t="s">
        <v>1493</v>
      </c>
      <c r="E301" t="s">
        <v>1354</v>
      </c>
      <c r="F301" t="s">
        <v>1615</v>
      </c>
      <c r="G301">
        <v>3</v>
      </c>
      <c r="H301">
        <v>20</v>
      </c>
      <c r="I301">
        <v>18</v>
      </c>
      <c r="J301" s="17"/>
      <c r="K301" s="17"/>
      <c r="L301" s="19" t="str">
        <f t="shared" si="4"/>
        <v/>
      </c>
      <c r="M301" s="17">
        <v>1</v>
      </c>
      <c r="N301" s="17">
        <v>1</v>
      </c>
      <c r="P301" t="s">
        <v>1614</v>
      </c>
    </row>
    <row r="302" spans="1:16">
      <c r="A302">
        <v>16</v>
      </c>
      <c r="B302">
        <v>151</v>
      </c>
      <c r="C302">
        <v>46375.625</v>
      </c>
      <c r="D302" t="s">
        <v>1199</v>
      </c>
      <c r="E302" t="s">
        <v>64</v>
      </c>
      <c r="F302" t="s">
        <v>1613</v>
      </c>
      <c r="G302">
        <v>5</v>
      </c>
      <c r="H302">
        <v>16</v>
      </c>
      <c r="I302">
        <v>1</v>
      </c>
      <c r="J302" s="17"/>
      <c r="K302" s="17"/>
      <c r="L302" s="19" t="str">
        <f t="shared" si="4"/>
        <v/>
      </c>
      <c r="M302" s="17">
        <v>1</v>
      </c>
      <c r="N302" s="17">
        <v>1</v>
      </c>
      <c r="P302" t="s">
        <v>1614</v>
      </c>
    </row>
    <row r="303" spans="1:16">
      <c r="A303">
        <v>16</v>
      </c>
      <c r="B303">
        <v>151</v>
      </c>
      <c r="C303">
        <v>46375.625</v>
      </c>
      <c r="D303" t="s">
        <v>64</v>
      </c>
      <c r="E303" t="s">
        <v>1199</v>
      </c>
      <c r="F303" t="s">
        <v>1615</v>
      </c>
      <c r="G303">
        <v>4</v>
      </c>
      <c r="H303">
        <v>1</v>
      </c>
      <c r="I303">
        <v>16</v>
      </c>
      <c r="J303" s="17"/>
      <c r="K303" s="17"/>
      <c r="L303" s="19" t="str">
        <f t="shared" si="4"/>
        <v/>
      </c>
      <c r="M303" s="17">
        <v>1</v>
      </c>
      <c r="N303" s="17">
        <v>1</v>
      </c>
      <c r="P303" t="s">
        <v>1614</v>
      </c>
    </row>
    <row r="304" spans="1:16">
      <c r="A304">
        <v>16</v>
      </c>
      <c r="B304">
        <v>152</v>
      </c>
      <c r="C304">
        <v>46375.625</v>
      </c>
      <c r="D304" t="s">
        <v>567</v>
      </c>
      <c r="E304" t="s">
        <v>236</v>
      </c>
      <c r="F304" t="s">
        <v>1613</v>
      </c>
      <c r="G304">
        <v>3</v>
      </c>
      <c r="H304">
        <v>7</v>
      </c>
      <c r="I304">
        <v>3</v>
      </c>
      <c r="J304" s="17"/>
      <c r="K304" s="17"/>
      <c r="L304" s="19" t="str">
        <f t="shared" si="4"/>
        <v/>
      </c>
      <c r="M304" s="17">
        <v>1</v>
      </c>
      <c r="N304" s="17">
        <v>1</v>
      </c>
      <c r="P304" t="s">
        <v>1614</v>
      </c>
    </row>
    <row r="305" spans="1:16">
      <c r="A305">
        <v>16</v>
      </c>
      <c r="B305">
        <v>152</v>
      </c>
      <c r="C305">
        <v>46375.625</v>
      </c>
      <c r="D305" t="s">
        <v>236</v>
      </c>
      <c r="E305" t="s">
        <v>567</v>
      </c>
      <c r="F305" t="s">
        <v>1615</v>
      </c>
      <c r="G305">
        <v>2</v>
      </c>
      <c r="H305">
        <v>3</v>
      </c>
      <c r="I305">
        <v>7</v>
      </c>
      <c r="J305" s="17"/>
      <c r="K305" s="17"/>
      <c r="L305" s="19" t="str">
        <f t="shared" si="4"/>
        <v/>
      </c>
      <c r="M305" s="17">
        <v>1</v>
      </c>
      <c r="N305" s="17">
        <v>1</v>
      </c>
      <c r="P305" t="s">
        <v>1614</v>
      </c>
    </row>
    <row r="306" spans="1:16">
      <c r="A306">
        <v>16</v>
      </c>
      <c r="B306">
        <v>153</v>
      </c>
      <c r="C306">
        <v>46375.625</v>
      </c>
      <c r="D306" t="s">
        <v>1283</v>
      </c>
      <c r="E306" t="s">
        <v>312</v>
      </c>
      <c r="F306" t="s">
        <v>1613</v>
      </c>
      <c r="G306">
        <v>3</v>
      </c>
      <c r="H306">
        <v>17</v>
      </c>
      <c r="I306">
        <v>4</v>
      </c>
      <c r="J306" s="17"/>
      <c r="K306" s="17"/>
      <c r="L306" s="19" t="str">
        <f t="shared" si="4"/>
        <v/>
      </c>
      <c r="M306" s="17">
        <v>1</v>
      </c>
      <c r="N306" s="17">
        <v>1</v>
      </c>
      <c r="P306" t="s">
        <v>1614</v>
      </c>
    </row>
    <row r="307" spans="1:16">
      <c r="A307">
        <v>16</v>
      </c>
      <c r="B307">
        <v>153</v>
      </c>
      <c r="C307">
        <v>46375.625</v>
      </c>
      <c r="D307" t="s">
        <v>312</v>
      </c>
      <c r="E307" t="s">
        <v>1283</v>
      </c>
      <c r="F307" t="s">
        <v>1615</v>
      </c>
      <c r="G307">
        <v>2</v>
      </c>
      <c r="H307">
        <v>4</v>
      </c>
      <c r="I307">
        <v>17</v>
      </c>
      <c r="J307" s="17"/>
      <c r="K307" s="17"/>
      <c r="L307" s="19" t="str">
        <f t="shared" si="4"/>
        <v/>
      </c>
      <c r="M307" s="17">
        <v>1</v>
      </c>
      <c r="N307" s="17">
        <v>1</v>
      </c>
      <c r="P307" t="s">
        <v>1614</v>
      </c>
    </row>
    <row r="308" spans="1:16">
      <c r="A308">
        <v>16</v>
      </c>
      <c r="B308">
        <v>154</v>
      </c>
      <c r="C308">
        <v>46375.625</v>
      </c>
      <c r="D308" t="s">
        <v>903</v>
      </c>
      <c r="E308" t="s">
        <v>390</v>
      </c>
      <c r="F308" t="s">
        <v>1613</v>
      </c>
      <c r="G308">
        <v>3</v>
      </c>
      <c r="H308">
        <v>12</v>
      </c>
      <c r="I308">
        <v>5</v>
      </c>
      <c r="J308" s="17"/>
      <c r="K308" s="17"/>
      <c r="L308" s="19" t="str">
        <f t="shared" si="4"/>
        <v/>
      </c>
      <c r="M308" s="17">
        <v>1</v>
      </c>
      <c r="N308" s="17">
        <v>1</v>
      </c>
      <c r="P308" t="s">
        <v>1614</v>
      </c>
    </row>
    <row r="309" spans="1:16">
      <c r="A309">
        <v>16</v>
      </c>
      <c r="B309">
        <v>154</v>
      </c>
      <c r="C309">
        <v>46375.625</v>
      </c>
      <c r="D309" t="s">
        <v>390</v>
      </c>
      <c r="E309" t="s">
        <v>903</v>
      </c>
      <c r="F309" t="s">
        <v>1615</v>
      </c>
      <c r="G309">
        <v>2</v>
      </c>
      <c r="H309">
        <v>5</v>
      </c>
      <c r="I309">
        <v>12</v>
      </c>
      <c r="J309" s="17"/>
      <c r="K309" s="17"/>
      <c r="L309" s="19" t="str">
        <f t="shared" si="4"/>
        <v/>
      </c>
      <c r="M309" s="17">
        <v>1</v>
      </c>
      <c r="N309" s="17">
        <v>1</v>
      </c>
      <c r="P309" t="s">
        <v>1614</v>
      </c>
    </row>
    <row r="310" spans="1:16">
      <c r="A310">
        <v>16</v>
      </c>
      <c r="B310">
        <v>155</v>
      </c>
      <c r="C310">
        <v>46375.625</v>
      </c>
      <c r="D310" t="s">
        <v>153</v>
      </c>
      <c r="E310" t="s">
        <v>474</v>
      </c>
      <c r="F310" t="s">
        <v>1613</v>
      </c>
      <c r="G310">
        <v>4</v>
      </c>
      <c r="H310">
        <v>2</v>
      </c>
      <c r="I310">
        <v>6</v>
      </c>
      <c r="J310" s="17"/>
      <c r="K310" s="17"/>
      <c r="L310" s="19" t="str">
        <f t="shared" si="4"/>
        <v/>
      </c>
      <c r="M310" s="17">
        <v>1</v>
      </c>
      <c r="N310" s="17">
        <v>1</v>
      </c>
      <c r="P310" t="s">
        <v>1614</v>
      </c>
    </row>
    <row r="311" spans="1:16">
      <c r="A311">
        <v>16</v>
      </c>
      <c r="B311">
        <v>155</v>
      </c>
      <c r="C311">
        <v>46375.625</v>
      </c>
      <c r="D311" t="s">
        <v>474</v>
      </c>
      <c r="E311" t="s">
        <v>153</v>
      </c>
      <c r="F311" t="s">
        <v>1615</v>
      </c>
      <c r="G311">
        <v>3</v>
      </c>
      <c r="H311">
        <v>6</v>
      </c>
      <c r="I311">
        <v>2</v>
      </c>
      <c r="J311" s="17"/>
      <c r="K311" s="17"/>
      <c r="L311" s="19" t="str">
        <f t="shared" si="4"/>
        <v/>
      </c>
      <c r="M311" s="17">
        <v>1</v>
      </c>
      <c r="N311" s="17">
        <v>1</v>
      </c>
      <c r="P311" t="s">
        <v>1614</v>
      </c>
    </row>
    <row r="312" spans="1:16">
      <c r="A312">
        <v>16</v>
      </c>
      <c r="B312">
        <v>156</v>
      </c>
      <c r="C312">
        <v>46375.625</v>
      </c>
      <c r="D312" t="s">
        <v>777</v>
      </c>
      <c r="E312" t="s">
        <v>978</v>
      </c>
      <c r="F312" t="s">
        <v>1613</v>
      </c>
      <c r="G312">
        <v>3</v>
      </c>
      <c r="H312">
        <v>10</v>
      </c>
      <c r="I312">
        <v>13</v>
      </c>
      <c r="J312" s="17"/>
      <c r="K312" s="17"/>
      <c r="L312" s="19" t="str">
        <f t="shared" si="4"/>
        <v/>
      </c>
      <c r="M312" s="17">
        <v>1</v>
      </c>
      <c r="N312" s="17">
        <v>1</v>
      </c>
      <c r="P312" t="s">
        <v>1614</v>
      </c>
    </row>
    <row r="313" spans="1:16">
      <c r="A313">
        <v>16</v>
      </c>
      <c r="B313">
        <v>156</v>
      </c>
      <c r="C313">
        <v>46375.625</v>
      </c>
      <c r="D313" t="s">
        <v>978</v>
      </c>
      <c r="E313" t="s">
        <v>777</v>
      </c>
      <c r="F313" t="s">
        <v>1615</v>
      </c>
      <c r="G313">
        <v>2</v>
      </c>
      <c r="H313">
        <v>13</v>
      </c>
      <c r="I313">
        <v>10</v>
      </c>
      <c r="J313" s="17"/>
      <c r="K313" s="17"/>
      <c r="L313" s="19" t="str">
        <f t="shared" si="4"/>
        <v/>
      </c>
      <c r="M313" s="17">
        <v>1</v>
      </c>
      <c r="N313" s="17">
        <v>1</v>
      </c>
      <c r="P313" t="s">
        <v>1614</v>
      </c>
    </row>
    <row r="314" spans="1:16">
      <c r="A314">
        <v>16</v>
      </c>
      <c r="B314">
        <v>157</v>
      </c>
      <c r="C314">
        <v>46375.625</v>
      </c>
      <c r="D314" t="s">
        <v>1412</v>
      </c>
      <c r="E314" t="s">
        <v>1037</v>
      </c>
      <c r="F314" t="s">
        <v>1613</v>
      </c>
      <c r="G314">
        <v>4</v>
      </c>
      <c r="H314">
        <v>19</v>
      </c>
      <c r="I314">
        <v>14</v>
      </c>
      <c r="J314" s="17"/>
      <c r="K314" s="17"/>
      <c r="L314" s="19" t="str">
        <f t="shared" si="4"/>
        <v/>
      </c>
      <c r="M314" s="17">
        <v>1</v>
      </c>
      <c r="N314" s="17">
        <v>1</v>
      </c>
      <c r="P314" t="s">
        <v>1614</v>
      </c>
    </row>
    <row r="315" spans="1:16">
      <c r="A315">
        <v>16</v>
      </c>
      <c r="B315">
        <v>157</v>
      </c>
      <c r="C315">
        <v>46375.625</v>
      </c>
      <c r="D315" t="s">
        <v>1037</v>
      </c>
      <c r="E315" t="s">
        <v>1412</v>
      </c>
      <c r="F315" t="s">
        <v>1615</v>
      </c>
      <c r="G315">
        <v>3</v>
      </c>
      <c r="H315">
        <v>14</v>
      </c>
      <c r="I315">
        <v>19</v>
      </c>
      <c r="J315" s="17"/>
      <c r="K315" s="17"/>
      <c r="L315" s="19" t="str">
        <f t="shared" si="4"/>
        <v/>
      </c>
      <c r="M315" s="17">
        <v>1</v>
      </c>
      <c r="N315" s="17">
        <v>1</v>
      </c>
      <c r="P315" t="s">
        <v>1614</v>
      </c>
    </row>
    <row r="316" spans="1:16">
      <c r="A316">
        <v>16</v>
      </c>
      <c r="B316">
        <v>158</v>
      </c>
      <c r="C316">
        <v>46375.625</v>
      </c>
      <c r="D316" t="s">
        <v>831</v>
      </c>
      <c r="E316" t="s">
        <v>1126</v>
      </c>
      <c r="F316" t="s">
        <v>1613</v>
      </c>
      <c r="G316">
        <v>5</v>
      </c>
      <c r="H316">
        <v>11</v>
      </c>
      <c r="I316">
        <v>15</v>
      </c>
      <c r="J316" s="17"/>
      <c r="K316" s="17"/>
      <c r="L316" s="19" t="str">
        <f t="shared" si="4"/>
        <v/>
      </c>
      <c r="M316" s="17">
        <v>1</v>
      </c>
      <c r="N316" s="17">
        <v>1</v>
      </c>
      <c r="P316" t="s">
        <v>1614</v>
      </c>
    </row>
    <row r="317" spans="1:16">
      <c r="A317">
        <v>16</v>
      </c>
      <c r="B317">
        <v>158</v>
      </c>
      <c r="C317">
        <v>46375.625</v>
      </c>
      <c r="D317" t="s">
        <v>1126</v>
      </c>
      <c r="E317" t="s">
        <v>831</v>
      </c>
      <c r="F317" t="s">
        <v>1615</v>
      </c>
      <c r="G317">
        <v>2</v>
      </c>
      <c r="H317">
        <v>15</v>
      </c>
      <c r="I317">
        <v>11</v>
      </c>
      <c r="J317" s="17"/>
      <c r="K317" s="17"/>
      <c r="L317" s="19" t="str">
        <f t="shared" si="4"/>
        <v/>
      </c>
      <c r="M317" s="17">
        <v>1</v>
      </c>
      <c r="N317" s="17">
        <v>1</v>
      </c>
      <c r="P317" t="s">
        <v>1614</v>
      </c>
    </row>
    <row r="318" spans="1:16">
      <c r="A318">
        <v>16</v>
      </c>
      <c r="B318">
        <v>159</v>
      </c>
      <c r="C318">
        <v>46375.625</v>
      </c>
      <c r="D318" t="s">
        <v>714</v>
      </c>
      <c r="E318" t="s">
        <v>1354</v>
      </c>
      <c r="F318" t="s">
        <v>1613</v>
      </c>
      <c r="G318">
        <v>3</v>
      </c>
      <c r="H318">
        <v>9</v>
      </c>
      <c r="I318">
        <v>18</v>
      </c>
      <c r="J318" s="17"/>
      <c r="K318" s="17"/>
      <c r="L318" s="19" t="str">
        <f t="shared" si="4"/>
        <v/>
      </c>
      <c r="M318" s="17">
        <v>1</v>
      </c>
      <c r="N318" s="17">
        <v>1</v>
      </c>
      <c r="P318" t="s">
        <v>1614</v>
      </c>
    </row>
    <row r="319" spans="1:16">
      <c r="A319">
        <v>16</v>
      </c>
      <c r="B319">
        <v>159</v>
      </c>
      <c r="C319">
        <v>46375.625</v>
      </c>
      <c r="D319" t="s">
        <v>1354</v>
      </c>
      <c r="E319" t="s">
        <v>714</v>
      </c>
      <c r="F319" t="s">
        <v>1615</v>
      </c>
      <c r="G319">
        <v>3</v>
      </c>
      <c r="H319">
        <v>18</v>
      </c>
      <c r="I319">
        <v>9</v>
      </c>
      <c r="J319" s="17"/>
      <c r="K319" s="17"/>
      <c r="L319" s="19" t="str">
        <f t="shared" si="4"/>
        <v/>
      </c>
      <c r="M319" s="17">
        <v>1</v>
      </c>
      <c r="N319" s="17">
        <v>1</v>
      </c>
      <c r="P319" t="s">
        <v>1614</v>
      </c>
    </row>
    <row r="320" spans="1:16">
      <c r="A320">
        <v>16</v>
      </c>
      <c r="B320">
        <v>160</v>
      </c>
      <c r="C320">
        <v>46375.625</v>
      </c>
      <c r="D320" t="s">
        <v>639</v>
      </c>
      <c r="E320" t="s">
        <v>1493</v>
      </c>
      <c r="F320" t="s">
        <v>1613</v>
      </c>
      <c r="G320">
        <v>3</v>
      </c>
      <c r="H320">
        <v>8</v>
      </c>
      <c r="I320">
        <v>20</v>
      </c>
      <c r="J320" s="17"/>
      <c r="K320" s="17"/>
      <c r="L320" s="19" t="str">
        <f t="shared" si="4"/>
        <v/>
      </c>
      <c r="M320" s="17">
        <v>1</v>
      </c>
      <c r="N320" s="17">
        <v>1</v>
      </c>
      <c r="P320" t="s">
        <v>1614</v>
      </c>
    </row>
    <row r="321" spans="1:16">
      <c r="A321">
        <v>16</v>
      </c>
      <c r="B321">
        <v>160</v>
      </c>
      <c r="C321">
        <v>46375.625</v>
      </c>
      <c r="D321" t="s">
        <v>1493</v>
      </c>
      <c r="E321" t="s">
        <v>639</v>
      </c>
      <c r="F321" t="s">
        <v>1615</v>
      </c>
      <c r="G321">
        <v>3</v>
      </c>
      <c r="H321">
        <v>20</v>
      </c>
      <c r="I321">
        <v>8</v>
      </c>
      <c r="J321" s="17"/>
      <c r="K321" s="17"/>
      <c r="L321" s="19" t="str">
        <f t="shared" si="4"/>
        <v/>
      </c>
      <c r="M321" s="17">
        <v>1</v>
      </c>
      <c r="N321" s="17">
        <v>1</v>
      </c>
      <c r="P321" t="s">
        <v>1614</v>
      </c>
    </row>
    <row r="322" spans="1:16">
      <c r="A322">
        <v>17</v>
      </c>
      <c r="B322">
        <v>161</v>
      </c>
      <c r="C322">
        <v>46382.625</v>
      </c>
      <c r="D322" t="s">
        <v>978</v>
      </c>
      <c r="E322" t="s">
        <v>153</v>
      </c>
      <c r="F322" t="s">
        <v>1613</v>
      </c>
      <c r="G322">
        <v>4</v>
      </c>
      <c r="H322">
        <v>13</v>
      </c>
      <c r="I322">
        <v>2</v>
      </c>
      <c r="J322" s="17"/>
      <c r="K322" s="17"/>
      <c r="L322" s="19" t="str">
        <f t="shared" ref="L322:L385" si="5">IF(K322="","",EXP(-K322))</f>
        <v/>
      </c>
      <c r="M322" s="17">
        <v>1</v>
      </c>
      <c r="N322" s="17">
        <v>1</v>
      </c>
      <c r="P322" t="s">
        <v>1614</v>
      </c>
    </row>
    <row r="323" spans="1:16">
      <c r="A323">
        <v>17</v>
      </c>
      <c r="B323">
        <v>161</v>
      </c>
      <c r="C323">
        <v>46382.625</v>
      </c>
      <c r="D323" t="s">
        <v>153</v>
      </c>
      <c r="E323" t="s">
        <v>978</v>
      </c>
      <c r="F323" t="s">
        <v>1615</v>
      </c>
      <c r="G323">
        <v>2</v>
      </c>
      <c r="H323">
        <v>2</v>
      </c>
      <c r="I323">
        <v>13</v>
      </c>
      <c r="J323" s="17"/>
      <c r="K323" s="17"/>
      <c r="L323" s="19" t="str">
        <f t="shared" si="5"/>
        <v/>
      </c>
      <c r="M323" s="17">
        <v>1</v>
      </c>
      <c r="N323" s="17">
        <v>1</v>
      </c>
      <c r="P323" t="s">
        <v>1614</v>
      </c>
    </row>
    <row r="324" spans="1:16">
      <c r="A324">
        <v>17</v>
      </c>
      <c r="B324">
        <v>162</v>
      </c>
      <c r="C324">
        <v>46382.625</v>
      </c>
      <c r="D324" t="s">
        <v>474</v>
      </c>
      <c r="E324" t="s">
        <v>567</v>
      </c>
      <c r="F324" t="s">
        <v>1613</v>
      </c>
      <c r="G324">
        <v>2</v>
      </c>
      <c r="H324">
        <v>6</v>
      </c>
      <c r="I324">
        <v>7</v>
      </c>
      <c r="J324" s="17"/>
      <c r="K324" s="17"/>
      <c r="L324" s="19" t="str">
        <f t="shared" si="5"/>
        <v/>
      </c>
      <c r="M324" s="17">
        <v>1</v>
      </c>
      <c r="N324" s="17">
        <v>1</v>
      </c>
      <c r="P324" t="s">
        <v>1614</v>
      </c>
    </row>
    <row r="325" spans="1:16">
      <c r="A325">
        <v>17</v>
      </c>
      <c r="B325">
        <v>162</v>
      </c>
      <c r="C325">
        <v>46382.625</v>
      </c>
      <c r="D325" t="s">
        <v>567</v>
      </c>
      <c r="E325" t="s">
        <v>474</v>
      </c>
      <c r="F325" t="s">
        <v>1615</v>
      </c>
      <c r="G325">
        <v>4</v>
      </c>
      <c r="H325">
        <v>7</v>
      </c>
      <c r="I325">
        <v>6</v>
      </c>
      <c r="J325" s="17"/>
      <c r="K325" s="17"/>
      <c r="L325" s="19" t="str">
        <f t="shared" si="5"/>
        <v/>
      </c>
      <c r="M325" s="17">
        <v>1</v>
      </c>
      <c r="N325" s="17">
        <v>1</v>
      </c>
      <c r="P325" t="s">
        <v>1614</v>
      </c>
    </row>
    <row r="326" spans="1:16">
      <c r="A326">
        <v>17</v>
      </c>
      <c r="B326">
        <v>163</v>
      </c>
      <c r="C326">
        <v>46382.625</v>
      </c>
      <c r="D326" t="s">
        <v>64</v>
      </c>
      <c r="E326" t="s">
        <v>639</v>
      </c>
      <c r="F326" t="s">
        <v>1613</v>
      </c>
      <c r="G326">
        <v>3</v>
      </c>
      <c r="H326">
        <v>1</v>
      </c>
      <c r="I326">
        <v>8</v>
      </c>
      <c r="J326" s="17"/>
      <c r="K326" s="17"/>
      <c r="L326" s="19" t="str">
        <f t="shared" si="5"/>
        <v/>
      </c>
      <c r="M326" s="17">
        <v>1</v>
      </c>
      <c r="N326" s="17">
        <v>1</v>
      </c>
      <c r="P326" t="s">
        <v>1614</v>
      </c>
    </row>
    <row r="327" spans="1:16">
      <c r="A327">
        <v>17</v>
      </c>
      <c r="B327">
        <v>163</v>
      </c>
      <c r="C327">
        <v>46382.625</v>
      </c>
      <c r="D327" t="s">
        <v>639</v>
      </c>
      <c r="E327" t="s">
        <v>64</v>
      </c>
      <c r="F327" t="s">
        <v>1615</v>
      </c>
      <c r="G327">
        <v>4</v>
      </c>
      <c r="H327">
        <v>8</v>
      </c>
      <c r="I327">
        <v>1</v>
      </c>
      <c r="J327" s="17"/>
      <c r="K327" s="17"/>
      <c r="L327" s="19" t="str">
        <f t="shared" si="5"/>
        <v/>
      </c>
      <c r="M327" s="17">
        <v>1</v>
      </c>
      <c r="N327" s="17">
        <v>1</v>
      </c>
      <c r="P327" t="s">
        <v>1614</v>
      </c>
    </row>
    <row r="328" spans="1:16">
      <c r="A328">
        <v>17</v>
      </c>
      <c r="B328">
        <v>164</v>
      </c>
      <c r="C328">
        <v>46382.625</v>
      </c>
      <c r="D328" t="s">
        <v>1493</v>
      </c>
      <c r="E328" t="s">
        <v>714</v>
      </c>
      <c r="F328" t="s">
        <v>1613</v>
      </c>
      <c r="G328">
        <v>3</v>
      </c>
      <c r="H328">
        <v>20</v>
      </c>
      <c r="I328">
        <v>9</v>
      </c>
      <c r="J328" s="17"/>
      <c r="K328" s="17"/>
      <c r="L328" s="19" t="str">
        <f t="shared" si="5"/>
        <v/>
      </c>
      <c r="M328" s="17">
        <v>1</v>
      </c>
      <c r="N328" s="17">
        <v>1</v>
      </c>
      <c r="P328" t="s">
        <v>1614</v>
      </c>
    </row>
    <row r="329" spans="1:16">
      <c r="A329">
        <v>17</v>
      </c>
      <c r="B329">
        <v>164</v>
      </c>
      <c r="C329">
        <v>46382.625</v>
      </c>
      <c r="D329" t="s">
        <v>714</v>
      </c>
      <c r="E329" t="s">
        <v>1493</v>
      </c>
      <c r="F329" t="s">
        <v>1615</v>
      </c>
      <c r="G329">
        <v>2</v>
      </c>
      <c r="H329">
        <v>9</v>
      </c>
      <c r="I329">
        <v>20</v>
      </c>
      <c r="J329" s="17"/>
      <c r="K329" s="17"/>
      <c r="L329" s="19" t="str">
        <f t="shared" si="5"/>
        <v/>
      </c>
      <c r="M329" s="17">
        <v>1</v>
      </c>
      <c r="N329" s="17">
        <v>1</v>
      </c>
      <c r="P329" t="s">
        <v>1614</v>
      </c>
    </row>
    <row r="330" spans="1:16">
      <c r="A330">
        <v>17</v>
      </c>
      <c r="B330">
        <v>165</v>
      </c>
      <c r="C330">
        <v>46382.625</v>
      </c>
      <c r="D330" t="s">
        <v>390</v>
      </c>
      <c r="E330" t="s">
        <v>777</v>
      </c>
      <c r="F330" t="s">
        <v>1613</v>
      </c>
      <c r="G330">
        <v>3</v>
      </c>
      <c r="H330">
        <v>5</v>
      </c>
      <c r="I330">
        <v>10</v>
      </c>
      <c r="J330" s="17"/>
      <c r="K330" s="17"/>
      <c r="L330" s="19" t="str">
        <f t="shared" si="5"/>
        <v/>
      </c>
      <c r="M330" s="17">
        <v>1</v>
      </c>
      <c r="N330" s="17">
        <v>1</v>
      </c>
      <c r="P330" t="s">
        <v>1614</v>
      </c>
    </row>
    <row r="331" spans="1:16">
      <c r="A331">
        <v>17</v>
      </c>
      <c r="B331">
        <v>165</v>
      </c>
      <c r="C331">
        <v>46382.625</v>
      </c>
      <c r="D331" t="s">
        <v>777</v>
      </c>
      <c r="E331" t="s">
        <v>390</v>
      </c>
      <c r="F331" t="s">
        <v>1615</v>
      </c>
      <c r="G331">
        <v>2</v>
      </c>
      <c r="H331">
        <v>10</v>
      </c>
      <c r="I331">
        <v>5</v>
      </c>
      <c r="J331" s="17"/>
      <c r="K331" s="17"/>
      <c r="L331" s="19" t="str">
        <f t="shared" si="5"/>
        <v/>
      </c>
      <c r="M331" s="17">
        <v>1</v>
      </c>
      <c r="N331" s="17">
        <v>1</v>
      </c>
      <c r="P331" t="s">
        <v>1614</v>
      </c>
    </row>
    <row r="332" spans="1:16">
      <c r="A332">
        <v>17</v>
      </c>
      <c r="B332">
        <v>166</v>
      </c>
      <c r="C332">
        <v>46382.625</v>
      </c>
      <c r="D332" t="s">
        <v>1037</v>
      </c>
      <c r="E332" t="s">
        <v>831</v>
      </c>
      <c r="F332" t="s">
        <v>1613</v>
      </c>
      <c r="G332">
        <v>2</v>
      </c>
      <c r="H332">
        <v>14</v>
      </c>
      <c r="I332">
        <v>11</v>
      </c>
      <c r="J332" s="17"/>
      <c r="K332" s="17"/>
      <c r="L332" s="19" t="str">
        <f t="shared" si="5"/>
        <v/>
      </c>
      <c r="M332" s="17">
        <v>1</v>
      </c>
      <c r="N332" s="17">
        <v>1</v>
      </c>
      <c r="P332" t="s">
        <v>1614</v>
      </c>
    </row>
    <row r="333" spans="1:16">
      <c r="A333">
        <v>17</v>
      </c>
      <c r="B333">
        <v>166</v>
      </c>
      <c r="C333">
        <v>46382.625</v>
      </c>
      <c r="D333" t="s">
        <v>831</v>
      </c>
      <c r="E333" t="s">
        <v>1037</v>
      </c>
      <c r="F333" t="s">
        <v>1615</v>
      </c>
      <c r="G333">
        <v>4</v>
      </c>
      <c r="H333">
        <v>11</v>
      </c>
      <c r="I333">
        <v>14</v>
      </c>
      <c r="J333" s="17"/>
      <c r="K333" s="17"/>
      <c r="L333" s="19" t="str">
        <f t="shared" si="5"/>
        <v/>
      </c>
      <c r="M333" s="17">
        <v>1</v>
      </c>
      <c r="N333" s="17">
        <v>1</v>
      </c>
      <c r="P333" t="s">
        <v>1614</v>
      </c>
    </row>
    <row r="334" spans="1:16">
      <c r="A334">
        <v>17</v>
      </c>
      <c r="B334">
        <v>167</v>
      </c>
      <c r="C334">
        <v>46382.625</v>
      </c>
      <c r="D334" t="s">
        <v>312</v>
      </c>
      <c r="E334" t="s">
        <v>903</v>
      </c>
      <c r="F334" t="s">
        <v>1613</v>
      </c>
      <c r="G334">
        <v>2</v>
      </c>
      <c r="H334">
        <v>4</v>
      </c>
      <c r="I334">
        <v>12</v>
      </c>
      <c r="J334" s="17"/>
      <c r="K334" s="17"/>
      <c r="L334" s="19" t="str">
        <f t="shared" si="5"/>
        <v/>
      </c>
      <c r="M334" s="17">
        <v>1</v>
      </c>
      <c r="N334" s="17">
        <v>1</v>
      </c>
      <c r="P334" t="s">
        <v>1614</v>
      </c>
    </row>
    <row r="335" spans="1:16">
      <c r="A335">
        <v>17</v>
      </c>
      <c r="B335">
        <v>167</v>
      </c>
      <c r="C335">
        <v>46382.625</v>
      </c>
      <c r="D335" t="s">
        <v>903</v>
      </c>
      <c r="E335" t="s">
        <v>312</v>
      </c>
      <c r="F335" t="s">
        <v>1615</v>
      </c>
      <c r="G335">
        <v>3</v>
      </c>
      <c r="H335">
        <v>12</v>
      </c>
      <c r="I335">
        <v>4</v>
      </c>
      <c r="J335" s="17"/>
      <c r="K335" s="17"/>
      <c r="L335" s="19" t="str">
        <f t="shared" si="5"/>
        <v/>
      </c>
      <c r="M335" s="17">
        <v>1</v>
      </c>
      <c r="N335" s="17">
        <v>1</v>
      </c>
      <c r="P335" t="s">
        <v>1614</v>
      </c>
    </row>
    <row r="336" spans="1:16">
      <c r="A336">
        <v>17</v>
      </c>
      <c r="B336">
        <v>168</v>
      </c>
      <c r="C336">
        <v>46382.625</v>
      </c>
      <c r="D336" t="s">
        <v>1354</v>
      </c>
      <c r="E336" t="s">
        <v>1199</v>
      </c>
      <c r="F336" t="s">
        <v>1613</v>
      </c>
      <c r="G336">
        <v>4</v>
      </c>
      <c r="H336">
        <v>18</v>
      </c>
      <c r="I336">
        <v>16</v>
      </c>
      <c r="J336" s="17"/>
      <c r="K336" s="17"/>
      <c r="L336" s="19" t="str">
        <f t="shared" si="5"/>
        <v/>
      </c>
      <c r="M336" s="17">
        <v>1</v>
      </c>
      <c r="N336" s="17">
        <v>1</v>
      </c>
      <c r="P336" t="s">
        <v>1614</v>
      </c>
    </row>
    <row r="337" spans="1:16">
      <c r="A337">
        <v>17</v>
      </c>
      <c r="B337">
        <v>168</v>
      </c>
      <c r="C337">
        <v>46382.625</v>
      </c>
      <c r="D337" t="s">
        <v>1199</v>
      </c>
      <c r="E337" t="s">
        <v>1354</v>
      </c>
      <c r="F337" t="s">
        <v>1615</v>
      </c>
      <c r="G337">
        <v>3</v>
      </c>
      <c r="H337">
        <v>16</v>
      </c>
      <c r="I337">
        <v>18</v>
      </c>
      <c r="J337" s="17"/>
      <c r="K337" s="17"/>
      <c r="L337" s="19" t="str">
        <f t="shared" si="5"/>
        <v/>
      </c>
      <c r="M337" s="17">
        <v>1</v>
      </c>
      <c r="N337" s="17">
        <v>1</v>
      </c>
      <c r="P337" t="s">
        <v>1614</v>
      </c>
    </row>
    <row r="338" spans="1:16">
      <c r="A338">
        <v>17</v>
      </c>
      <c r="B338">
        <v>169</v>
      </c>
      <c r="C338">
        <v>46382.625</v>
      </c>
      <c r="D338" t="s">
        <v>1126</v>
      </c>
      <c r="E338" t="s">
        <v>1283</v>
      </c>
      <c r="F338" t="s">
        <v>1613</v>
      </c>
      <c r="G338">
        <v>3</v>
      </c>
      <c r="H338">
        <v>15</v>
      </c>
      <c r="I338">
        <v>17</v>
      </c>
      <c r="J338" s="17"/>
      <c r="K338" s="17"/>
      <c r="L338" s="19" t="str">
        <f t="shared" si="5"/>
        <v/>
      </c>
      <c r="M338" s="17">
        <v>1</v>
      </c>
      <c r="N338" s="17">
        <v>1</v>
      </c>
      <c r="P338" t="s">
        <v>1614</v>
      </c>
    </row>
    <row r="339" spans="1:16">
      <c r="A339">
        <v>17</v>
      </c>
      <c r="B339">
        <v>169</v>
      </c>
      <c r="C339">
        <v>46382.625</v>
      </c>
      <c r="D339" t="s">
        <v>1283</v>
      </c>
      <c r="E339" t="s">
        <v>1126</v>
      </c>
      <c r="F339" t="s">
        <v>1615</v>
      </c>
      <c r="G339">
        <v>4</v>
      </c>
      <c r="H339">
        <v>17</v>
      </c>
      <c r="I339">
        <v>15</v>
      </c>
      <c r="J339" s="17"/>
      <c r="K339" s="17"/>
      <c r="L339" s="19" t="str">
        <f t="shared" si="5"/>
        <v/>
      </c>
      <c r="M339" s="17">
        <v>1</v>
      </c>
      <c r="N339" s="17">
        <v>1</v>
      </c>
      <c r="P339" t="s">
        <v>1614</v>
      </c>
    </row>
    <row r="340" spans="1:16">
      <c r="A340">
        <v>17</v>
      </c>
      <c r="B340">
        <v>170</v>
      </c>
      <c r="C340">
        <v>46382.625</v>
      </c>
      <c r="D340" t="s">
        <v>236</v>
      </c>
      <c r="E340" t="s">
        <v>1412</v>
      </c>
      <c r="F340" t="s">
        <v>1613</v>
      </c>
      <c r="G340">
        <v>3</v>
      </c>
      <c r="H340">
        <v>3</v>
      </c>
      <c r="I340">
        <v>19</v>
      </c>
      <c r="J340" s="17"/>
      <c r="K340" s="17"/>
      <c r="L340" s="19" t="str">
        <f t="shared" si="5"/>
        <v/>
      </c>
      <c r="M340" s="17">
        <v>1</v>
      </c>
      <c r="N340" s="17">
        <v>1</v>
      </c>
      <c r="P340" t="s">
        <v>1614</v>
      </c>
    </row>
    <row r="341" spans="1:16">
      <c r="A341">
        <v>17</v>
      </c>
      <c r="B341">
        <v>170</v>
      </c>
      <c r="C341">
        <v>46382.625</v>
      </c>
      <c r="D341" t="s">
        <v>1412</v>
      </c>
      <c r="E341" t="s">
        <v>236</v>
      </c>
      <c r="F341" t="s">
        <v>1615</v>
      </c>
      <c r="G341">
        <v>3</v>
      </c>
      <c r="H341">
        <v>19</v>
      </c>
      <c r="I341">
        <v>3</v>
      </c>
      <c r="J341" s="17"/>
      <c r="K341" s="17"/>
      <c r="L341" s="19" t="str">
        <f t="shared" si="5"/>
        <v/>
      </c>
      <c r="M341" s="17">
        <v>1</v>
      </c>
      <c r="N341" s="17">
        <v>1</v>
      </c>
      <c r="P341" t="s">
        <v>1614</v>
      </c>
    </row>
    <row r="342" spans="1:16">
      <c r="A342">
        <v>18</v>
      </c>
      <c r="B342">
        <v>171</v>
      </c>
      <c r="C342">
        <v>46386.833333333336</v>
      </c>
      <c r="D342" t="s">
        <v>1037</v>
      </c>
      <c r="E342" t="s">
        <v>153</v>
      </c>
      <c r="F342" t="s">
        <v>1613</v>
      </c>
      <c r="G342">
        <v>4</v>
      </c>
      <c r="H342">
        <v>14</v>
      </c>
      <c r="I342">
        <v>2</v>
      </c>
      <c r="J342" s="17"/>
      <c r="K342" s="17"/>
      <c r="L342" s="19" t="str">
        <f t="shared" si="5"/>
        <v/>
      </c>
      <c r="M342" s="17">
        <v>1</v>
      </c>
      <c r="N342" s="17">
        <v>1</v>
      </c>
      <c r="P342" t="s">
        <v>1614</v>
      </c>
    </row>
    <row r="343" spans="1:16">
      <c r="A343">
        <v>18</v>
      </c>
      <c r="B343">
        <v>171</v>
      </c>
      <c r="C343">
        <v>46386.833333333336</v>
      </c>
      <c r="D343" t="s">
        <v>153</v>
      </c>
      <c r="E343" t="s">
        <v>1037</v>
      </c>
      <c r="F343" t="s">
        <v>1615</v>
      </c>
      <c r="G343">
        <v>4</v>
      </c>
      <c r="H343">
        <v>2</v>
      </c>
      <c r="I343">
        <v>14</v>
      </c>
      <c r="J343" s="17"/>
      <c r="K343" s="17"/>
      <c r="L343" s="19" t="str">
        <f t="shared" si="5"/>
        <v/>
      </c>
      <c r="M343" s="17">
        <v>1</v>
      </c>
      <c r="N343" s="17">
        <v>1</v>
      </c>
      <c r="P343" t="s">
        <v>1614</v>
      </c>
    </row>
    <row r="344" spans="1:16">
      <c r="A344">
        <v>18</v>
      </c>
      <c r="B344">
        <v>172</v>
      </c>
      <c r="C344">
        <v>46386.833333333336</v>
      </c>
      <c r="D344" t="s">
        <v>312</v>
      </c>
      <c r="E344" t="s">
        <v>567</v>
      </c>
      <c r="F344" t="s">
        <v>1613</v>
      </c>
      <c r="G344">
        <v>2</v>
      </c>
      <c r="H344">
        <v>4</v>
      </c>
      <c r="I344">
        <v>7</v>
      </c>
      <c r="J344" s="17"/>
      <c r="K344" s="17"/>
      <c r="L344" s="19" t="str">
        <f t="shared" si="5"/>
        <v/>
      </c>
      <c r="M344" s="17">
        <v>1</v>
      </c>
      <c r="N344" s="17">
        <v>1</v>
      </c>
      <c r="P344" t="s">
        <v>1614</v>
      </c>
    </row>
    <row r="345" spans="1:16">
      <c r="A345">
        <v>18</v>
      </c>
      <c r="B345">
        <v>172</v>
      </c>
      <c r="C345">
        <v>46386.833333333336</v>
      </c>
      <c r="D345" t="s">
        <v>567</v>
      </c>
      <c r="E345" t="s">
        <v>312</v>
      </c>
      <c r="F345" t="s">
        <v>1615</v>
      </c>
      <c r="G345">
        <v>3</v>
      </c>
      <c r="H345">
        <v>7</v>
      </c>
      <c r="I345">
        <v>4</v>
      </c>
      <c r="J345" s="17"/>
      <c r="K345" s="17"/>
      <c r="L345" s="19" t="str">
        <f t="shared" si="5"/>
        <v/>
      </c>
      <c r="M345" s="17">
        <v>1</v>
      </c>
      <c r="N345" s="17">
        <v>1</v>
      </c>
      <c r="P345" t="s">
        <v>1614</v>
      </c>
    </row>
    <row r="346" spans="1:16">
      <c r="A346">
        <v>18</v>
      </c>
      <c r="B346">
        <v>173</v>
      </c>
      <c r="C346">
        <v>46386.833333333336</v>
      </c>
      <c r="D346" t="s">
        <v>236</v>
      </c>
      <c r="E346" t="s">
        <v>639</v>
      </c>
      <c r="F346" t="s">
        <v>1613</v>
      </c>
      <c r="G346">
        <v>3</v>
      </c>
      <c r="H346">
        <v>3</v>
      </c>
      <c r="I346">
        <v>8</v>
      </c>
      <c r="J346" s="17"/>
      <c r="K346" s="17"/>
      <c r="L346" s="19" t="str">
        <f t="shared" si="5"/>
        <v/>
      </c>
      <c r="M346" s="17">
        <v>1</v>
      </c>
      <c r="N346" s="17">
        <v>1</v>
      </c>
      <c r="P346" t="s">
        <v>1614</v>
      </c>
    </row>
    <row r="347" spans="1:16">
      <c r="A347">
        <v>18</v>
      </c>
      <c r="B347">
        <v>173</v>
      </c>
      <c r="C347">
        <v>46386.833333333336</v>
      </c>
      <c r="D347" t="s">
        <v>639</v>
      </c>
      <c r="E347" t="s">
        <v>236</v>
      </c>
      <c r="F347" t="s">
        <v>1615</v>
      </c>
      <c r="G347">
        <v>3</v>
      </c>
      <c r="H347">
        <v>8</v>
      </c>
      <c r="I347">
        <v>3</v>
      </c>
      <c r="J347" s="17"/>
      <c r="K347" s="17"/>
      <c r="L347" s="19" t="str">
        <f t="shared" si="5"/>
        <v/>
      </c>
      <c r="M347" s="17">
        <v>1</v>
      </c>
      <c r="N347" s="17">
        <v>1</v>
      </c>
      <c r="P347" t="s">
        <v>1614</v>
      </c>
    </row>
    <row r="348" spans="1:16">
      <c r="A348">
        <v>18</v>
      </c>
      <c r="B348">
        <v>174</v>
      </c>
      <c r="C348">
        <v>46386.833333333336</v>
      </c>
      <c r="D348" t="s">
        <v>1126</v>
      </c>
      <c r="E348" t="s">
        <v>714</v>
      </c>
      <c r="F348" t="s">
        <v>1613</v>
      </c>
      <c r="G348">
        <v>3</v>
      </c>
      <c r="H348">
        <v>15</v>
      </c>
      <c r="I348">
        <v>9</v>
      </c>
      <c r="J348" s="17"/>
      <c r="K348" s="17"/>
      <c r="L348" s="19" t="str">
        <f t="shared" si="5"/>
        <v/>
      </c>
      <c r="M348" s="17">
        <v>1</v>
      </c>
      <c r="N348" s="17">
        <v>1</v>
      </c>
      <c r="P348" t="s">
        <v>1614</v>
      </c>
    </row>
    <row r="349" spans="1:16">
      <c r="A349">
        <v>18</v>
      </c>
      <c r="B349">
        <v>174</v>
      </c>
      <c r="C349">
        <v>46386.833333333336</v>
      </c>
      <c r="D349" t="s">
        <v>714</v>
      </c>
      <c r="E349" t="s">
        <v>1126</v>
      </c>
      <c r="F349" t="s">
        <v>1615</v>
      </c>
      <c r="G349">
        <v>4</v>
      </c>
      <c r="H349">
        <v>9</v>
      </c>
      <c r="I349">
        <v>15</v>
      </c>
      <c r="J349" s="17"/>
      <c r="K349" s="17"/>
      <c r="L349" s="19" t="str">
        <f t="shared" si="5"/>
        <v/>
      </c>
      <c r="M349" s="17">
        <v>1</v>
      </c>
      <c r="N349" s="17">
        <v>1</v>
      </c>
      <c r="P349" t="s">
        <v>1614</v>
      </c>
    </row>
    <row r="350" spans="1:16">
      <c r="A350">
        <v>18</v>
      </c>
      <c r="B350">
        <v>175</v>
      </c>
      <c r="C350">
        <v>46386.833333333336</v>
      </c>
      <c r="D350" t="s">
        <v>64</v>
      </c>
      <c r="E350" t="s">
        <v>777</v>
      </c>
      <c r="F350" t="s">
        <v>1613</v>
      </c>
      <c r="G350">
        <v>3</v>
      </c>
      <c r="H350">
        <v>1</v>
      </c>
      <c r="I350">
        <v>10</v>
      </c>
      <c r="J350" s="17"/>
      <c r="K350" s="17"/>
      <c r="L350" s="19" t="str">
        <f t="shared" si="5"/>
        <v/>
      </c>
      <c r="M350" s="17">
        <v>1</v>
      </c>
      <c r="N350" s="17">
        <v>1</v>
      </c>
      <c r="P350" t="s">
        <v>1614</v>
      </c>
    </row>
    <row r="351" spans="1:16">
      <c r="A351">
        <v>18</v>
      </c>
      <c r="B351">
        <v>175</v>
      </c>
      <c r="C351">
        <v>46386.833333333336</v>
      </c>
      <c r="D351" t="s">
        <v>777</v>
      </c>
      <c r="E351" t="s">
        <v>64</v>
      </c>
      <c r="F351" t="s">
        <v>1615</v>
      </c>
      <c r="G351">
        <v>4</v>
      </c>
      <c r="H351">
        <v>10</v>
      </c>
      <c r="I351">
        <v>1</v>
      </c>
      <c r="J351" s="17"/>
      <c r="K351" s="17"/>
      <c r="L351" s="19" t="str">
        <f t="shared" si="5"/>
        <v/>
      </c>
      <c r="M351" s="17">
        <v>1</v>
      </c>
      <c r="N351" s="17">
        <v>1</v>
      </c>
      <c r="P351" t="s">
        <v>1614</v>
      </c>
    </row>
    <row r="352" spans="1:16">
      <c r="A352">
        <v>18</v>
      </c>
      <c r="B352">
        <v>176</v>
      </c>
      <c r="C352">
        <v>46386.833333333336</v>
      </c>
      <c r="D352" t="s">
        <v>978</v>
      </c>
      <c r="E352" t="s">
        <v>831</v>
      </c>
      <c r="F352" t="s">
        <v>1613</v>
      </c>
      <c r="G352">
        <v>2</v>
      </c>
      <c r="H352">
        <v>13</v>
      </c>
      <c r="I352">
        <v>11</v>
      </c>
      <c r="J352" s="17"/>
      <c r="K352" s="17"/>
      <c r="L352" s="19" t="str">
        <f t="shared" si="5"/>
        <v/>
      </c>
      <c r="M352" s="17">
        <v>1</v>
      </c>
      <c r="N352" s="17">
        <v>1</v>
      </c>
      <c r="P352" t="s">
        <v>1614</v>
      </c>
    </row>
    <row r="353" spans="1:16">
      <c r="A353">
        <v>18</v>
      </c>
      <c r="B353">
        <v>176</v>
      </c>
      <c r="C353">
        <v>46386.833333333336</v>
      </c>
      <c r="D353" t="s">
        <v>831</v>
      </c>
      <c r="E353" t="s">
        <v>978</v>
      </c>
      <c r="F353" t="s">
        <v>1615</v>
      </c>
      <c r="G353">
        <v>2</v>
      </c>
      <c r="H353">
        <v>11</v>
      </c>
      <c r="I353">
        <v>13</v>
      </c>
      <c r="J353" s="17"/>
      <c r="K353" s="17"/>
      <c r="L353" s="19" t="str">
        <f t="shared" si="5"/>
        <v/>
      </c>
      <c r="M353" s="17">
        <v>1</v>
      </c>
      <c r="N353" s="17">
        <v>1</v>
      </c>
      <c r="P353" t="s">
        <v>1614</v>
      </c>
    </row>
    <row r="354" spans="1:16">
      <c r="A354">
        <v>18</v>
      </c>
      <c r="B354">
        <v>177</v>
      </c>
      <c r="C354">
        <v>46386.833333333336</v>
      </c>
      <c r="D354" t="s">
        <v>474</v>
      </c>
      <c r="E354" t="s">
        <v>903</v>
      </c>
      <c r="F354" t="s">
        <v>1613</v>
      </c>
      <c r="G354">
        <v>2</v>
      </c>
      <c r="H354">
        <v>6</v>
      </c>
      <c r="I354">
        <v>12</v>
      </c>
      <c r="J354" s="17"/>
      <c r="K354" s="17"/>
      <c r="L354" s="19" t="str">
        <f t="shared" si="5"/>
        <v/>
      </c>
      <c r="M354" s="17">
        <v>1</v>
      </c>
      <c r="N354" s="17">
        <v>1</v>
      </c>
      <c r="P354" t="s">
        <v>1614</v>
      </c>
    </row>
    <row r="355" spans="1:16">
      <c r="A355">
        <v>18</v>
      </c>
      <c r="B355">
        <v>177</v>
      </c>
      <c r="C355">
        <v>46386.833333333336</v>
      </c>
      <c r="D355" t="s">
        <v>903</v>
      </c>
      <c r="E355" t="s">
        <v>474</v>
      </c>
      <c r="F355" t="s">
        <v>1615</v>
      </c>
      <c r="G355">
        <v>4</v>
      </c>
      <c r="H355">
        <v>12</v>
      </c>
      <c r="I355">
        <v>6</v>
      </c>
      <c r="J355" s="17"/>
      <c r="K355" s="17"/>
      <c r="L355" s="19" t="str">
        <f t="shared" si="5"/>
        <v/>
      </c>
      <c r="M355" s="17">
        <v>1</v>
      </c>
      <c r="N355" s="17">
        <v>1</v>
      </c>
      <c r="P355" t="s">
        <v>1614</v>
      </c>
    </row>
    <row r="356" spans="1:16">
      <c r="A356">
        <v>18</v>
      </c>
      <c r="B356">
        <v>178</v>
      </c>
      <c r="C356">
        <v>46386.833333333336</v>
      </c>
      <c r="D356" t="s">
        <v>1493</v>
      </c>
      <c r="E356" t="s">
        <v>1199</v>
      </c>
      <c r="F356" t="s">
        <v>1613</v>
      </c>
      <c r="G356">
        <v>4</v>
      </c>
      <c r="H356">
        <v>20</v>
      </c>
      <c r="I356">
        <v>16</v>
      </c>
      <c r="J356" s="17"/>
      <c r="K356" s="17"/>
      <c r="L356" s="19" t="str">
        <f t="shared" si="5"/>
        <v/>
      </c>
      <c r="M356" s="17">
        <v>1</v>
      </c>
      <c r="N356" s="17">
        <v>1</v>
      </c>
      <c r="P356" t="s">
        <v>1614</v>
      </c>
    </row>
    <row r="357" spans="1:16">
      <c r="A357">
        <v>18</v>
      </c>
      <c r="B357">
        <v>178</v>
      </c>
      <c r="C357">
        <v>46386.833333333336</v>
      </c>
      <c r="D357" t="s">
        <v>1199</v>
      </c>
      <c r="E357" t="s">
        <v>1493</v>
      </c>
      <c r="F357" t="s">
        <v>1615</v>
      </c>
      <c r="G357">
        <v>2</v>
      </c>
      <c r="H357">
        <v>16</v>
      </c>
      <c r="I357">
        <v>20</v>
      </c>
      <c r="J357" s="17"/>
      <c r="K357" s="17"/>
      <c r="L357" s="19" t="str">
        <f t="shared" si="5"/>
        <v/>
      </c>
      <c r="M357" s="17">
        <v>1</v>
      </c>
      <c r="N357" s="17">
        <v>1</v>
      </c>
      <c r="P357" t="s">
        <v>1614</v>
      </c>
    </row>
    <row r="358" spans="1:16">
      <c r="A358">
        <v>18</v>
      </c>
      <c r="B358">
        <v>179</v>
      </c>
      <c r="C358">
        <v>46386.833333333336</v>
      </c>
      <c r="D358" t="s">
        <v>1354</v>
      </c>
      <c r="E358" t="s">
        <v>1283</v>
      </c>
      <c r="F358" t="s">
        <v>1613</v>
      </c>
      <c r="G358">
        <v>3</v>
      </c>
      <c r="H358">
        <v>18</v>
      </c>
      <c r="I358">
        <v>17</v>
      </c>
      <c r="J358" s="17"/>
      <c r="K358" s="17"/>
      <c r="L358" s="19" t="str">
        <f t="shared" si="5"/>
        <v/>
      </c>
      <c r="M358" s="17">
        <v>1</v>
      </c>
      <c r="N358" s="17">
        <v>1</v>
      </c>
      <c r="P358" t="s">
        <v>1614</v>
      </c>
    </row>
    <row r="359" spans="1:16">
      <c r="A359">
        <v>18</v>
      </c>
      <c r="B359">
        <v>179</v>
      </c>
      <c r="C359">
        <v>46386.833333333336</v>
      </c>
      <c r="D359" t="s">
        <v>1283</v>
      </c>
      <c r="E359" t="s">
        <v>1354</v>
      </c>
      <c r="F359" t="s">
        <v>1615</v>
      </c>
      <c r="G359">
        <v>3</v>
      </c>
      <c r="H359">
        <v>17</v>
      </c>
      <c r="I359">
        <v>18</v>
      </c>
      <c r="J359" s="17"/>
      <c r="K359" s="17"/>
      <c r="L359" s="19" t="str">
        <f t="shared" si="5"/>
        <v/>
      </c>
      <c r="M359" s="17">
        <v>1</v>
      </c>
      <c r="N359" s="17">
        <v>1</v>
      </c>
      <c r="P359" t="s">
        <v>1614</v>
      </c>
    </row>
    <row r="360" spans="1:16">
      <c r="A360">
        <v>18</v>
      </c>
      <c r="B360">
        <v>180</v>
      </c>
      <c r="C360">
        <v>46386.833333333336</v>
      </c>
      <c r="D360" t="s">
        <v>390</v>
      </c>
      <c r="E360" t="s">
        <v>1412</v>
      </c>
      <c r="F360" t="s">
        <v>1613</v>
      </c>
      <c r="G360">
        <v>3</v>
      </c>
      <c r="H360">
        <v>5</v>
      </c>
      <c r="I360">
        <v>19</v>
      </c>
      <c r="J360" s="17"/>
      <c r="K360" s="17"/>
      <c r="L360" s="19" t="str">
        <f t="shared" si="5"/>
        <v/>
      </c>
      <c r="M360" s="17">
        <v>1</v>
      </c>
      <c r="N360" s="17">
        <v>1</v>
      </c>
      <c r="P360" t="s">
        <v>1614</v>
      </c>
    </row>
    <row r="361" spans="1:16">
      <c r="A361">
        <v>18</v>
      </c>
      <c r="B361">
        <v>180</v>
      </c>
      <c r="C361">
        <v>46386.833333333336</v>
      </c>
      <c r="D361" t="s">
        <v>1412</v>
      </c>
      <c r="E361" t="s">
        <v>390</v>
      </c>
      <c r="F361" t="s">
        <v>1615</v>
      </c>
      <c r="G361">
        <v>2</v>
      </c>
      <c r="H361">
        <v>19</v>
      </c>
      <c r="I361">
        <v>5</v>
      </c>
      <c r="J361" s="17"/>
      <c r="K361" s="17"/>
      <c r="L361" s="19" t="str">
        <f t="shared" si="5"/>
        <v/>
      </c>
      <c r="M361" s="17">
        <v>1</v>
      </c>
      <c r="N361" s="17">
        <v>1</v>
      </c>
      <c r="P361" t="s">
        <v>1614</v>
      </c>
    </row>
    <row r="362" spans="1:16">
      <c r="A362">
        <v>19</v>
      </c>
      <c r="B362">
        <v>181</v>
      </c>
      <c r="C362">
        <v>46389.625</v>
      </c>
      <c r="D362" t="s">
        <v>903</v>
      </c>
      <c r="E362" t="s">
        <v>64</v>
      </c>
      <c r="F362" t="s">
        <v>1613</v>
      </c>
      <c r="G362">
        <v>5</v>
      </c>
      <c r="H362">
        <v>12</v>
      </c>
      <c r="I362">
        <v>1</v>
      </c>
      <c r="J362" s="17"/>
      <c r="K362" s="17"/>
      <c r="L362" s="19" t="str">
        <f t="shared" si="5"/>
        <v/>
      </c>
      <c r="M362" s="17">
        <v>1</v>
      </c>
      <c r="N362" s="17">
        <v>1</v>
      </c>
      <c r="P362" t="s">
        <v>1614</v>
      </c>
    </row>
    <row r="363" spans="1:16">
      <c r="A363">
        <v>19</v>
      </c>
      <c r="B363">
        <v>181</v>
      </c>
      <c r="C363">
        <v>46389.625</v>
      </c>
      <c r="D363" t="s">
        <v>64</v>
      </c>
      <c r="E363" t="s">
        <v>903</v>
      </c>
      <c r="F363" t="s">
        <v>1615</v>
      </c>
      <c r="G363">
        <v>2</v>
      </c>
      <c r="H363">
        <v>1</v>
      </c>
      <c r="I363">
        <v>12</v>
      </c>
      <c r="J363" s="17"/>
      <c r="K363" s="17"/>
      <c r="L363" s="19" t="str">
        <f t="shared" si="5"/>
        <v/>
      </c>
      <c r="M363" s="17">
        <v>1</v>
      </c>
      <c r="N363" s="17">
        <v>1</v>
      </c>
      <c r="P363" t="s">
        <v>1614</v>
      </c>
    </row>
    <row r="364" spans="1:16">
      <c r="A364">
        <v>19</v>
      </c>
      <c r="B364">
        <v>182</v>
      </c>
      <c r="C364">
        <v>46389.625</v>
      </c>
      <c r="D364" t="s">
        <v>153</v>
      </c>
      <c r="E364" t="s">
        <v>236</v>
      </c>
      <c r="F364" t="s">
        <v>1613</v>
      </c>
      <c r="G364">
        <v>3</v>
      </c>
      <c r="H364">
        <v>2</v>
      </c>
      <c r="I364">
        <v>3</v>
      </c>
      <c r="J364" s="17"/>
      <c r="K364" s="17"/>
      <c r="L364" s="19" t="str">
        <f t="shared" si="5"/>
        <v/>
      </c>
      <c r="M364" s="17">
        <v>1</v>
      </c>
      <c r="N364" s="17">
        <v>1</v>
      </c>
      <c r="P364" t="s">
        <v>1614</v>
      </c>
    </row>
    <row r="365" spans="1:16">
      <c r="A365">
        <v>19</v>
      </c>
      <c r="B365">
        <v>182</v>
      </c>
      <c r="C365">
        <v>46389.625</v>
      </c>
      <c r="D365" t="s">
        <v>236</v>
      </c>
      <c r="E365" t="s">
        <v>153</v>
      </c>
      <c r="F365" t="s">
        <v>1615</v>
      </c>
      <c r="G365">
        <v>3</v>
      </c>
      <c r="H365">
        <v>3</v>
      </c>
      <c r="I365">
        <v>2</v>
      </c>
      <c r="J365" s="17"/>
      <c r="K365" s="17"/>
      <c r="L365" s="19" t="str">
        <f t="shared" si="5"/>
        <v/>
      </c>
      <c r="M365" s="17">
        <v>1</v>
      </c>
      <c r="N365" s="17">
        <v>1</v>
      </c>
      <c r="P365" t="s">
        <v>1614</v>
      </c>
    </row>
    <row r="366" spans="1:16">
      <c r="A366">
        <v>19</v>
      </c>
      <c r="B366">
        <v>183</v>
      </c>
      <c r="C366">
        <v>46389.625</v>
      </c>
      <c r="D366" t="s">
        <v>639</v>
      </c>
      <c r="E366" t="s">
        <v>312</v>
      </c>
      <c r="F366" t="s">
        <v>1613</v>
      </c>
      <c r="G366">
        <v>3</v>
      </c>
      <c r="H366">
        <v>8</v>
      </c>
      <c r="I366">
        <v>4</v>
      </c>
      <c r="J366" s="17"/>
      <c r="K366" s="17"/>
      <c r="L366" s="19" t="str">
        <f t="shared" si="5"/>
        <v/>
      </c>
      <c r="M366" s="17">
        <v>1</v>
      </c>
      <c r="N366" s="17">
        <v>1</v>
      </c>
      <c r="P366" t="s">
        <v>1614</v>
      </c>
    </row>
    <row r="367" spans="1:16">
      <c r="A367">
        <v>19</v>
      </c>
      <c r="B367">
        <v>183</v>
      </c>
      <c r="C367">
        <v>46389.625</v>
      </c>
      <c r="D367" t="s">
        <v>312</v>
      </c>
      <c r="E367" t="s">
        <v>639</v>
      </c>
      <c r="F367" t="s">
        <v>1615</v>
      </c>
      <c r="G367">
        <v>3</v>
      </c>
      <c r="H367">
        <v>4</v>
      </c>
      <c r="I367">
        <v>8</v>
      </c>
      <c r="J367" s="17"/>
      <c r="K367" s="17"/>
      <c r="L367" s="19" t="str">
        <f t="shared" si="5"/>
        <v/>
      </c>
      <c r="M367" s="17">
        <v>1</v>
      </c>
      <c r="N367" s="17">
        <v>1</v>
      </c>
      <c r="P367" t="s">
        <v>1614</v>
      </c>
    </row>
    <row r="368" spans="1:16">
      <c r="A368">
        <v>19</v>
      </c>
      <c r="B368">
        <v>184</v>
      </c>
      <c r="C368">
        <v>46389.625</v>
      </c>
      <c r="D368" t="s">
        <v>1199</v>
      </c>
      <c r="E368" t="s">
        <v>390</v>
      </c>
      <c r="F368" t="s">
        <v>1613</v>
      </c>
      <c r="G368">
        <v>3</v>
      </c>
      <c r="H368">
        <v>16</v>
      </c>
      <c r="I368">
        <v>5</v>
      </c>
      <c r="J368" s="17"/>
      <c r="K368" s="17"/>
      <c r="L368" s="19" t="str">
        <f t="shared" si="5"/>
        <v/>
      </c>
      <c r="M368" s="17">
        <v>1</v>
      </c>
      <c r="N368" s="17">
        <v>1</v>
      </c>
      <c r="P368" t="s">
        <v>1614</v>
      </c>
    </row>
    <row r="369" spans="1:16">
      <c r="A369">
        <v>19</v>
      </c>
      <c r="B369">
        <v>184</v>
      </c>
      <c r="C369">
        <v>46389.625</v>
      </c>
      <c r="D369" t="s">
        <v>390</v>
      </c>
      <c r="E369" t="s">
        <v>1199</v>
      </c>
      <c r="F369" t="s">
        <v>1615</v>
      </c>
      <c r="G369">
        <v>4</v>
      </c>
      <c r="H369">
        <v>5</v>
      </c>
      <c r="I369">
        <v>16</v>
      </c>
      <c r="J369" s="17"/>
      <c r="K369" s="17"/>
      <c r="L369" s="19" t="str">
        <f t="shared" si="5"/>
        <v/>
      </c>
      <c r="M369" s="17">
        <v>1</v>
      </c>
      <c r="N369" s="17">
        <v>1</v>
      </c>
      <c r="P369" t="s">
        <v>1614</v>
      </c>
    </row>
    <row r="370" spans="1:16">
      <c r="A370">
        <v>19</v>
      </c>
      <c r="B370">
        <v>185</v>
      </c>
      <c r="C370">
        <v>46389.625</v>
      </c>
      <c r="D370" t="s">
        <v>1283</v>
      </c>
      <c r="E370" t="s">
        <v>474</v>
      </c>
      <c r="F370" t="s">
        <v>1613</v>
      </c>
      <c r="G370">
        <v>4</v>
      </c>
      <c r="H370">
        <v>17</v>
      </c>
      <c r="I370">
        <v>6</v>
      </c>
      <c r="J370" s="17"/>
      <c r="K370" s="17"/>
      <c r="L370" s="19" t="str">
        <f t="shared" si="5"/>
        <v/>
      </c>
      <c r="M370" s="17">
        <v>1</v>
      </c>
      <c r="N370" s="17">
        <v>1</v>
      </c>
      <c r="P370" t="s">
        <v>1614</v>
      </c>
    </row>
    <row r="371" spans="1:16">
      <c r="A371">
        <v>19</v>
      </c>
      <c r="B371">
        <v>185</v>
      </c>
      <c r="C371">
        <v>46389.625</v>
      </c>
      <c r="D371" t="s">
        <v>474</v>
      </c>
      <c r="E371" t="s">
        <v>1283</v>
      </c>
      <c r="F371" t="s">
        <v>1615</v>
      </c>
      <c r="G371">
        <v>2</v>
      </c>
      <c r="H371">
        <v>6</v>
      </c>
      <c r="I371">
        <v>17</v>
      </c>
      <c r="J371" s="17"/>
      <c r="K371" s="17"/>
      <c r="L371" s="19" t="str">
        <f t="shared" si="5"/>
        <v/>
      </c>
      <c r="M371" s="17">
        <v>1</v>
      </c>
      <c r="N371" s="17">
        <v>1</v>
      </c>
      <c r="P371" t="s">
        <v>1614</v>
      </c>
    </row>
    <row r="372" spans="1:16">
      <c r="A372">
        <v>19</v>
      </c>
      <c r="B372">
        <v>186</v>
      </c>
      <c r="C372">
        <v>46389.625</v>
      </c>
      <c r="D372" t="s">
        <v>714</v>
      </c>
      <c r="E372" t="s">
        <v>978</v>
      </c>
      <c r="F372" t="s">
        <v>1613</v>
      </c>
      <c r="G372">
        <v>3</v>
      </c>
      <c r="H372">
        <v>9</v>
      </c>
      <c r="I372">
        <v>13</v>
      </c>
      <c r="J372" s="17"/>
      <c r="K372" s="17"/>
      <c r="L372" s="19" t="str">
        <f t="shared" si="5"/>
        <v/>
      </c>
      <c r="M372" s="17">
        <v>1</v>
      </c>
      <c r="N372" s="17">
        <v>1</v>
      </c>
      <c r="P372" t="s">
        <v>1614</v>
      </c>
    </row>
    <row r="373" spans="1:16">
      <c r="A373">
        <v>19</v>
      </c>
      <c r="B373">
        <v>186</v>
      </c>
      <c r="C373">
        <v>46389.625</v>
      </c>
      <c r="D373" t="s">
        <v>978</v>
      </c>
      <c r="E373" t="s">
        <v>714</v>
      </c>
      <c r="F373" t="s">
        <v>1615</v>
      </c>
      <c r="G373">
        <v>3</v>
      </c>
      <c r="H373">
        <v>13</v>
      </c>
      <c r="I373">
        <v>9</v>
      </c>
      <c r="J373" s="17"/>
      <c r="K373" s="17"/>
      <c r="L373" s="19" t="str">
        <f t="shared" si="5"/>
        <v/>
      </c>
      <c r="M373" s="17">
        <v>1</v>
      </c>
      <c r="N373" s="17">
        <v>1</v>
      </c>
      <c r="P373" t="s">
        <v>1614</v>
      </c>
    </row>
    <row r="374" spans="1:16">
      <c r="A374">
        <v>19</v>
      </c>
      <c r="B374">
        <v>187</v>
      </c>
      <c r="C374">
        <v>46389.625</v>
      </c>
      <c r="D374" t="s">
        <v>567</v>
      </c>
      <c r="E374" t="s">
        <v>1037</v>
      </c>
      <c r="F374" t="s">
        <v>1613</v>
      </c>
      <c r="G374">
        <v>4</v>
      </c>
      <c r="H374">
        <v>7</v>
      </c>
      <c r="I374">
        <v>14</v>
      </c>
      <c r="J374" s="17"/>
      <c r="K374" s="17"/>
      <c r="L374" s="19" t="str">
        <f t="shared" si="5"/>
        <v/>
      </c>
      <c r="M374" s="17">
        <v>1</v>
      </c>
      <c r="N374" s="17">
        <v>1</v>
      </c>
      <c r="P374" t="s">
        <v>1614</v>
      </c>
    </row>
    <row r="375" spans="1:16">
      <c r="A375">
        <v>19</v>
      </c>
      <c r="B375">
        <v>187</v>
      </c>
      <c r="C375">
        <v>46389.625</v>
      </c>
      <c r="D375" t="s">
        <v>1037</v>
      </c>
      <c r="E375" t="s">
        <v>567</v>
      </c>
      <c r="F375" t="s">
        <v>1615</v>
      </c>
      <c r="G375">
        <v>2</v>
      </c>
      <c r="H375">
        <v>14</v>
      </c>
      <c r="I375">
        <v>7</v>
      </c>
      <c r="J375" s="17"/>
      <c r="K375" s="17"/>
      <c r="L375" s="19" t="str">
        <f t="shared" si="5"/>
        <v/>
      </c>
      <c r="M375" s="17">
        <v>1</v>
      </c>
      <c r="N375" s="17">
        <v>1</v>
      </c>
      <c r="P375" t="s">
        <v>1614</v>
      </c>
    </row>
    <row r="376" spans="1:16">
      <c r="A376">
        <v>19</v>
      </c>
      <c r="B376">
        <v>188</v>
      </c>
      <c r="C376">
        <v>46389.625</v>
      </c>
      <c r="D376" t="s">
        <v>1412</v>
      </c>
      <c r="E376" t="s">
        <v>1126</v>
      </c>
      <c r="F376" t="s">
        <v>1613</v>
      </c>
      <c r="G376">
        <v>5</v>
      </c>
      <c r="H376">
        <v>19</v>
      </c>
      <c r="I376">
        <v>15</v>
      </c>
      <c r="J376" s="17"/>
      <c r="K376" s="17"/>
      <c r="L376" s="19" t="str">
        <f t="shared" si="5"/>
        <v/>
      </c>
      <c r="M376" s="17">
        <v>1</v>
      </c>
      <c r="N376" s="17">
        <v>1</v>
      </c>
      <c r="P376" t="s">
        <v>1614</v>
      </c>
    </row>
    <row r="377" spans="1:16">
      <c r="A377">
        <v>19</v>
      </c>
      <c r="B377">
        <v>188</v>
      </c>
      <c r="C377">
        <v>46389.625</v>
      </c>
      <c r="D377" t="s">
        <v>1126</v>
      </c>
      <c r="E377" t="s">
        <v>1412</v>
      </c>
      <c r="F377" t="s">
        <v>1615</v>
      </c>
      <c r="G377">
        <v>3</v>
      </c>
      <c r="H377">
        <v>15</v>
      </c>
      <c r="I377">
        <v>19</v>
      </c>
      <c r="J377" s="17"/>
      <c r="K377" s="17"/>
      <c r="L377" s="19" t="str">
        <f t="shared" si="5"/>
        <v/>
      </c>
      <c r="M377" s="17">
        <v>1</v>
      </c>
      <c r="N377" s="17">
        <v>1</v>
      </c>
      <c r="P377" t="s">
        <v>1614</v>
      </c>
    </row>
    <row r="378" spans="1:16">
      <c r="A378">
        <v>19</v>
      </c>
      <c r="B378">
        <v>189</v>
      </c>
      <c r="C378">
        <v>46389.625</v>
      </c>
      <c r="D378" t="s">
        <v>777</v>
      </c>
      <c r="E378" t="s">
        <v>1354</v>
      </c>
      <c r="F378" t="s">
        <v>1613</v>
      </c>
      <c r="G378">
        <v>3</v>
      </c>
      <c r="H378">
        <v>10</v>
      </c>
      <c r="I378">
        <v>18</v>
      </c>
      <c r="J378" s="17"/>
      <c r="K378" s="17"/>
      <c r="L378" s="19" t="str">
        <f t="shared" si="5"/>
        <v/>
      </c>
      <c r="M378" s="17">
        <v>1</v>
      </c>
      <c r="N378" s="17">
        <v>1</v>
      </c>
      <c r="P378" t="s">
        <v>1614</v>
      </c>
    </row>
    <row r="379" spans="1:16">
      <c r="A379">
        <v>19</v>
      </c>
      <c r="B379">
        <v>189</v>
      </c>
      <c r="C379">
        <v>46389.625</v>
      </c>
      <c r="D379" t="s">
        <v>1354</v>
      </c>
      <c r="E379" t="s">
        <v>777</v>
      </c>
      <c r="F379" t="s">
        <v>1615</v>
      </c>
      <c r="G379">
        <v>2</v>
      </c>
      <c r="H379">
        <v>18</v>
      </c>
      <c r="I379">
        <v>10</v>
      </c>
      <c r="J379" s="17"/>
      <c r="K379" s="17"/>
      <c r="L379" s="19" t="str">
        <f t="shared" si="5"/>
        <v/>
      </c>
      <c r="M379" s="17">
        <v>1</v>
      </c>
      <c r="N379" s="17">
        <v>1</v>
      </c>
      <c r="P379" t="s">
        <v>1614</v>
      </c>
    </row>
    <row r="380" spans="1:16">
      <c r="A380">
        <v>19</v>
      </c>
      <c r="B380">
        <v>190</v>
      </c>
      <c r="C380">
        <v>46389.625</v>
      </c>
      <c r="D380" t="s">
        <v>831</v>
      </c>
      <c r="E380" t="s">
        <v>1493</v>
      </c>
      <c r="F380" t="s">
        <v>1613</v>
      </c>
      <c r="G380">
        <v>3</v>
      </c>
      <c r="H380">
        <v>11</v>
      </c>
      <c r="I380">
        <v>20</v>
      </c>
      <c r="J380" s="17"/>
      <c r="K380" s="17"/>
      <c r="L380" s="19" t="str">
        <f t="shared" si="5"/>
        <v/>
      </c>
      <c r="M380" s="17">
        <v>1</v>
      </c>
      <c r="N380" s="17">
        <v>1</v>
      </c>
      <c r="P380" t="s">
        <v>1614</v>
      </c>
    </row>
    <row r="381" spans="1:16">
      <c r="A381">
        <v>19</v>
      </c>
      <c r="B381">
        <v>190</v>
      </c>
      <c r="C381">
        <v>46389.625</v>
      </c>
      <c r="D381" t="s">
        <v>1493</v>
      </c>
      <c r="E381" t="s">
        <v>831</v>
      </c>
      <c r="F381" t="s">
        <v>1615</v>
      </c>
      <c r="G381">
        <v>2</v>
      </c>
      <c r="H381">
        <v>20</v>
      </c>
      <c r="I381">
        <v>11</v>
      </c>
      <c r="J381" s="17"/>
      <c r="K381" s="17"/>
      <c r="L381" s="19" t="str">
        <f t="shared" si="5"/>
        <v/>
      </c>
      <c r="M381" s="17">
        <v>1</v>
      </c>
      <c r="N381" s="17">
        <v>1</v>
      </c>
      <c r="P381" t="s">
        <v>1614</v>
      </c>
    </row>
    <row r="382" spans="1:16">
      <c r="A382">
        <v>20</v>
      </c>
      <c r="B382">
        <v>191</v>
      </c>
      <c r="C382">
        <v>46393.833333333336</v>
      </c>
      <c r="D382" t="s">
        <v>312</v>
      </c>
      <c r="E382" t="s">
        <v>64</v>
      </c>
      <c r="F382" t="s">
        <v>1613</v>
      </c>
      <c r="G382">
        <v>5</v>
      </c>
      <c r="H382">
        <v>4</v>
      </c>
      <c r="I382">
        <v>1</v>
      </c>
      <c r="J382" s="17"/>
      <c r="K382" s="17"/>
      <c r="L382" s="19" t="str">
        <f t="shared" si="5"/>
        <v/>
      </c>
      <c r="M382" s="17">
        <v>1</v>
      </c>
      <c r="N382" s="17">
        <v>1</v>
      </c>
      <c r="P382" t="s">
        <v>1614</v>
      </c>
    </row>
    <row r="383" spans="1:16">
      <c r="A383">
        <v>20</v>
      </c>
      <c r="B383">
        <v>191</v>
      </c>
      <c r="C383">
        <v>46393.833333333336</v>
      </c>
      <c r="D383" t="s">
        <v>64</v>
      </c>
      <c r="E383" t="s">
        <v>312</v>
      </c>
      <c r="F383" t="s">
        <v>1615</v>
      </c>
      <c r="G383">
        <v>3</v>
      </c>
      <c r="H383">
        <v>1</v>
      </c>
      <c r="I383">
        <v>4</v>
      </c>
      <c r="J383" s="17"/>
      <c r="K383" s="17"/>
      <c r="L383" s="19" t="str">
        <f t="shared" si="5"/>
        <v/>
      </c>
      <c r="M383" s="17">
        <v>1</v>
      </c>
      <c r="N383" s="17">
        <v>1</v>
      </c>
      <c r="P383" t="s">
        <v>1614</v>
      </c>
    </row>
    <row r="384" spans="1:16">
      <c r="A384">
        <v>20</v>
      </c>
      <c r="B384">
        <v>192</v>
      </c>
      <c r="C384">
        <v>46393.833333333336</v>
      </c>
      <c r="D384" t="s">
        <v>236</v>
      </c>
      <c r="E384" t="s">
        <v>390</v>
      </c>
      <c r="F384" t="s">
        <v>1613</v>
      </c>
      <c r="G384">
        <v>3</v>
      </c>
      <c r="H384">
        <v>3</v>
      </c>
      <c r="I384">
        <v>5</v>
      </c>
      <c r="J384" s="17"/>
      <c r="K384" s="17"/>
      <c r="L384" s="19" t="str">
        <f t="shared" si="5"/>
        <v/>
      </c>
      <c r="M384" s="17">
        <v>1</v>
      </c>
      <c r="N384" s="17">
        <v>1</v>
      </c>
      <c r="P384" t="s">
        <v>1614</v>
      </c>
    </row>
    <row r="385" spans="1:16">
      <c r="A385">
        <v>20</v>
      </c>
      <c r="B385">
        <v>192</v>
      </c>
      <c r="C385">
        <v>46393.833333333336</v>
      </c>
      <c r="D385" t="s">
        <v>390</v>
      </c>
      <c r="E385" t="s">
        <v>236</v>
      </c>
      <c r="F385" t="s">
        <v>1615</v>
      </c>
      <c r="G385">
        <v>3</v>
      </c>
      <c r="H385">
        <v>5</v>
      </c>
      <c r="I385">
        <v>3</v>
      </c>
      <c r="J385" s="17"/>
      <c r="K385" s="17"/>
      <c r="L385" s="19" t="str">
        <f t="shared" si="5"/>
        <v/>
      </c>
      <c r="M385" s="17">
        <v>1</v>
      </c>
      <c r="N385" s="17">
        <v>1</v>
      </c>
      <c r="P385" t="s">
        <v>1614</v>
      </c>
    </row>
    <row r="386" spans="1:16">
      <c r="A386">
        <v>20</v>
      </c>
      <c r="B386">
        <v>193</v>
      </c>
      <c r="C386">
        <v>46393.833333333336</v>
      </c>
      <c r="D386" t="s">
        <v>474</v>
      </c>
      <c r="E386" t="s">
        <v>639</v>
      </c>
      <c r="F386" t="s">
        <v>1613</v>
      </c>
      <c r="G386">
        <v>3</v>
      </c>
      <c r="H386">
        <v>6</v>
      </c>
      <c r="I386">
        <v>8</v>
      </c>
      <c r="J386" s="17"/>
      <c r="K386" s="17"/>
      <c r="L386" s="19" t="str">
        <f t="shared" ref="L386:L449" si="6">IF(K386="","",EXP(-K386))</f>
        <v/>
      </c>
      <c r="M386" s="17">
        <v>1</v>
      </c>
      <c r="N386" s="17">
        <v>1</v>
      </c>
      <c r="P386" t="s">
        <v>1614</v>
      </c>
    </row>
    <row r="387" spans="1:16">
      <c r="A387">
        <v>20</v>
      </c>
      <c r="B387">
        <v>193</v>
      </c>
      <c r="C387">
        <v>46393.833333333336</v>
      </c>
      <c r="D387" t="s">
        <v>639</v>
      </c>
      <c r="E387" t="s">
        <v>474</v>
      </c>
      <c r="F387" t="s">
        <v>1615</v>
      </c>
      <c r="G387">
        <v>4</v>
      </c>
      <c r="H387">
        <v>8</v>
      </c>
      <c r="I387">
        <v>6</v>
      </c>
      <c r="J387" s="17"/>
      <c r="K387" s="17"/>
      <c r="L387" s="19" t="str">
        <f t="shared" si="6"/>
        <v/>
      </c>
      <c r="M387" s="17">
        <v>1</v>
      </c>
      <c r="N387" s="17">
        <v>1</v>
      </c>
      <c r="P387" t="s">
        <v>1614</v>
      </c>
    </row>
    <row r="388" spans="1:16">
      <c r="A388">
        <v>20</v>
      </c>
      <c r="B388">
        <v>194</v>
      </c>
      <c r="C388">
        <v>46393.833333333336</v>
      </c>
      <c r="D388" t="s">
        <v>153</v>
      </c>
      <c r="E388" t="s">
        <v>714</v>
      </c>
      <c r="F388" t="s">
        <v>1613</v>
      </c>
      <c r="G388">
        <v>3</v>
      </c>
      <c r="H388">
        <v>2</v>
      </c>
      <c r="I388">
        <v>9</v>
      </c>
      <c r="J388" s="17"/>
      <c r="K388" s="17"/>
      <c r="L388" s="19" t="str">
        <f t="shared" si="6"/>
        <v/>
      </c>
      <c r="M388" s="17">
        <v>1</v>
      </c>
      <c r="N388" s="17">
        <v>1</v>
      </c>
      <c r="P388" t="s">
        <v>1614</v>
      </c>
    </row>
    <row r="389" spans="1:16">
      <c r="A389">
        <v>20</v>
      </c>
      <c r="B389">
        <v>194</v>
      </c>
      <c r="C389">
        <v>46393.833333333336</v>
      </c>
      <c r="D389" t="s">
        <v>714</v>
      </c>
      <c r="E389" t="s">
        <v>153</v>
      </c>
      <c r="F389" t="s">
        <v>1615</v>
      </c>
      <c r="G389">
        <v>3</v>
      </c>
      <c r="H389">
        <v>9</v>
      </c>
      <c r="I389">
        <v>2</v>
      </c>
      <c r="J389" s="17"/>
      <c r="K389" s="17"/>
      <c r="L389" s="19" t="str">
        <f t="shared" si="6"/>
        <v/>
      </c>
      <c r="M389" s="17">
        <v>1</v>
      </c>
      <c r="N389" s="17">
        <v>1</v>
      </c>
      <c r="P389" t="s">
        <v>1614</v>
      </c>
    </row>
    <row r="390" spans="1:16">
      <c r="A390">
        <v>20</v>
      </c>
      <c r="B390">
        <v>195</v>
      </c>
      <c r="C390">
        <v>46393.833333333336</v>
      </c>
      <c r="D390" t="s">
        <v>1412</v>
      </c>
      <c r="E390" t="s">
        <v>777</v>
      </c>
      <c r="F390" t="s">
        <v>1613</v>
      </c>
      <c r="G390">
        <v>3</v>
      </c>
      <c r="H390">
        <v>19</v>
      </c>
      <c r="I390">
        <v>10</v>
      </c>
      <c r="J390" s="17"/>
      <c r="K390" s="17"/>
      <c r="L390" s="19" t="str">
        <f t="shared" si="6"/>
        <v/>
      </c>
      <c r="M390" s="17">
        <v>1</v>
      </c>
      <c r="N390" s="17">
        <v>1</v>
      </c>
      <c r="P390" t="s">
        <v>1614</v>
      </c>
    </row>
    <row r="391" spans="1:16">
      <c r="A391">
        <v>20</v>
      </c>
      <c r="B391">
        <v>195</v>
      </c>
      <c r="C391">
        <v>46393.833333333336</v>
      </c>
      <c r="D391" t="s">
        <v>777</v>
      </c>
      <c r="E391" t="s">
        <v>1412</v>
      </c>
      <c r="F391" t="s">
        <v>1615</v>
      </c>
      <c r="G391">
        <v>3</v>
      </c>
      <c r="H391">
        <v>10</v>
      </c>
      <c r="I391">
        <v>19</v>
      </c>
      <c r="J391" s="17"/>
      <c r="K391" s="17"/>
      <c r="L391" s="19" t="str">
        <f t="shared" si="6"/>
        <v/>
      </c>
      <c r="M391" s="17">
        <v>1</v>
      </c>
      <c r="N391" s="17">
        <v>1</v>
      </c>
      <c r="P391" t="s">
        <v>1614</v>
      </c>
    </row>
    <row r="392" spans="1:16">
      <c r="A392">
        <v>20</v>
      </c>
      <c r="B392">
        <v>196</v>
      </c>
      <c r="C392">
        <v>46393.833333333336</v>
      </c>
      <c r="D392" t="s">
        <v>567</v>
      </c>
      <c r="E392" t="s">
        <v>903</v>
      </c>
      <c r="F392" t="s">
        <v>1613</v>
      </c>
      <c r="G392">
        <v>2</v>
      </c>
      <c r="H392">
        <v>7</v>
      </c>
      <c r="I392">
        <v>12</v>
      </c>
      <c r="J392" s="17"/>
      <c r="K392" s="17"/>
      <c r="L392" s="19" t="str">
        <f t="shared" si="6"/>
        <v/>
      </c>
      <c r="M392" s="17">
        <v>1</v>
      </c>
      <c r="N392" s="17">
        <v>1</v>
      </c>
      <c r="P392" t="s">
        <v>1614</v>
      </c>
    </row>
    <row r="393" spans="1:16">
      <c r="A393">
        <v>20</v>
      </c>
      <c r="B393">
        <v>196</v>
      </c>
      <c r="C393">
        <v>46393.833333333336</v>
      </c>
      <c r="D393" t="s">
        <v>903</v>
      </c>
      <c r="E393" t="s">
        <v>567</v>
      </c>
      <c r="F393" t="s">
        <v>1615</v>
      </c>
      <c r="G393">
        <v>2</v>
      </c>
      <c r="H393">
        <v>12</v>
      </c>
      <c r="I393">
        <v>7</v>
      </c>
      <c r="J393" s="17"/>
      <c r="K393" s="17"/>
      <c r="L393" s="19" t="str">
        <f t="shared" si="6"/>
        <v/>
      </c>
      <c r="M393" s="17">
        <v>1</v>
      </c>
      <c r="N393" s="17">
        <v>1</v>
      </c>
      <c r="P393" t="s">
        <v>1614</v>
      </c>
    </row>
    <row r="394" spans="1:16">
      <c r="A394">
        <v>20</v>
      </c>
      <c r="B394">
        <v>197</v>
      </c>
      <c r="C394">
        <v>46393.833333333336</v>
      </c>
      <c r="D394" t="s">
        <v>1126</v>
      </c>
      <c r="E394" t="s">
        <v>978</v>
      </c>
      <c r="F394" t="s">
        <v>1613</v>
      </c>
      <c r="G394">
        <v>3</v>
      </c>
      <c r="H394">
        <v>15</v>
      </c>
      <c r="I394">
        <v>13</v>
      </c>
      <c r="J394" s="17"/>
      <c r="K394" s="17"/>
      <c r="L394" s="19" t="str">
        <f t="shared" si="6"/>
        <v/>
      </c>
      <c r="M394" s="17">
        <v>1</v>
      </c>
      <c r="N394" s="17">
        <v>1</v>
      </c>
      <c r="P394" t="s">
        <v>1614</v>
      </c>
    </row>
    <row r="395" spans="1:16">
      <c r="A395">
        <v>20</v>
      </c>
      <c r="B395">
        <v>197</v>
      </c>
      <c r="C395">
        <v>46393.833333333336</v>
      </c>
      <c r="D395" t="s">
        <v>978</v>
      </c>
      <c r="E395" t="s">
        <v>1126</v>
      </c>
      <c r="F395" t="s">
        <v>1615</v>
      </c>
      <c r="G395">
        <v>4</v>
      </c>
      <c r="H395">
        <v>13</v>
      </c>
      <c r="I395">
        <v>15</v>
      </c>
      <c r="J395" s="17"/>
      <c r="K395" s="17"/>
      <c r="L395" s="19" t="str">
        <f t="shared" si="6"/>
        <v/>
      </c>
      <c r="M395" s="17">
        <v>1</v>
      </c>
      <c r="N395" s="17">
        <v>1</v>
      </c>
      <c r="P395" t="s">
        <v>1614</v>
      </c>
    </row>
    <row r="396" spans="1:16">
      <c r="A396">
        <v>20</v>
      </c>
      <c r="B396">
        <v>198</v>
      </c>
      <c r="C396">
        <v>46393.833333333336</v>
      </c>
      <c r="D396" t="s">
        <v>1283</v>
      </c>
      <c r="E396" t="s">
        <v>1199</v>
      </c>
      <c r="F396" t="s">
        <v>1613</v>
      </c>
      <c r="G396">
        <v>4</v>
      </c>
      <c r="H396">
        <v>17</v>
      </c>
      <c r="I396">
        <v>16</v>
      </c>
      <c r="J396" s="17"/>
      <c r="K396" s="17"/>
      <c r="L396" s="19" t="str">
        <f t="shared" si="6"/>
        <v/>
      </c>
      <c r="M396" s="17">
        <v>1</v>
      </c>
      <c r="N396" s="17">
        <v>1</v>
      </c>
      <c r="P396" t="s">
        <v>1614</v>
      </c>
    </row>
    <row r="397" spans="1:16">
      <c r="A397">
        <v>20</v>
      </c>
      <c r="B397">
        <v>198</v>
      </c>
      <c r="C397">
        <v>46393.833333333336</v>
      </c>
      <c r="D397" t="s">
        <v>1199</v>
      </c>
      <c r="E397" t="s">
        <v>1283</v>
      </c>
      <c r="F397" t="s">
        <v>1615</v>
      </c>
      <c r="G397">
        <v>2</v>
      </c>
      <c r="H397">
        <v>16</v>
      </c>
      <c r="I397">
        <v>17</v>
      </c>
      <c r="J397" s="17"/>
      <c r="K397" s="17"/>
      <c r="L397" s="19" t="str">
        <f t="shared" si="6"/>
        <v/>
      </c>
      <c r="M397" s="17">
        <v>1</v>
      </c>
      <c r="N397" s="17">
        <v>1</v>
      </c>
      <c r="P397" t="s">
        <v>1614</v>
      </c>
    </row>
    <row r="398" spans="1:16">
      <c r="A398">
        <v>20</v>
      </c>
      <c r="B398">
        <v>199</v>
      </c>
      <c r="C398">
        <v>46393.833333333336</v>
      </c>
      <c r="D398" t="s">
        <v>831</v>
      </c>
      <c r="E398" t="s">
        <v>1354</v>
      </c>
      <c r="F398" t="s">
        <v>1613</v>
      </c>
      <c r="G398">
        <v>3</v>
      </c>
      <c r="H398">
        <v>11</v>
      </c>
      <c r="I398">
        <v>18</v>
      </c>
      <c r="J398" s="17"/>
      <c r="K398" s="17"/>
      <c r="L398" s="19" t="str">
        <f t="shared" si="6"/>
        <v/>
      </c>
      <c r="M398" s="17">
        <v>1</v>
      </c>
      <c r="N398" s="17">
        <v>1</v>
      </c>
      <c r="P398" t="s">
        <v>1614</v>
      </c>
    </row>
    <row r="399" spans="1:16">
      <c r="A399">
        <v>20</v>
      </c>
      <c r="B399">
        <v>199</v>
      </c>
      <c r="C399">
        <v>46393.833333333336</v>
      </c>
      <c r="D399" t="s">
        <v>1354</v>
      </c>
      <c r="E399" t="s">
        <v>831</v>
      </c>
      <c r="F399" t="s">
        <v>1615</v>
      </c>
      <c r="G399">
        <v>2</v>
      </c>
      <c r="H399">
        <v>18</v>
      </c>
      <c r="I399">
        <v>11</v>
      </c>
      <c r="J399" s="17"/>
      <c r="K399" s="17"/>
      <c r="L399" s="19" t="str">
        <f t="shared" si="6"/>
        <v/>
      </c>
      <c r="M399" s="17">
        <v>1</v>
      </c>
      <c r="N399" s="17">
        <v>1</v>
      </c>
      <c r="P399" t="s">
        <v>1614</v>
      </c>
    </row>
    <row r="400" spans="1:16">
      <c r="A400">
        <v>20</v>
      </c>
      <c r="B400">
        <v>200</v>
      </c>
      <c r="C400">
        <v>46393.833333333336</v>
      </c>
      <c r="D400" t="s">
        <v>1037</v>
      </c>
      <c r="E400" t="s">
        <v>1493</v>
      </c>
      <c r="F400" t="s">
        <v>1613</v>
      </c>
      <c r="G400">
        <v>3</v>
      </c>
      <c r="H400">
        <v>14</v>
      </c>
      <c r="I400">
        <v>20</v>
      </c>
      <c r="J400" s="17"/>
      <c r="K400" s="17"/>
      <c r="L400" s="19" t="str">
        <f t="shared" si="6"/>
        <v/>
      </c>
      <c r="M400" s="17">
        <v>1</v>
      </c>
      <c r="N400" s="17">
        <v>1</v>
      </c>
      <c r="P400" t="s">
        <v>1614</v>
      </c>
    </row>
    <row r="401" spans="1:16">
      <c r="A401">
        <v>20</v>
      </c>
      <c r="B401">
        <v>200</v>
      </c>
      <c r="C401">
        <v>46393.833333333336</v>
      </c>
      <c r="D401" t="s">
        <v>1493</v>
      </c>
      <c r="E401" t="s">
        <v>1037</v>
      </c>
      <c r="F401" t="s">
        <v>1615</v>
      </c>
      <c r="G401">
        <v>4</v>
      </c>
      <c r="H401">
        <v>20</v>
      </c>
      <c r="I401">
        <v>14</v>
      </c>
      <c r="J401" s="17"/>
      <c r="K401" s="17"/>
      <c r="L401" s="19" t="str">
        <f t="shared" si="6"/>
        <v/>
      </c>
      <c r="M401" s="17">
        <v>1</v>
      </c>
      <c r="N401" s="17">
        <v>1</v>
      </c>
      <c r="P401" t="s">
        <v>1614</v>
      </c>
    </row>
    <row r="402" spans="1:16">
      <c r="A402">
        <v>21</v>
      </c>
      <c r="B402">
        <v>201</v>
      </c>
      <c r="C402">
        <v>46403.625</v>
      </c>
      <c r="D402" t="s">
        <v>1199</v>
      </c>
      <c r="E402" t="s">
        <v>153</v>
      </c>
      <c r="F402" t="s">
        <v>1613</v>
      </c>
      <c r="G402">
        <v>4</v>
      </c>
      <c r="H402">
        <v>16</v>
      </c>
      <c r="I402">
        <v>2</v>
      </c>
      <c r="J402" s="17"/>
      <c r="K402" s="17"/>
      <c r="L402" s="19" t="str">
        <f t="shared" si="6"/>
        <v/>
      </c>
      <c r="M402" s="17">
        <v>1</v>
      </c>
      <c r="N402" s="17">
        <v>1</v>
      </c>
      <c r="P402" t="s">
        <v>1614</v>
      </c>
    </row>
    <row r="403" spans="1:16">
      <c r="A403">
        <v>21</v>
      </c>
      <c r="B403">
        <v>201</v>
      </c>
      <c r="C403">
        <v>46403.625</v>
      </c>
      <c r="D403" t="s">
        <v>153</v>
      </c>
      <c r="E403" t="s">
        <v>1199</v>
      </c>
      <c r="F403" t="s">
        <v>1615</v>
      </c>
      <c r="G403">
        <v>4</v>
      </c>
      <c r="H403">
        <v>2</v>
      </c>
      <c r="I403">
        <v>16</v>
      </c>
      <c r="J403" s="17"/>
      <c r="K403" s="17"/>
      <c r="L403" s="19" t="str">
        <f t="shared" si="6"/>
        <v/>
      </c>
      <c r="M403" s="17">
        <v>1</v>
      </c>
      <c r="N403" s="17">
        <v>1</v>
      </c>
      <c r="P403" t="s">
        <v>1614</v>
      </c>
    </row>
    <row r="404" spans="1:16">
      <c r="A404">
        <v>21</v>
      </c>
      <c r="B404">
        <v>202</v>
      </c>
      <c r="C404">
        <v>46403.625</v>
      </c>
      <c r="D404" t="s">
        <v>903</v>
      </c>
      <c r="E404" t="s">
        <v>236</v>
      </c>
      <c r="F404" t="s">
        <v>1613</v>
      </c>
      <c r="G404">
        <v>3</v>
      </c>
      <c r="H404">
        <v>12</v>
      </c>
      <c r="I404">
        <v>3</v>
      </c>
      <c r="J404" s="17"/>
      <c r="K404" s="17"/>
      <c r="L404" s="19" t="str">
        <f t="shared" si="6"/>
        <v/>
      </c>
      <c r="M404" s="17">
        <v>1</v>
      </c>
      <c r="N404" s="17">
        <v>1</v>
      </c>
      <c r="P404" t="s">
        <v>1614</v>
      </c>
    </row>
    <row r="405" spans="1:16">
      <c r="A405">
        <v>21</v>
      </c>
      <c r="B405">
        <v>202</v>
      </c>
      <c r="C405">
        <v>46403.625</v>
      </c>
      <c r="D405" t="s">
        <v>236</v>
      </c>
      <c r="E405" t="s">
        <v>903</v>
      </c>
      <c r="F405" t="s">
        <v>1615</v>
      </c>
      <c r="G405">
        <v>2</v>
      </c>
      <c r="H405">
        <v>3</v>
      </c>
      <c r="I405">
        <v>12</v>
      </c>
      <c r="J405" s="17"/>
      <c r="K405" s="17"/>
      <c r="L405" s="19" t="str">
        <f t="shared" si="6"/>
        <v/>
      </c>
      <c r="M405" s="17">
        <v>1</v>
      </c>
      <c r="N405" s="17">
        <v>1</v>
      </c>
      <c r="P405" t="s">
        <v>1614</v>
      </c>
    </row>
    <row r="406" spans="1:16">
      <c r="A406">
        <v>21</v>
      </c>
      <c r="B406">
        <v>203</v>
      </c>
      <c r="C406">
        <v>46403.625</v>
      </c>
      <c r="D406" t="s">
        <v>390</v>
      </c>
      <c r="E406" t="s">
        <v>312</v>
      </c>
      <c r="F406" t="s">
        <v>1613</v>
      </c>
      <c r="G406">
        <v>3</v>
      </c>
      <c r="H406">
        <v>5</v>
      </c>
      <c r="I406">
        <v>4</v>
      </c>
      <c r="J406" s="17"/>
      <c r="K406" s="17"/>
      <c r="L406" s="19" t="str">
        <f t="shared" si="6"/>
        <v/>
      </c>
      <c r="M406" s="17">
        <v>1</v>
      </c>
      <c r="N406" s="17">
        <v>1</v>
      </c>
      <c r="P406" t="s">
        <v>1614</v>
      </c>
    </row>
    <row r="407" spans="1:16">
      <c r="A407">
        <v>21</v>
      </c>
      <c r="B407">
        <v>203</v>
      </c>
      <c r="C407">
        <v>46403.625</v>
      </c>
      <c r="D407" t="s">
        <v>312</v>
      </c>
      <c r="E407" t="s">
        <v>390</v>
      </c>
      <c r="F407" t="s">
        <v>1615</v>
      </c>
      <c r="G407">
        <v>2</v>
      </c>
      <c r="H407">
        <v>4</v>
      </c>
      <c r="I407">
        <v>5</v>
      </c>
      <c r="J407" s="17"/>
      <c r="K407" s="17"/>
      <c r="L407" s="19" t="str">
        <f t="shared" si="6"/>
        <v/>
      </c>
      <c r="M407" s="17">
        <v>1</v>
      </c>
      <c r="N407" s="17">
        <v>1</v>
      </c>
      <c r="P407" t="s">
        <v>1614</v>
      </c>
    </row>
    <row r="408" spans="1:16">
      <c r="A408">
        <v>21</v>
      </c>
      <c r="B408">
        <v>204</v>
      </c>
      <c r="C408">
        <v>46403.625</v>
      </c>
      <c r="D408" t="s">
        <v>1493</v>
      </c>
      <c r="E408" t="s">
        <v>474</v>
      </c>
      <c r="F408" t="s">
        <v>1613</v>
      </c>
      <c r="G408">
        <v>4</v>
      </c>
      <c r="H408">
        <v>20</v>
      </c>
      <c r="I408">
        <v>6</v>
      </c>
      <c r="J408" s="17"/>
      <c r="K408" s="17"/>
      <c r="L408" s="19" t="str">
        <f t="shared" si="6"/>
        <v/>
      </c>
      <c r="M408" s="17">
        <v>1</v>
      </c>
      <c r="N408" s="17">
        <v>1</v>
      </c>
      <c r="P408" t="s">
        <v>1614</v>
      </c>
    </row>
    <row r="409" spans="1:16">
      <c r="A409">
        <v>21</v>
      </c>
      <c r="B409">
        <v>204</v>
      </c>
      <c r="C409">
        <v>46403.625</v>
      </c>
      <c r="D409" t="s">
        <v>474</v>
      </c>
      <c r="E409" t="s">
        <v>1493</v>
      </c>
      <c r="F409" t="s">
        <v>1615</v>
      </c>
      <c r="G409">
        <v>2</v>
      </c>
      <c r="H409">
        <v>6</v>
      </c>
      <c r="I409">
        <v>20</v>
      </c>
      <c r="J409" s="17"/>
      <c r="K409" s="17"/>
      <c r="L409" s="19" t="str">
        <f t="shared" si="6"/>
        <v/>
      </c>
      <c r="M409" s="17">
        <v>1</v>
      </c>
      <c r="N409" s="17">
        <v>1</v>
      </c>
      <c r="P409" t="s">
        <v>1614</v>
      </c>
    </row>
    <row r="410" spans="1:16">
      <c r="A410">
        <v>21</v>
      </c>
      <c r="B410">
        <v>205</v>
      </c>
      <c r="C410">
        <v>46403.625</v>
      </c>
      <c r="D410" t="s">
        <v>714</v>
      </c>
      <c r="E410" t="s">
        <v>567</v>
      </c>
      <c r="F410" t="s">
        <v>1613</v>
      </c>
      <c r="G410">
        <v>2</v>
      </c>
      <c r="H410">
        <v>9</v>
      </c>
      <c r="I410">
        <v>7</v>
      </c>
      <c r="J410" s="17"/>
      <c r="K410" s="17"/>
      <c r="L410" s="19" t="str">
        <f t="shared" si="6"/>
        <v/>
      </c>
      <c r="M410" s="17">
        <v>1</v>
      </c>
      <c r="N410" s="17">
        <v>1</v>
      </c>
      <c r="P410" t="s">
        <v>1614</v>
      </c>
    </row>
    <row r="411" spans="1:16">
      <c r="A411">
        <v>21</v>
      </c>
      <c r="B411">
        <v>205</v>
      </c>
      <c r="C411">
        <v>46403.625</v>
      </c>
      <c r="D411" t="s">
        <v>567</v>
      </c>
      <c r="E411" t="s">
        <v>714</v>
      </c>
      <c r="F411" t="s">
        <v>1615</v>
      </c>
      <c r="G411">
        <v>3</v>
      </c>
      <c r="H411">
        <v>7</v>
      </c>
      <c r="I411">
        <v>9</v>
      </c>
      <c r="J411" s="17"/>
      <c r="K411" s="17"/>
      <c r="L411" s="19" t="str">
        <f t="shared" si="6"/>
        <v/>
      </c>
      <c r="M411" s="17">
        <v>1</v>
      </c>
      <c r="N411" s="17">
        <v>1</v>
      </c>
      <c r="P411" t="s">
        <v>1614</v>
      </c>
    </row>
    <row r="412" spans="1:16">
      <c r="A412">
        <v>21</v>
      </c>
      <c r="B412">
        <v>206</v>
      </c>
      <c r="C412">
        <v>46403.625</v>
      </c>
      <c r="D412" t="s">
        <v>64</v>
      </c>
      <c r="E412" t="s">
        <v>831</v>
      </c>
      <c r="F412" t="s">
        <v>1613</v>
      </c>
      <c r="G412">
        <v>2</v>
      </c>
      <c r="H412">
        <v>1</v>
      </c>
      <c r="I412">
        <v>11</v>
      </c>
      <c r="J412" s="17"/>
      <c r="K412" s="17"/>
      <c r="L412" s="19" t="str">
        <f t="shared" si="6"/>
        <v/>
      </c>
      <c r="M412" s="17">
        <v>1</v>
      </c>
      <c r="N412" s="17">
        <v>1</v>
      </c>
      <c r="P412" t="s">
        <v>1614</v>
      </c>
    </row>
    <row r="413" spans="1:16">
      <c r="A413">
        <v>21</v>
      </c>
      <c r="B413">
        <v>206</v>
      </c>
      <c r="C413">
        <v>46403.625</v>
      </c>
      <c r="D413" t="s">
        <v>831</v>
      </c>
      <c r="E413" t="s">
        <v>64</v>
      </c>
      <c r="F413" t="s">
        <v>1615</v>
      </c>
      <c r="G413">
        <v>4</v>
      </c>
      <c r="H413">
        <v>11</v>
      </c>
      <c r="I413">
        <v>1</v>
      </c>
      <c r="J413" s="17"/>
      <c r="K413" s="17"/>
      <c r="L413" s="19" t="str">
        <f t="shared" si="6"/>
        <v/>
      </c>
      <c r="M413" s="17">
        <v>1</v>
      </c>
      <c r="N413" s="17">
        <v>1</v>
      </c>
      <c r="P413" t="s">
        <v>1614</v>
      </c>
    </row>
    <row r="414" spans="1:16">
      <c r="A414">
        <v>21</v>
      </c>
      <c r="B414">
        <v>207</v>
      </c>
      <c r="C414">
        <v>46403.625</v>
      </c>
      <c r="D414" t="s">
        <v>639</v>
      </c>
      <c r="E414" t="s">
        <v>1037</v>
      </c>
      <c r="F414" t="s">
        <v>1613</v>
      </c>
      <c r="G414">
        <v>4</v>
      </c>
      <c r="H414">
        <v>8</v>
      </c>
      <c r="I414">
        <v>14</v>
      </c>
      <c r="J414" s="17"/>
      <c r="K414" s="17"/>
      <c r="L414" s="19" t="str">
        <f t="shared" si="6"/>
        <v/>
      </c>
      <c r="M414" s="17">
        <v>1</v>
      </c>
      <c r="N414" s="17">
        <v>1</v>
      </c>
      <c r="P414" t="s">
        <v>1614</v>
      </c>
    </row>
    <row r="415" spans="1:16">
      <c r="A415">
        <v>21</v>
      </c>
      <c r="B415">
        <v>207</v>
      </c>
      <c r="C415">
        <v>46403.625</v>
      </c>
      <c r="D415" t="s">
        <v>1037</v>
      </c>
      <c r="E415" t="s">
        <v>639</v>
      </c>
      <c r="F415" t="s">
        <v>1615</v>
      </c>
      <c r="G415">
        <v>3</v>
      </c>
      <c r="H415">
        <v>14</v>
      </c>
      <c r="I415">
        <v>8</v>
      </c>
      <c r="J415" s="17"/>
      <c r="K415" s="17"/>
      <c r="L415" s="19" t="str">
        <f t="shared" si="6"/>
        <v/>
      </c>
      <c r="M415" s="17">
        <v>1</v>
      </c>
      <c r="N415" s="17">
        <v>1</v>
      </c>
      <c r="P415" t="s">
        <v>1614</v>
      </c>
    </row>
    <row r="416" spans="1:16">
      <c r="A416">
        <v>21</v>
      </c>
      <c r="B416">
        <v>208</v>
      </c>
      <c r="C416">
        <v>46403.625</v>
      </c>
      <c r="D416" t="s">
        <v>1354</v>
      </c>
      <c r="E416" t="s">
        <v>1126</v>
      </c>
      <c r="F416" t="s">
        <v>1613</v>
      </c>
      <c r="G416">
        <v>5</v>
      </c>
      <c r="H416">
        <v>18</v>
      </c>
      <c r="I416">
        <v>15</v>
      </c>
      <c r="J416" s="17"/>
      <c r="K416" s="17"/>
      <c r="L416" s="19" t="str">
        <f t="shared" si="6"/>
        <v/>
      </c>
      <c r="M416" s="17">
        <v>1</v>
      </c>
      <c r="N416" s="17">
        <v>1</v>
      </c>
      <c r="P416" t="s">
        <v>1614</v>
      </c>
    </row>
    <row r="417" spans="1:16">
      <c r="A417">
        <v>21</v>
      </c>
      <c r="B417">
        <v>208</v>
      </c>
      <c r="C417">
        <v>46403.625</v>
      </c>
      <c r="D417" t="s">
        <v>1126</v>
      </c>
      <c r="E417" t="s">
        <v>1354</v>
      </c>
      <c r="F417" t="s">
        <v>1615</v>
      </c>
      <c r="G417">
        <v>3</v>
      </c>
      <c r="H417">
        <v>15</v>
      </c>
      <c r="I417">
        <v>18</v>
      </c>
      <c r="J417" s="17"/>
      <c r="K417" s="17"/>
      <c r="L417" s="19" t="str">
        <f t="shared" si="6"/>
        <v/>
      </c>
      <c r="M417" s="17">
        <v>1</v>
      </c>
      <c r="N417" s="17">
        <v>1</v>
      </c>
      <c r="P417" t="s">
        <v>1614</v>
      </c>
    </row>
    <row r="418" spans="1:16">
      <c r="A418">
        <v>21</v>
      </c>
      <c r="B418">
        <v>209</v>
      </c>
      <c r="C418">
        <v>46403.625</v>
      </c>
      <c r="D418" t="s">
        <v>777</v>
      </c>
      <c r="E418" t="s">
        <v>1283</v>
      </c>
      <c r="F418" t="s">
        <v>1613</v>
      </c>
      <c r="G418">
        <v>3</v>
      </c>
      <c r="H418">
        <v>10</v>
      </c>
      <c r="I418">
        <v>17</v>
      </c>
      <c r="J418" s="17"/>
      <c r="K418" s="17"/>
      <c r="L418" s="19" t="str">
        <f t="shared" si="6"/>
        <v/>
      </c>
      <c r="M418" s="17">
        <v>1</v>
      </c>
      <c r="N418" s="17">
        <v>1</v>
      </c>
      <c r="P418" t="s">
        <v>1614</v>
      </c>
    </row>
    <row r="419" spans="1:16">
      <c r="A419">
        <v>21</v>
      </c>
      <c r="B419">
        <v>209</v>
      </c>
      <c r="C419">
        <v>46403.625</v>
      </c>
      <c r="D419" t="s">
        <v>1283</v>
      </c>
      <c r="E419" t="s">
        <v>777</v>
      </c>
      <c r="F419" t="s">
        <v>1615</v>
      </c>
      <c r="G419">
        <v>2</v>
      </c>
      <c r="H419">
        <v>17</v>
      </c>
      <c r="I419">
        <v>10</v>
      </c>
      <c r="J419" s="17"/>
      <c r="K419" s="17"/>
      <c r="L419" s="19" t="str">
        <f t="shared" si="6"/>
        <v/>
      </c>
      <c r="M419" s="17">
        <v>1</v>
      </c>
      <c r="N419" s="17">
        <v>1</v>
      </c>
      <c r="P419" t="s">
        <v>1614</v>
      </c>
    </row>
    <row r="420" spans="1:16">
      <c r="A420">
        <v>21</v>
      </c>
      <c r="B420">
        <v>210</v>
      </c>
      <c r="C420">
        <v>46403.625</v>
      </c>
      <c r="D420" t="s">
        <v>978</v>
      </c>
      <c r="E420" t="s">
        <v>1412</v>
      </c>
      <c r="F420" t="s">
        <v>1613</v>
      </c>
      <c r="G420">
        <v>3</v>
      </c>
      <c r="H420">
        <v>13</v>
      </c>
      <c r="I420">
        <v>19</v>
      </c>
      <c r="J420" s="17"/>
      <c r="K420" s="17"/>
      <c r="L420" s="19" t="str">
        <f t="shared" si="6"/>
        <v/>
      </c>
      <c r="M420" s="17">
        <v>1</v>
      </c>
      <c r="N420" s="17">
        <v>1</v>
      </c>
      <c r="P420" t="s">
        <v>1614</v>
      </c>
    </row>
    <row r="421" spans="1:16">
      <c r="A421">
        <v>21</v>
      </c>
      <c r="B421">
        <v>210</v>
      </c>
      <c r="C421">
        <v>46403.625</v>
      </c>
      <c r="D421" t="s">
        <v>1412</v>
      </c>
      <c r="E421" t="s">
        <v>978</v>
      </c>
      <c r="F421" t="s">
        <v>1615</v>
      </c>
      <c r="G421">
        <v>2</v>
      </c>
      <c r="H421">
        <v>19</v>
      </c>
      <c r="I421">
        <v>13</v>
      </c>
      <c r="J421" s="17"/>
      <c r="K421" s="17"/>
      <c r="L421" s="19" t="str">
        <f t="shared" si="6"/>
        <v/>
      </c>
      <c r="M421" s="17">
        <v>1</v>
      </c>
      <c r="N421" s="17">
        <v>1</v>
      </c>
      <c r="P421" t="s">
        <v>1614</v>
      </c>
    </row>
    <row r="422" spans="1:16">
      <c r="A422">
        <v>22</v>
      </c>
      <c r="B422">
        <v>211</v>
      </c>
      <c r="C422">
        <v>46410.625</v>
      </c>
      <c r="D422" t="s">
        <v>1283</v>
      </c>
      <c r="E422" t="s">
        <v>64</v>
      </c>
      <c r="F422" t="s">
        <v>1613</v>
      </c>
      <c r="G422">
        <v>5</v>
      </c>
      <c r="H422">
        <v>17</v>
      </c>
      <c r="I422">
        <v>1</v>
      </c>
      <c r="J422" s="17"/>
      <c r="K422" s="17"/>
      <c r="L422" s="19" t="str">
        <f t="shared" si="6"/>
        <v/>
      </c>
      <c r="M422" s="17">
        <v>1</v>
      </c>
      <c r="N422" s="17">
        <v>1</v>
      </c>
      <c r="P422" t="s">
        <v>1614</v>
      </c>
    </row>
    <row r="423" spans="1:16">
      <c r="A423">
        <v>22</v>
      </c>
      <c r="B423">
        <v>211</v>
      </c>
      <c r="C423">
        <v>46410.625</v>
      </c>
      <c r="D423" t="s">
        <v>64</v>
      </c>
      <c r="E423" t="s">
        <v>1283</v>
      </c>
      <c r="F423" t="s">
        <v>1615</v>
      </c>
      <c r="G423">
        <v>2</v>
      </c>
      <c r="H423">
        <v>1</v>
      </c>
      <c r="I423">
        <v>17</v>
      </c>
      <c r="J423" s="17"/>
      <c r="K423" s="17"/>
      <c r="L423" s="19" t="str">
        <f t="shared" si="6"/>
        <v/>
      </c>
      <c r="M423" s="17">
        <v>1</v>
      </c>
      <c r="N423" s="17">
        <v>1</v>
      </c>
      <c r="P423" t="s">
        <v>1614</v>
      </c>
    </row>
    <row r="424" spans="1:16">
      <c r="A424">
        <v>22</v>
      </c>
      <c r="B424">
        <v>212</v>
      </c>
      <c r="C424">
        <v>46410.625</v>
      </c>
      <c r="D424" t="s">
        <v>1126</v>
      </c>
      <c r="E424" t="s">
        <v>390</v>
      </c>
      <c r="F424" t="s">
        <v>1613</v>
      </c>
      <c r="G424">
        <v>3</v>
      </c>
      <c r="H424">
        <v>15</v>
      </c>
      <c r="I424">
        <v>5</v>
      </c>
      <c r="J424" s="17"/>
      <c r="K424" s="17"/>
      <c r="L424" s="19" t="str">
        <f t="shared" si="6"/>
        <v/>
      </c>
      <c r="M424" s="17">
        <v>1</v>
      </c>
      <c r="N424" s="17">
        <v>1</v>
      </c>
      <c r="P424" t="s">
        <v>1614</v>
      </c>
    </row>
    <row r="425" spans="1:16">
      <c r="A425">
        <v>22</v>
      </c>
      <c r="B425">
        <v>212</v>
      </c>
      <c r="C425">
        <v>46410.625</v>
      </c>
      <c r="D425" t="s">
        <v>390</v>
      </c>
      <c r="E425" t="s">
        <v>1126</v>
      </c>
      <c r="F425" t="s">
        <v>1615</v>
      </c>
      <c r="G425">
        <v>4</v>
      </c>
      <c r="H425">
        <v>5</v>
      </c>
      <c r="I425">
        <v>15</v>
      </c>
      <c r="J425" s="17"/>
      <c r="K425" s="17"/>
      <c r="L425" s="19" t="str">
        <f t="shared" si="6"/>
        <v/>
      </c>
      <c r="M425" s="17">
        <v>1</v>
      </c>
      <c r="N425" s="17">
        <v>1</v>
      </c>
      <c r="P425" t="s">
        <v>1614</v>
      </c>
    </row>
    <row r="426" spans="1:16">
      <c r="A426">
        <v>22</v>
      </c>
      <c r="B426">
        <v>213</v>
      </c>
      <c r="C426">
        <v>46410.625</v>
      </c>
      <c r="D426" t="s">
        <v>1412</v>
      </c>
      <c r="E426" t="s">
        <v>639</v>
      </c>
      <c r="F426" t="s">
        <v>1613</v>
      </c>
      <c r="G426">
        <v>3</v>
      </c>
      <c r="H426">
        <v>19</v>
      </c>
      <c r="I426">
        <v>8</v>
      </c>
      <c r="J426" s="17"/>
      <c r="K426" s="17"/>
      <c r="L426" s="19" t="str">
        <f t="shared" si="6"/>
        <v/>
      </c>
      <c r="M426" s="17">
        <v>1</v>
      </c>
      <c r="N426" s="17">
        <v>1</v>
      </c>
      <c r="P426" t="s">
        <v>1614</v>
      </c>
    </row>
    <row r="427" spans="1:16">
      <c r="A427">
        <v>22</v>
      </c>
      <c r="B427">
        <v>213</v>
      </c>
      <c r="C427">
        <v>46410.625</v>
      </c>
      <c r="D427" t="s">
        <v>639</v>
      </c>
      <c r="E427" t="s">
        <v>1412</v>
      </c>
      <c r="F427" t="s">
        <v>1615</v>
      </c>
      <c r="G427">
        <v>3</v>
      </c>
      <c r="H427">
        <v>8</v>
      </c>
      <c r="I427">
        <v>19</v>
      </c>
      <c r="J427" s="17"/>
      <c r="K427" s="17"/>
      <c r="L427" s="19" t="str">
        <f t="shared" si="6"/>
        <v/>
      </c>
      <c r="M427" s="17">
        <v>1</v>
      </c>
      <c r="N427" s="17">
        <v>1</v>
      </c>
      <c r="P427" t="s">
        <v>1614</v>
      </c>
    </row>
    <row r="428" spans="1:16">
      <c r="A428">
        <v>22</v>
      </c>
      <c r="B428">
        <v>214</v>
      </c>
      <c r="C428">
        <v>46410.625</v>
      </c>
      <c r="D428" t="s">
        <v>312</v>
      </c>
      <c r="E428" t="s">
        <v>714</v>
      </c>
      <c r="F428" t="s">
        <v>1613</v>
      </c>
      <c r="G428">
        <v>3</v>
      </c>
      <c r="H428">
        <v>4</v>
      </c>
      <c r="I428">
        <v>9</v>
      </c>
      <c r="J428" s="17"/>
      <c r="K428" s="17"/>
      <c r="L428" s="19" t="str">
        <f t="shared" si="6"/>
        <v/>
      </c>
      <c r="M428" s="17">
        <v>1</v>
      </c>
      <c r="N428" s="17">
        <v>1</v>
      </c>
      <c r="P428" t="s">
        <v>1614</v>
      </c>
    </row>
    <row r="429" spans="1:16">
      <c r="A429">
        <v>22</v>
      </c>
      <c r="B429">
        <v>214</v>
      </c>
      <c r="C429">
        <v>46410.625</v>
      </c>
      <c r="D429" t="s">
        <v>714</v>
      </c>
      <c r="E429" t="s">
        <v>312</v>
      </c>
      <c r="F429" t="s">
        <v>1615</v>
      </c>
      <c r="G429">
        <v>3</v>
      </c>
      <c r="H429">
        <v>9</v>
      </c>
      <c r="I429">
        <v>4</v>
      </c>
      <c r="J429" s="17"/>
      <c r="K429" s="17"/>
      <c r="L429" s="19" t="str">
        <f t="shared" si="6"/>
        <v/>
      </c>
      <c r="M429" s="17">
        <v>1</v>
      </c>
      <c r="N429" s="17">
        <v>1</v>
      </c>
      <c r="P429" t="s">
        <v>1614</v>
      </c>
    </row>
    <row r="430" spans="1:16">
      <c r="A430">
        <v>22</v>
      </c>
      <c r="B430">
        <v>215</v>
      </c>
      <c r="C430">
        <v>46410.625</v>
      </c>
      <c r="D430" t="s">
        <v>153</v>
      </c>
      <c r="E430" t="s">
        <v>777</v>
      </c>
      <c r="F430" t="s">
        <v>1613</v>
      </c>
      <c r="G430">
        <v>3</v>
      </c>
      <c r="H430">
        <v>2</v>
      </c>
      <c r="I430">
        <v>10</v>
      </c>
      <c r="J430" s="17"/>
      <c r="K430" s="17"/>
      <c r="L430" s="19" t="str">
        <f t="shared" si="6"/>
        <v/>
      </c>
      <c r="M430" s="17">
        <v>1</v>
      </c>
      <c r="N430" s="17">
        <v>1</v>
      </c>
      <c r="P430" t="s">
        <v>1614</v>
      </c>
    </row>
    <row r="431" spans="1:16">
      <c r="A431">
        <v>22</v>
      </c>
      <c r="B431">
        <v>215</v>
      </c>
      <c r="C431">
        <v>46410.625</v>
      </c>
      <c r="D431" t="s">
        <v>777</v>
      </c>
      <c r="E431" t="s">
        <v>153</v>
      </c>
      <c r="F431" t="s">
        <v>1615</v>
      </c>
      <c r="G431">
        <v>3</v>
      </c>
      <c r="H431">
        <v>10</v>
      </c>
      <c r="I431">
        <v>2</v>
      </c>
      <c r="J431" s="17"/>
      <c r="K431" s="17"/>
      <c r="L431" s="19" t="str">
        <f t="shared" si="6"/>
        <v/>
      </c>
      <c r="M431" s="17">
        <v>1</v>
      </c>
      <c r="N431" s="17">
        <v>1</v>
      </c>
      <c r="P431" t="s">
        <v>1614</v>
      </c>
    </row>
    <row r="432" spans="1:16">
      <c r="A432">
        <v>22</v>
      </c>
      <c r="B432">
        <v>216</v>
      </c>
      <c r="C432">
        <v>46410.625</v>
      </c>
      <c r="D432" t="s">
        <v>831</v>
      </c>
      <c r="E432" t="s">
        <v>903</v>
      </c>
      <c r="F432" t="s">
        <v>1613</v>
      </c>
      <c r="G432">
        <v>2</v>
      </c>
      <c r="H432">
        <v>11</v>
      </c>
      <c r="I432">
        <v>12</v>
      </c>
      <c r="J432" s="17"/>
      <c r="K432" s="17"/>
      <c r="L432" s="19" t="str">
        <f t="shared" si="6"/>
        <v/>
      </c>
      <c r="M432" s="17">
        <v>1</v>
      </c>
      <c r="N432" s="17">
        <v>1</v>
      </c>
      <c r="P432" t="s">
        <v>1614</v>
      </c>
    </row>
    <row r="433" spans="1:16">
      <c r="A433">
        <v>22</v>
      </c>
      <c r="B433">
        <v>216</v>
      </c>
      <c r="C433">
        <v>46410.625</v>
      </c>
      <c r="D433" t="s">
        <v>903</v>
      </c>
      <c r="E433" t="s">
        <v>831</v>
      </c>
      <c r="F433" t="s">
        <v>1615</v>
      </c>
      <c r="G433">
        <v>2</v>
      </c>
      <c r="H433">
        <v>12</v>
      </c>
      <c r="I433">
        <v>11</v>
      </c>
      <c r="J433" s="17"/>
      <c r="K433" s="17"/>
      <c r="L433" s="19" t="str">
        <f t="shared" si="6"/>
        <v/>
      </c>
      <c r="M433" s="17">
        <v>1</v>
      </c>
      <c r="N433" s="17">
        <v>1</v>
      </c>
      <c r="P433" t="s">
        <v>1614</v>
      </c>
    </row>
    <row r="434" spans="1:16">
      <c r="A434">
        <v>22</v>
      </c>
      <c r="B434">
        <v>217</v>
      </c>
      <c r="C434">
        <v>46410.625</v>
      </c>
      <c r="D434" t="s">
        <v>474</v>
      </c>
      <c r="E434" t="s">
        <v>978</v>
      </c>
      <c r="F434" t="s">
        <v>1613</v>
      </c>
      <c r="G434">
        <v>3</v>
      </c>
      <c r="H434">
        <v>6</v>
      </c>
      <c r="I434">
        <v>13</v>
      </c>
      <c r="J434" s="17"/>
      <c r="K434" s="17"/>
      <c r="L434" s="19" t="str">
        <f t="shared" si="6"/>
        <v/>
      </c>
      <c r="M434" s="17">
        <v>1</v>
      </c>
      <c r="N434" s="17">
        <v>1</v>
      </c>
      <c r="P434" t="s">
        <v>1614</v>
      </c>
    </row>
    <row r="435" spans="1:16">
      <c r="A435">
        <v>22</v>
      </c>
      <c r="B435">
        <v>217</v>
      </c>
      <c r="C435">
        <v>46410.625</v>
      </c>
      <c r="D435" t="s">
        <v>978</v>
      </c>
      <c r="E435" t="s">
        <v>474</v>
      </c>
      <c r="F435" t="s">
        <v>1615</v>
      </c>
      <c r="G435">
        <v>4</v>
      </c>
      <c r="H435">
        <v>13</v>
      </c>
      <c r="I435">
        <v>6</v>
      </c>
      <c r="J435" s="17"/>
      <c r="K435" s="17"/>
      <c r="L435" s="19" t="str">
        <f t="shared" si="6"/>
        <v/>
      </c>
      <c r="M435" s="17">
        <v>1</v>
      </c>
      <c r="N435" s="17">
        <v>1</v>
      </c>
      <c r="P435" t="s">
        <v>1614</v>
      </c>
    </row>
    <row r="436" spans="1:16">
      <c r="A436">
        <v>22</v>
      </c>
      <c r="B436">
        <v>218</v>
      </c>
      <c r="C436">
        <v>46410.625</v>
      </c>
      <c r="D436" t="s">
        <v>1037</v>
      </c>
      <c r="E436" t="s">
        <v>1199</v>
      </c>
      <c r="F436" t="s">
        <v>1613</v>
      </c>
      <c r="G436">
        <v>4</v>
      </c>
      <c r="H436">
        <v>14</v>
      </c>
      <c r="I436">
        <v>16</v>
      </c>
      <c r="J436" s="17"/>
      <c r="K436" s="17"/>
      <c r="L436" s="19" t="str">
        <f t="shared" si="6"/>
        <v/>
      </c>
      <c r="M436" s="17">
        <v>1</v>
      </c>
      <c r="N436" s="17">
        <v>1</v>
      </c>
      <c r="P436" t="s">
        <v>1614</v>
      </c>
    </row>
    <row r="437" spans="1:16">
      <c r="A437">
        <v>22</v>
      </c>
      <c r="B437">
        <v>218</v>
      </c>
      <c r="C437">
        <v>46410.625</v>
      </c>
      <c r="D437" t="s">
        <v>1199</v>
      </c>
      <c r="E437" t="s">
        <v>1037</v>
      </c>
      <c r="F437" t="s">
        <v>1615</v>
      </c>
      <c r="G437">
        <v>4</v>
      </c>
      <c r="H437">
        <v>16</v>
      </c>
      <c r="I437">
        <v>14</v>
      </c>
      <c r="J437" s="17"/>
      <c r="K437" s="17"/>
      <c r="L437" s="19" t="str">
        <f t="shared" si="6"/>
        <v/>
      </c>
      <c r="M437" s="17">
        <v>1</v>
      </c>
      <c r="N437" s="17">
        <v>1</v>
      </c>
      <c r="P437" t="s">
        <v>1614</v>
      </c>
    </row>
    <row r="438" spans="1:16">
      <c r="A438">
        <v>22</v>
      </c>
      <c r="B438">
        <v>219</v>
      </c>
      <c r="C438">
        <v>46410.625</v>
      </c>
      <c r="D438" t="s">
        <v>236</v>
      </c>
      <c r="E438" t="s">
        <v>1354</v>
      </c>
      <c r="F438" t="s">
        <v>1613</v>
      </c>
      <c r="G438">
        <v>3</v>
      </c>
      <c r="H438">
        <v>3</v>
      </c>
      <c r="I438">
        <v>18</v>
      </c>
      <c r="J438" s="17"/>
      <c r="K438" s="17"/>
      <c r="L438" s="19" t="str">
        <f t="shared" si="6"/>
        <v/>
      </c>
      <c r="M438" s="17">
        <v>1</v>
      </c>
      <c r="N438" s="17">
        <v>1</v>
      </c>
      <c r="P438" t="s">
        <v>1614</v>
      </c>
    </row>
    <row r="439" spans="1:16">
      <c r="A439">
        <v>22</v>
      </c>
      <c r="B439">
        <v>219</v>
      </c>
      <c r="C439">
        <v>46410.625</v>
      </c>
      <c r="D439" t="s">
        <v>1354</v>
      </c>
      <c r="E439" t="s">
        <v>236</v>
      </c>
      <c r="F439" t="s">
        <v>1615</v>
      </c>
      <c r="G439">
        <v>3</v>
      </c>
      <c r="H439">
        <v>18</v>
      </c>
      <c r="I439">
        <v>3</v>
      </c>
      <c r="J439" s="17"/>
      <c r="K439" s="17"/>
      <c r="L439" s="19" t="str">
        <f t="shared" si="6"/>
        <v/>
      </c>
      <c r="M439" s="17">
        <v>1</v>
      </c>
      <c r="N439" s="17">
        <v>1</v>
      </c>
      <c r="P439" t="s">
        <v>1614</v>
      </c>
    </row>
    <row r="440" spans="1:16">
      <c r="A440">
        <v>22</v>
      </c>
      <c r="B440">
        <v>220</v>
      </c>
      <c r="C440">
        <v>46410.625</v>
      </c>
      <c r="D440" t="s">
        <v>567</v>
      </c>
      <c r="E440" t="s">
        <v>1493</v>
      </c>
      <c r="F440" t="s">
        <v>1613</v>
      </c>
      <c r="G440">
        <v>3</v>
      </c>
      <c r="H440">
        <v>7</v>
      </c>
      <c r="I440">
        <v>20</v>
      </c>
      <c r="J440" s="17"/>
      <c r="K440" s="17"/>
      <c r="L440" s="19" t="str">
        <f t="shared" si="6"/>
        <v/>
      </c>
      <c r="M440" s="17">
        <v>1</v>
      </c>
      <c r="N440" s="17">
        <v>1</v>
      </c>
      <c r="P440" t="s">
        <v>1614</v>
      </c>
    </row>
    <row r="441" spans="1:16">
      <c r="A441">
        <v>22</v>
      </c>
      <c r="B441">
        <v>220</v>
      </c>
      <c r="C441">
        <v>46410.625</v>
      </c>
      <c r="D441" t="s">
        <v>1493</v>
      </c>
      <c r="E441" t="s">
        <v>567</v>
      </c>
      <c r="F441" t="s">
        <v>1615</v>
      </c>
      <c r="G441">
        <v>2</v>
      </c>
      <c r="H441">
        <v>20</v>
      </c>
      <c r="I441">
        <v>7</v>
      </c>
      <c r="J441" s="17"/>
      <c r="K441" s="17"/>
      <c r="L441" s="19" t="str">
        <f t="shared" si="6"/>
        <v/>
      </c>
      <c r="M441" s="17">
        <v>1</v>
      </c>
      <c r="N441" s="17">
        <v>1</v>
      </c>
      <c r="P441" t="s">
        <v>1614</v>
      </c>
    </row>
    <row r="442" spans="1:16">
      <c r="A442">
        <v>23</v>
      </c>
      <c r="B442">
        <v>221</v>
      </c>
      <c r="C442">
        <v>46417.625</v>
      </c>
      <c r="D442" t="s">
        <v>903</v>
      </c>
      <c r="E442" t="s">
        <v>153</v>
      </c>
      <c r="F442" t="s">
        <v>1613</v>
      </c>
      <c r="G442">
        <v>4</v>
      </c>
      <c r="H442">
        <v>12</v>
      </c>
      <c r="I442">
        <v>2</v>
      </c>
      <c r="J442" s="17"/>
      <c r="K442" s="17"/>
      <c r="L442" s="19" t="str">
        <f t="shared" si="6"/>
        <v/>
      </c>
      <c r="M442" s="17">
        <v>1</v>
      </c>
      <c r="N442" s="17">
        <v>1</v>
      </c>
      <c r="P442" t="s">
        <v>1614</v>
      </c>
    </row>
    <row r="443" spans="1:16">
      <c r="A443">
        <v>23</v>
      </c>
      <c r="B443">
        <v>221</v>
      </c>
      <c r="C443">
        <v>46417.625</v>
      </c>
      <c r="D443" t="s">
        <v>153</v>
      </c>
      <c r="E443" t="s">
        <v>903</v>
      </c>
      <c r="F443" t="s">
        <v>1615</v>
      </c>
      <c r="G443">
        <v>2</v>
      </c>
      <c r="H443">
        <v>2</v>
      </c>
      <c r="I443">
        <v>12</v>
      </c>
      <c r="J443" s="17"/>
      <c r="K443" s="17"/>
      <c r="L443" s="19" t="str">
        <f t="shared" si="6"/>
        <v/>
      </c>
      <c r="M443" s="17">
        <v>1</v>
      </c>
      <c r="N443" s="17">
        <v>1</v>
      </c>
      <c r="P443" t="s">
        <v>1614</v>
      </c>
    </row>
    <row r="444" spans="1:16">
      <c r="A444">
        <v>23</v>
      </c>
      <c r="B444">
        <v>222</v>
      </c>
      <c r="C444">
        <v>46417.625</v>
      </c>
      <c r="D444" t="s">
        <v>777</v>
      </c>
      <c r="E444" t="s">
        <v>236</v>
      </c>
      <c r="F444" t="s">
        <v>1613</v>
      </c>
      <c r="G444">
        <v>3</v>
      </c>
      <c r="H444">
        <v>10</v>
      </c>
      <c r="I444">
        <v>3</v>
      </c>
      <c r="J444" s="17"/>
      <c r="K444" s="17"/>
      <c r="L444" s="19" t="str">
        <f t="shared" si="6"/>
        <v/>
      </c>
      <c r="M444" s="17">
        <v>1</v>
      </c>
      <c r="N444" s="17">
        <v>1</v>
      </c>
      <c r="P444" t="s">
        <v>1614</v>
      </c>
    </row>
    <row r="445" spans="1:16">
      <c r="A445">
        <v>23</v>
      </c>
      <c r="B445">
        <v>222</v>
      </c>
      <c r="C445">
        <v>46417.625</v>
      </c>
      <c r="D445" t="s">
        <v>236</v>
      </c>
      <c r="E445" t="s">
        <v>777</v>
      </c>
      <c r="F445" t="s">
        <v>1615</v>
      </c>
      <c r="G445">
        <v>2</v>
      </c>
      <c r="H445">
        <v>3</v>
      </c>
      <c r="I445">
        <v>10</v>
      </c>
      <c r="J445" s="17"/>
      <c r="K445" s="17"/>
      <c r="L445" s="19" t="str">
        <f t="shared" si="6"/>
        <v/>
      </c>
      <c r="M445" s="17">
        <v>1</v>
      </c>
      <c r="N445" s="17">
        <v>1</v>
      </c>
      <c r="P445" t="s">
        <v>1614</v>
      </c>
    </row>
    <row r="446" spans="1:16">
      <c r="A446">
        <v>23</v>
      </c>
      <c r="B446">
        <v>223</v>
      </c>
      <c r="C446">
        <v>46417.625</v>
      </c>
      <c r="D446" t="s">
        <v>1199</v>
      </c>
      <c r="E446" t="s">
        <v>312</v>
      </c>
      <c r="F446" t="s">
        <v>1613</v>
      </c>
      <c r="G446">
        <v>3</v>
      </c>
      <c r="H446">
        <v>16</v>
      </c>
      <c r="I446">
        <v>4</v>
      </c>
      <c r="J446" s="17"/>
      <c r="K446" s="17"/>
      <c r="L446" s="19" t="str">
        <f t="shared" si="6"/>
        <v/>
      </c>
      <c r="M446" s="17">
        <v>1</v>
      </c>
      <c r="N446" s="17">
        <v>1</v>
      </c>
      <c r="P446" t="s">
        <v>1614</v>
      </c>
    </row>
    <row r="447" spans="1:16">
      <c r="A447">
        <v>23</v>
      </c>
      <c r="B447">
        <v>223</v>
      </c>
      <c r="C447">
        <v>46417.625</v>
      </c>
      <c r="D447" t="s">
        <v>312</v>
      </c>
      <c r="E447" t="s">
        <v>1199</v>
      </c>
      <c r="F447" t="s">
        <v>1615</v>
      </c>
      <c r="G447">
        <v>4</v>
      </c>
      <c r="H447">
        <v>4</v>
      </c>
      <c r="I447">
        <v>16</v>
      </c>
      <c r="J447" s="17"/>
      <c r="K447" s="17"/>
      <c r="L447" s="19" t="str">
        <f t="shared" si="6"/>
        <v/>
      </c>
      <c r="M447" s="17">
        <v>1</v>
      </c>
      <c r="N447" s="17">
        <v>1</v>
      </c>
      <c r="P447" t="s">
        <v>1614</v>
      </c>
    </row>
    <row r="448" spans="1:16">
      <c r="A448">
        <v>23</v>
      </c>
      <c r="B448">
        <v>224</v>
      </c>
      <c r="C448">
        <v>46417.625</v>
      </c>
      <c r="D448" t="s">
        <v>1354</v>
      </c>
      <c r="E448" t="s">
        <v>474</v>
      </c>
      <c r="F448" t="s">
        <v>1613</v>
      </c>
      <c r="G448">
        <v>4</v>
      </c>
      <c r="H448">
        <v>18</v>
      </c>
      <c r="I448">
        <v>6</v>
      </c>
      <c r="J448" s="17"/>
      <c r="K448" s="17"/>
      <c r="L448" s="19" t="str">
        <f t="shared" si="6"/>
        <v/>
      </c>
      <c r="M448" s="17">
        <v>1</v>
      </c>
      <c r="N448" s="17">
        <v>1</v>
      </c>
      <c r="P448" t="s">
        <v>1614</v>
      </c>
    </row>
    <row r="449" spans="1:16">
      <c r="A449">
        <v>23</v>
      </c>
      <c r="B449">
        <v>224</v>
      </c>
      <c r="C449">
        <v>46417.625</v>
      </c>
      <c r="D449" t="s">
        <v>474</v>
      </c>
      <c r="E449" t="s">
        <v>1354</v>
      </c>
      <c r="F449" t="s">
        <v>1615</v>
      </c>
      <c r="G449">
        <v>3</v>
      </c>
      <c r="H449">
        <v>6</v>
      </c>
      <c r="I449">
        <v>18</v>
      </c>
      <c r="J449" s="17"/>
      <c r="K449" s="17"/>
      <c r="L449" s="19" t="str">
        <f t="shared" si="6"/>
        <v/>
      </c>
      <c r="M449" s="17">
        <v>1</v>
      </c>
      <c r="N449" s="17">
        <v>1</v>
      </c>
      <c r="P449" t="s">
        <v>1614</v>
      </c>
    </row>
    <row r="450" spans="1:16">
      <c r="A450">
        <v>23</v>
      </c>
      <c r="B450">
        <v>225</v>
      </c>
      <c r="C450">
        <v>46417.625</v>
      </c>
      <c r="D450" t="s">
        <v>978</v>
      </c>
      <c r="E450" t="s">
        <v>567</v>
      </c>
      <c r="F450" t="s">
        <v>1613</v>
      </c>
      <c r="G450">
        <v>2</v>
      </c>
      <c r="H450">
        <v>13</v>
      </c>
      <c r="I450">
        <v>7</v>
      </c>
      <c r="J450" s="17"/>
      <c r="K450" s="17"/>
      <c r="L450" s="19" t="str">
        <f t="shared" ref="L450:L513" si="7">IF(K450="","",EXP(-K450))</f>
        <v/>
      </c>
      <c r="M450" s="17">
        <v>1</v>
      </c>
      <c r="N450" s="17">
        <v>1</v>
      </c>
      <c r="P450" t="s">
        <v>1614</v>
      </c>
    </row>
    <row r="451" spans="1:16">
      <c r="A451">
        <v>23</v>
      </c>
      <c r="B451">
        <v>225</v>
      </c>
      <c r="C451">
        <v>46417.625</v>
      </c>
      <c r="D451" t="s">
        <v>567</v>
      </c>
      <c r="E451" t="s">
        <v>978</v>
      </c>
      <c r="F451" t="s">
        <v>1615</v>
      </c>
      <c r="G451">
        <v>2</v>
      </c>
      <c r="H451">
        <v>7</v>
      </c>
      <c r="I451">
        <v>13</v>
      </c>
      <c r="J451" s="17"/>
      <c r="K451" s="17"/>
      <c r="L451" s="19" t="str">
        <f t="shared" si="7"/>
        <v/>
      </c>
      <c r="M451" s="17">
        <v>1</v>
      </c>
      <c r="N451" s="17">
        <v>1</v>
      </c>
      <c r="P451" t="s">
        <v>1614</v>
      </c>
    </row>
    <row r="452" spans="1:16">
      <c r="A452">
        <v>23</v>
      </c>
      <c r="B452">
        <v>226</v>
      </c>
      <c r="C452">
        <v>46417.625</v>
      </c>
      <c r="D452" t="s">
        <v>639</v>
      </c>
      <c r="E452" t="s">
        <v>831</v>
      </c>
      <c r="F452" t="s">
        <v>1613</v>
      </c>
      <c r="G452">
        <v>2</v>
      </c>
      <c r="H452">
        <v>8</v>
      </c>
      <c r="I452">
        <v>11</v>
      </c>
      <c r="J452" s="17"/>
      <c r="K452" s="17"/>
      <c r="L452" s="19" t="str">
        <f t="shared" si="7"/>
        <v/>
      </c>
      <c r="M452" s="17">
        <v>1</v>
      </c>
      <c r="N452" s="17">
        <v>1</v>
      </c>
      <c r="P452" t="s">
        <v>1614</v>
      </c>
    </row>
    <row r="453" spans="1:16">
      <c r="A453">
        <v>23</v>
      </c>
      <c r="B453">
        <v>226</v>
      </c>
      <c r="C453">
        <v>46417.625</v>
      </c>
      <c r="D453" t="s">
        <v>831</v>
      </c>
      <c r="E453" t="s">
        <v>639</v>
      </c>
      <c r="F453" t="s">
        <v>1615</v>
      </c>
      <c r="G453">
        <v>3</v>
      </c>
      <c r="H453">
        <v>11</v>
      </c>
      <c r="I453">
        <v>8</v>
      </c>
      <c r="J453" s="17"/>
      <c r="K453" s="17"/>
      <c r="L453" s="19" t="str">
        <f t="shared" si="7"/>
        <v/>
      </c>
      <c r="M453" s="17">
        <v>1</v>
      </c>
      <c r="N453" s="17">
        <v>1</v>
      </c>
      <c r="P453" t="s">
        <v>1614</v>
      </c>
    </row>
    <row r="454" spans="1:16">
      <c r="A454">
        <v>23</v>
      </c>
      <c r="B454">
        <v>227</v>
      </c>
      <c r="C454">
        <v>46417.625</v>
      </c>
      <c r="D454" t="s">
        <v>714</v>
      </c>
      <c r="E454" t="s">
        <v>1037</v>
      </c>
      <c r="F454" t="s">
        <v>1613</v>
      </c>
      <c r="G454">
        <v>4</v>
      </c>
      <c r="H454">
        <v>9</v>
      </c>
      <c r="I454">
        <v>14</v>
      </c>
      <c r="J454" s="17"/>
      <c r="K454" s="17"/>
      <c r="L454" s="19" t="str">
        <f t="shared" si="7"/>
        <v/>
      </c>
      <c r="M454" s="17">
        <v>1</v>
      </c>
      <c r="N454" s="17">
        <v>1</v>
      </c>
      <c r="P454" t="s">
        <v>1614</v>
      </c>
    </row>
    <row r="455" spans="1:16">
      <c r="A455">
        <v>23</v>
      </c>
      <c r="B455">
        <v>227</v>
      </c>
      <c r="C455">
        <v>46417.625</v>
      </c>
      <c r="D455" t="s">
        <v>1037</v>
      </c>
      <c r="E455" t="s">
        <v>714</v>
      </c>
      <c r="F455" t="s">
        <v>1615</v>
      </c>
      <c r="G455">
        <v>3</v>
      </c>
      <c r="H455">
        <v>14</v>
      </c>
      <c r="I455">
        <v>9</v>
      </c>
      <c r="J455" s="17"/>
      <c r="K455" s="17"/>
      <c r="L455" s="19" t="str">
        <f t="shared" si="7"/>
        <v/>
      </c>
      <c r="M455" s="17">
        <v>1</v>
      </c>
      <c r="N455" s="17">
        <v>1</v>
      </c>
      <c r="P455" t="s">
        <v>1614</v>
      </c>
    </row>
    <row r="456" spans="1:16">
      <c r="A456">
        <v>23</v>
      </c>
      <c r="B456">
        <v>228</v>
      </c>
      <c r="C456">
        <v>46417.625</v>
      </c>
      <c r="D456" t="s">
        <v>64</v>
      </c>
      <c r="E456" t="s">
        <v>1126</v>
      </c>
      <c r="F456" t="s">
        <v>1613</v>
      </c>
      <c r="G456">
        <v>5</v>
      </c>
      <c r="H456">
        <v>1</v>
      </c>
      <c r="I456">
        <v>15</v>
      </c>
      <c r="J456" s="17"/>
      <c r="K456" s="17"/>
      <c r="L456" s="19" t="str">
        <f t="shared" si="7"/>
        <v/>
      </c>
      <c r="M456" s="17">
        <v>1</v>
      </c>
      <c r="N456" s="17">
        <v>1</v>
      </c>
      <c r="P456" t="s">
        <v>1614</v>
      </c>
    </row>
    <row r="457" spans="1:16">
      <c r="A457">
        <v>23</v>
      </c>
      <c r="B457">
        <v>228</v>
      </c>
      <c r="C457">
        <v>46417.625</v>
      </c>
      <c r="D457" t="s">
        <v>1126</v>
      </c>
      <c r="E457" t="s">
        <v>64</v>
      </c>
      <c r="F457" t="s">
        <v>1615</v>
      </c>
      <c r="G457">
        <v>4</v>
      </c>
      <c r="H457">
        <v>15</v>
      </c>
      <c r="I457">
        <v>1</v>
      </c>
      <c r="J457" s="17"/>
      <c r="K457" s="17"/>
      <c r="L457" s="19" t="str">
        <f t="shared" si="7"/>
        <v/>
      </c>
      <c r="M457" s="17">
        <v>1</v>
      </c>
      <c r="N457" s="17">
        <v>1</v>
      </c>
      <c r="P457" t="s">
        <v>1614</v>
      </c>
    </row>
    <row r="458" spans="1:16">
      <c r="A458">
        <v>23</v>
      </c>
      <c r="B458">
        <v>229</v>
      </c>
      <c r="C458">
        <v>46417.625</v>
      </c>
      <c r="D458" t="s">
        <v>390</v>
      </c>
      <c r="E458" t="s">
        <v>1283</v>
      </c>
      <c r="F458" t="s">
        <v>1613</v>
      </c>
      <c r="G458">
        <v>3</v>
      </c>
      <c r="H458">
        <v>5</v>
      </c>
      <c r="I458">
        <v>17</v>
      </c>
      <c r="J458" s="17"/>
      <c r="K458" s="17"/>
      <c r="L458" s="19" t="str">
        <f t="shared" si="7"/>
        <v/>
      </c>
      <c r="M458" s="17">
        <v>1</v>
      </c>
      <c r="N458" s="17">
        <v>1</v>
      </c>
      <c r="P458" t="s">
        <v>1614</v>
      </c>
    </row>
    <row r="459" spans="1:16">
      <c r="A459">
        <v>23</v>
      </c>
      <c r="B459">
        <v>229</v>
      </c>
      <c r="C459">
        <v>46417.625</v>
      </c>
      <c r="D459" t="s">
        <v>1283</v>
      </c>
      <c r="E459" t="s">
        <v>390</v>
      </c>
      <c r="F459" t="s">
        <v>1615</v>
      </c>
      <c r="G459">
        <v>2</v>
      </c>
      <c r="H459">
        <v>17</v>
      </c>
      <c r="I459">
        <v>5</v>
      </c>
      <c r="J459" s="17"/>
      <c r="K459" s="17"/>
      <c r="L459" s="19" t="str">
        <f t="shared" si="7"/>
        <v/>
      </c>
      <c r="M459" s="17">
        <v>1</v>
      </c>
      <c r="N459" s="17">
        <v>1</v>
      </c>
      <c r="P459" t="s">
        <v>1614</v>
      </c>
    </row>
    <row r="460" spans="1:16">
      <c r="A460">
        <v>23</v>
      </c>
      <c r="B460">
        <v>230</v>
      </c>
      <c r="C460">
        <v>46417.625</v>
      </c>
      <c r="D460" t="s">
        <v>1493</v>
      </c>
      <c r="E460" t="s">
        <v>1412</v>
      </c>
      <c r="F460" t="s">
        <v>1613</v>
      </c>
      <c r="G460">
        <v>3</v>
      </c>
      <c r="H460">
        <v>20</v>
      </c>
      <c r="I460">
        <v>19</v>
      </c>
      <c r="J460" s="17"/>
      <c r="K460" s="17"/>
      <c r="L460" s="19" t="str">
        <f t="shared" si="7"/>
        <v/>
      </c>
      <c r="M460" s="17">
        <v>1</v>
      </c>
      <c r="N460" s="17">
        <v>1</v>
      </c>
      <c r="P460" t="s">
        <v>1614</v>
      </c>
    </row>
    <row r="461" spans="1:16">
      <c r="A461">
        <v>23</v>
      </c>
      <c r="B461">
        <v>230</v>
      </c>
      <c r="C461">
        <v>46417.625</v>
      </c>
      <c r="D461" t="s">
        <v>1412</v>
      </c>
      <c r="E461" t="s">
        <v>1493</v>
      </c>
      <c r="F461" t="s">
        <v>1615</v>
      </c>
      <c r="G461">
        <v>2</v>
      </c>
      <c r="H461">
        <v>19</v>
      </c>
      <c r="I461">
        <v>20</v>
      </c>
      <c r="J461" s="17"/>
      <c r="K461" s="17"/>
      <c r="L461" s="19" t="str">
        <f t="shared" si="7"/>
        <v/>
      </c>
      <c r="M461" s="17">
        <v>1</v>
      </c>
      <c r="N461" s="17">
        <v>1</v>
      </c>
      <c r="P461" t="s">
        <v>1614</v>
      </c>
    </row>
    <row r="462" spans="1:16">
      <c r="A462">
        <v>24</v>
      </c>
      <c r="B462">
        <v>231</v>
      </c>
      <c r="C462">
        <v>46424.625</v>
      </c>
      <c r="D462" t="s">
        <v>1037</v>
      </c>
      <c r="E462" t="s">
        <v>64</v>
      </c>
      <c r="F462" t="s">
        <v>1613</v>
      </c>
      <c r="G462">
        <v>5</v>
      </c>
      <c r="H462">
        <v>14</v>
      </c>
      <c r="I462">
        <v>1</v>
      </c>
      <c r="J462" s="17"/>
      <c r="K462" s="17"/>
      <c r="L462" s="19" t="str">
        <f t="shared" si="7"/>
        <v/>
      </c>
      <c r="M462" s="17">
        <v>1</v>
      </c>
      <c r="N462" s="17">
        <v>1</v>
      </c>
      <c r="P462" t="s">
        <v>1614</v>
      </c>
    </row>
    <row r="463" spans="1:16">
      <c r="A463">
        <v>24</v>
      </c>
      <c r="B463">
        <v>231</v>
      </c>
      <c r="C463">
        <v>46424.625</v>
      </c>
      <c r="D463" t="s">
        <v>64</v>
      </c>
      <c r="E463" t="s">
        <v>1037</v>
      </c>
      <c r="F463" t="s">
        <v>1615</v>
      </c>
      <c r="G463">
        <v>4</v>
      </c>
      <c r="H463">
        <v>1</v>
      </c>
      <c r="I463">
        <v>14</v>
      </c>
      <c r="J463" s="17"/>
      <c r="K463" s="17"/>
      <c r="L463" s="19" t="str">
        <f t="shared" si="7"/>
        <v/>
      </c>
      <c r="M463" s="17">
        <v>1</v>
      </c>
      <c r="N463" s="17">
        <v>1</v>
      </c>
      <c r="P463" t="s">
        <v>1614</v>
      </c>
    </row>
    <row r="464" spans="1:16">
      <c r="A464">
        <v>24</v>
      </c>
      <c r="B464">
        <v>232</v>
      </c>
      <c r="C464">
        <v>46424.625</v>
      </c>
      <c r="D464" t="s">
        <v>831</v>
      </c>
      <c r="E464" t="s">
        <v>390</v>
      </c>
      <c r="F464" t="s">
        <v>1613</v>
      </c>
      <c r="G464">
        <v>3</v>
      </c>
      <c r="H464">
        <v>11</v>
      </c>
      <c r="I464">
        <v>5</v>
      </c>
      <c r="J464" s="17"/>
      <c r="K464" s="17"/>
      <c r="L464" s="19" t="str">
        <f t="shared" si="7"/>
        <v/>
      </c>
      <c r="M464" s="17">
        <v>1</v>
      </c>
      <c r="N464" s="17">
        <v>1</v>
      </c>
      <c r="P464" t="s">
        <v>1614</v>
      </c>
    </row>
    <row r="465" spans="1:16">
      <c r="A465">
        <v>24</v>
      </c>
      <c r="B465">
        <v>232</v>
      </c>
      <c r="C465">
        <v>46424.625</v>
      </c>
      <c r="D465" t="s">
        <v>390</v>
      </c>
      <c r="E465" t="s">
        <v>831</v>
      </c>
      <c r="F465" t="s">
        <v>1615</v>
      </c>
      <c r="G465">
        <v>2</v>
      </c>
      <c r="H465">
        <v>5</v>
      </c>
      <c r="I465">
        <v>11</v>
      </c>
      <c r="J465" s="17"/>
      <c r="K465" s="17"/>
      <c r="L465" s="19" t="str">
        <f t="shared" si="7"/>
        <v/>
      </c>
      <c r="M465" s="17">
        <v>1</v>
      </c>
      <c r="N465" s="17">
        <v>1</v>
      </c>
      <c r="P465" t="s">
        <v>1614</v>
      </c>
    </row>
    <row r="466" spans="1:16">
      <c r="A466">
        <v>24</v>
      </c>
      <c r="B466">
        <v>233</v>
      </c>
      <c r="C466">
        <v>46424.625</v>
      </c>
      <c r="D466" t="s">
        <v>567</v>
      </c>
      <c r="E466" t="s">
        <v>639</v>
      </c>
      <c r="F466" t="s">
        <v>1613</v>
      </c>
      <c r="G466">
        <v>3</v>
      </c>
      <c r="H466">
        <v>7</v>
      </c>
      <c r="I466">
        <v>8</v>
      </c>
      <c r="J466" s="17"/>
      <c r="K466" s="17"/>
      <c r="L466" s="19" t="str">
        <f t="shared" si="7"/>
        <v/>
      </c>
      <c r="M466" s="17">
        <v>1</v>
      </c>
      <c r="N466" s="17">
        <v>1</v>
      </c>
      <c r="P466" t="s">
        <v>1614</v>
      </c>
    </row>
    <row r="467" spans="1:16">
      <c r="A467">
        <v>24</v>
      </c>
      <c r="B467">
        <v>233</v>
      </c>
      <c r="C467">
        <v>46424.625</v>
      </c>
      <c r="D467" t="s">
        <v>639</v>
      </c>
      <c r="E467" t="s">
        <v>567</v>
      </c>
      <c r="F467" t="s">
        <v>1615</v>
      </c>
      <c r="G467">
        <v>2</v>
      </c>
      <c r="H467">
        <v>8</v>
      </c>
      <c r="I467">
        <v>7</v>
      </c>
      <c r="J467" s="17"/>
      <c r="K467" s="17"/>
      <c r="L467" s="19" t="str">
        <f t="shared" si="7"/>
        <v/>
      </c>
      <c r="M467" s="17">
        <v>1</v>
      </c>
      <c r="N467" s="17">
        <v>1</v>
      </c>
      <c r="P467" t="s">
        <v>1614</v>
      </c>
    </row>
    <row r="468" spans="1:16">
      <c r="A468">
        <v>24</v>
      </c>
      <c r="B468">
        <v>234</v>
      </c>
      <c r="C468">
        <v>46424.625</v>
      </c>
      <c r="D468" t="s">
        <v>1283</v>
      </c>
      <c r="E468" t="s">
        <v>714</v>
      </c>
      <c r="F468" t="s">
        <v>1613</v>
      </c>
      <c r="G468">
        <v>3</v>
      </c>
      <c r="H468">
        <v>17</v>
      </c>
      <c r="I468">
        <v>9</v>
      </c>
      <c r="J468" s="17"/>
      <c r="K468" s="17"/>
      <c r="L468" s="19" t="str">
        <f t="shared" si="7"/>
        <v/>
      </c>
      <c r="M468" s="17">
        <v>1</v>
      </c>
      <c r="N468" s="17">
        <v>1</v>
      </c>
      <c r="P468" t="s">
        <v>1614</v>
      </c>
    </row>
    <row r="469" spans="1:16">
      <c r="A469">
        <v>24</v>
      </c>
      <c r="B469">
        <v>234</v>
      </c>
      <c r="C469">
        <v>46424.625</v>
      </c>
      <c r="D469" t="s">
        <v>714</v>
      </c>
      <c r="E469" t="s">
        <v>1283</v>
      </c>
      <c r="F469" t="s">
        <v>1615</v>
      </c>
      <c r="G469">
        <v>2</v>
      </c>
      <c r="H469">
        <v>9</v>
      </c>
      <c r="I469">
        <v>17</v>
      </c>
      <c r="J469" s="17"/>
      <c r="K469" s="17"/>
      <c r="L469" s="19" t="str">
        <f t="shared" si="7"/>
        <v/>
      </c>
      <c r="M469" s="17">
        <v>1</v>
      </c>
      <c r="N469" s="17">
        <v>1</v>
      </c>
      <c r="P469" t="s">
        <v>1614</v>
      </c>
    </row>
    <row r="470" spans="1:16">
      <c r="A470">
        <v>24</v>
      </c>
      <c r="B470">
        <v>235</v>
      </c>
      <c r="C470">
        <v>46424.625</v>
      </c>
      <c r="D470" t="s">
        <v>1126</v>
      </c>
      <c r="E470" t="s">
        <v>777</v>
      </c>
      <c r="F470" t="s">
        <v>1613</v>
      </c>
      <c r="G470">
        <v>3</v>
      </c>
      <c r="H470">
        <v>15</v>
      </c>
      <c r="I470">
        <v>10</v>
      </c>
      <c r="J470" s="17"/>
      <c r="K470" s="17"/>
      <c r="L470" s="19" t="str">
        <f t="shared" si="7"/>
        <v/>
      </c>
      <c r="M470" s="17">
        <v>1</v>
      </c>
      <c r="N470" s="17">
        <v>1</v>
      </c>
      <c r="P470" t="s">
        <v>1614</v>
      </c>
    </row>
    <row r="471" spans="1:16">
      <c r="A471">
        <v>24</v>
      </c>
      <c r="B471">
        <v>235</v>
      </c>
      <c r="C471">
        <v>46424.625</v>
      </c>
      <c r="D471" t="s">
        <v>777</v>
      </c>
      <c r="E471" t="s">
        <v>1126</v>
      </c>
      <c r="F471" t="s">
        <v>1615</v>
      </c>
      <c r="G471">
        <v>4</v>
      </c>
      <c r="H471">
        <v>10</v>
      </c>
      <c r="I471">
        <v>15</v>
      </c>
      <c r="J471" s="17"/>
      <c r="K471" s="17"/>
      <c r="L471" s="19" t="str">
        <f t="shared" si="7"/>
        <v/>
      </c>
      <c r="M471" s="17">
        <v>1</v>
      </c>
      <c r="N471" s="17">
        <v>1</v>
      </c>
      <c r="P471" t="s">
        <v>1614</v>
      </c>
    </row>
    <row r="472" spans="1:16">
      <c r="A472">
        <v>24</v>
      </c>
      <c r="B472">
        <v>236</v>
      </c>
      <c r="C472">
        <v>46424.625</v>
      </c>
      <c r="D472" t="s">
        <v>1412</v>
      </c>
      <c r="E472" t="s">
        <v>903</v>
      </c>
      <c r="F472" t="s">
        <v>1613</v>
      </c>
      <c r="G472">
        <v>2</v>
      </c>
      <c r="H472">
        <v>19</v>
      </c>
      <c r="I472">
        <v>12</v>
      </c>
      <c r="J472" s="17"/>
      <c r="K472" s="17"/>
      <c r="L472" s="19" t="str">
        <f t="shared" si="7"/>
        <v/>
      </c>
      <c r="M472" s="17">
        <v>1</v>
      </c>
      <c r="N472" s="17">
        <v>1</v>
      </c>
      <c r="P472" t="s">
        <v>1614</v>
      </c>
    </row>
    <row r="473" spans="1:16">
      <c r="A473">
        <v>24</v>
      </c>
      <c r="B473">
        <v>236</v>
      </c>
      <c r="C473">
        <v>46424.625</v>
      </c>
      <c r="D473" t="s">
        <v>903</v>
      </c>
      <c r="E473" t="s">
        <v>1412</v>
      </c>
      <c r="F473" t="s">
        <v>1615</v>
      </c>
      <c r="G473">
        <v>3</v>
      </c>
      <c r="H473">
        <v>12</v>
      </c>
      <c r="I473">
        <v>19</v>
      </c>
      <c r="J473" s="17"/>
      <c r="K473" s="17"/>
      <c r="L473" s="19" t="str">
        <f t="shared" si="7"/>
        <v/>
      </c>
      <c r="M473" s="17">
        <v>1</v>
      </c>
      <c r="N473" s="17">
        <v>1</v>
      </c>
      <c r="P473" t="s">
        <v>1614</v>
      </c>
    </row>
    <row r="474" spans="1:16">
      <c r="A474">
        <v>24</v>
      </c>
      <c r="B474">
        <v>237</v>
      </c>
      <c r="C474">
        <v>46424.625</v>
      </c>
      <c r="D474" t="s">
        <v>236</v>
      </c>
      <c r="E474" t="s">
        <v>978</v>
      </c>
      <c r="F474" t="s">
        <v>1613</v>
      </c>
      <c r="G474">
        <v>3</v>
      </c>
      <c r="H474">
        <v>3</v>
      </c>
      <c r="I474">
        <v>13</v>
      </c>
      <c r="J474" s="17"/>
      <c r="K474" s="17"/>
      <c r="L474" s="19" t="str">
        <f t="shared" si="7"/>
        <v/>
      </c>
      <c r="M474" s="17">
        <v>1</v>
      </c>
      <c r="N474" s="17">
        <v>1</v>
      </c>
      <c r="P474" t="s">
        <v>1614</v>
      </c>
    </row>
    <row r="475" spans="1:16">
      <c r="A475">
        <v>24</v>
      </c>
      <c r="B475">
        <v>237</v>
      </c>
      <c r="C475">
        <v>46424.625</v>
      </c>
      <c r="D475" t="s">
        <v>978</v>
      </c>
      <c r="E475" t="s">
        <v>236</v>
      </c>
      <c r="F475" t="s">
        <v>1615</v>
      </c>
      <c r="G475">
        <v>3</v>
      </c>
      <c r="H475">
        <v>13</v>
      </c>
      <c r="I475">
        <v>3</v>
      </c>
      <c r="J475" s="17"/>
      <c r="K475" s="17"/>
      <c r="L475" s="19" t="str">
        <f t="shared" si="7"/>
        <v/>
      </c>
      <c r="M475" s="17">
        <v>1</v>
      </c>
      <c r="N475" s="17">
        <v>1</v>
      </c>
      <c r="P475" t="s">
        <v>1614</v>
      </c>
    </row>
    <row r="476" spans="1:16">
      <c r="A476">
        <v>24</v>
      </c>
      <c r="B476">
        <v>238</v>
      </c>
      <c r="C476">
        <v>46424.625</v>
      </c>
      <c r="D476" t="s">
        <v>474</v>
      </c>
      <c r="E476" t="s">
        <v>1199</v>
      </c>
      <c r="F476" t="s">
        <v>1613</v>
      </c>
      <c r="G476">
        <v>4</v>
      </c>
      <c r="H476">
        <v>6</v>
      </c>
      <c r="I476">
        <v>16</v>
      </c>
      <c r="J476" s="17"/>
      <c r="K476" s="17"/>
      <c r="L476" s="19" t="str">
        <f t="shared" si="7"/>
        <v/>
      </c>
      <c r="M476" s="17">
        <v>1</v>
      </c>
      <c r="N476" s="17">
        <v>1</v>
      </c>
      <c r="P476" t="s">
        <v>1614</v>
      </c>
    </row>
    <row r="477" spans="1:16">
      <c r="A477">
        <v>24</v>
      </c>
      <c r="B477">
        <v>238</v>
      </c>
      <c r="C477">
        <v>46424.625</v>
      </c>
      <c r="D477" t="s">
        <v>1199</v>
      </c>
      <c r="E477" t="s">
        <v>474</v>
      </c>
      <c r="F477" t="s">
        <v>1615</v>
      </c>
      <c r="G477">
        <v>4</v>
      </c>
      <c r="H477">
        <v>16</v>
      </c>
      <c r="I477">
        <v>6</v>
      </c>
      <c r="J477" s="17"/>
      <c r="K477" s="17"/>
      <c r="L477" s="19" t="str">
        <f t="shared" si="7"/>
        <v/>
      </c>
      <c r="M477" s="17">
        <v>1</v>
      </c>
      <c r="N477" s="17">
        <v>1</v>
      </c>
      <c r="P477" t="s">
        <v>1614</v>
      </c>
    </row>
    <row r="478" spans="1:16">
      <c r="A478">
        <v>24</v>
      </c>
      <c r="B478">
        <v>239</v>
      </c>
      <c r="C478">
        <v>46424.625</v>
      </c>
      <c r="D478" t="s">
        <v>312</v>
      </c>
      <c r="E478" t="s">
        <v>1354</v>
      </c>
      <c r="F478" t="s">
        <v>1613</v>
      </c>
      <c r="G478">
        <v>3</v>
      </c>
      <c r="H478">
        <v>4</v>
      </c>
      <c r="I478">
        <v>18</v>
      </c>
      <c r="J478" s="17"/>
      <c r="K478" s="17"/>
      <c r="L478" s="19" t="str">
        <f t="shared" si="7"/>
        <v/>
      </c>
      <c r="M478" s="17">
        <v>1</v>
      </c>
      <c r="N478" s="17">
        <v>1</v>
      </c>
      <c r="P478" t="s">
        <v>1614</v>
      </c>
    </row>
    <row r="479" spans="1:16">
      <c r="A479">
        <v>24</v>
      </c>
      <c r="B479">
        <v>239</v>
      </c>
      <c r="C479">
        <v>46424.625</v>
      </c>
      <c r="D479" t="s">
        <v>1354</v>
      </c>
      <c r="E479" t="s">
        <v>312</v>
      </c>
      <c r="F479" t="s">
        <v>1615</v>
      </c>
      <c r="G479">
        <v>3</v>
      </c>
      <c r="H479">
        <v>18</v>
      </c>
      <c r="I479">
        <v>4</v>
      </c>
      <c r="J479" s="17"/>
      <c r="K479" s="17"/>
      <c r="L479" s="19" t="str">
        <f t="shared" si="7"/>
        <v/>
      </c>
      <c r="M479" s="17">
        <v>1</v>
      </c>
      <c r="N479" s="17">
        <v>1</v>
      </c>
      <c r="P479" t="s">
        <v>1614</v>
      </c>
    </row>
    <row r="480" spans="1:16">
      <c r="A480">
        <v>24</v>
      </c>
      <c r="B480">
        <v>240</v>
      </c>
      <c r="C480">
        <v>46424.625</v>
      </c>
      <c r="D480" t="s">
        <v>153</v>
      </c>
      <c r="E480" t="s">
        <v>1493</v>
      </c>
      <c r="F480" t="s">
        <v>1613</v>
      </c>
      <c r="G480">
        <v>3</v>
      </c>
      <c r="H480">
        <v>2</v>
      </c>
      <c r="I480">
        <v>20</v>
      </c>
      <c r="J480" s="17"/>
      <c r="K480" s="17"/>
      <c r="L480" s="19" t="str">
        <f t="shared" si="7"/>
        <v/>
      </c>
      <c r="M480" s="17">
        <v>1</v>
      </c>
      <c r="N480" s="17">
        <v>1</v>
      </c>
      <c r="P480" t="s">
        <v>1614</v>
      </c>
    </row>
    <row r="481" spans="1:16">
      <c r="A481">
        <v>24</v>
      </c>
      <c r="B481">
        <v>240</v>
      </c>
      <c r="C481">
        <v>46424.625</v>
      </c>
      <c r="D481" t="s">
        <v>1493</v>
      </c>
      <c r="E481" t="s">
        <v>153</v>
      </c>
      <c r="F481" t="s">
        <v>1615</v>
      </c>
      <c r="G481">
        <v>3</v>
      </c>
      <c r="H481">
        <v>20</v>
      </c>
      <c r="I481">
        <v>2</v>
      </c>
      <c r="J481" s="17"/>
      <c r="K481" s="17"/>
      <c r="L481" s="19" t="str">
        <f t="shared" si="7"/>
        <v/>
      </c>
      <c r="M481" s="17">
        <v>1</v>
      </c>
      <c r="N481" s="17">
        <v>1</v>
      </c>
      <c r="P481" t="s">
        <v>1614</v>
      </c>
    </row>
    <row r="482" spans="1:16">
      <c r="A482">
        <v>25</v>
      </c>
      <c r="B482">
        <v>241</v>
      </c>
      <c r="C482">
        <v>46428.833333333336</v>
      </c>
      <c r="D482" t="s">
        <v>236</v>
      </c>
      <c r="E482" t="s">
        <v>153</v>
      </c>
      <c r="F482" t="s">
        <v>1613</v>
      </c>
      <c r="G482">
        <v>4</v>
      </c>
      <c r="H482">
        <v>3</v>
      </c>
      <c r="I482">
        <v>2</v>
      </c>
      <c r="J482" s="17"/>
      <c r="K482" s="17"/>
      <c r="L482" s="19" t="str">
        <f t="shared" si="7"/>
        <v/>
      </c>
      <c r="M482" s="17">
        <v>1</v>
      </c>
      <c r="N482" s="17">
        <v>1</v>
      </c>
      <c r="P482" t="s">
        <v>1614</v>
      </c>
    </row>
    <row r="483" spans="1:16">
      <c r="A483">
        <v>25</v>
      </c>
      <c r="B483">
        <v>241</v>
      </c>
      <c r="C483">
        <v>46428.833333333336</v>
      </c>
      <c r="D483" t="s">
        <v>153</v>
      </c>
      <c r="E483" t="s">
        <v>236</v>
      </c>
      <c r="F483" t="s">
        <v>1615</v>
      </c>
      <c r="G483">
        <v>3</v>
      </c>
      <c r="H483">
        <v>2</v>
      </c>
      <c r="I483">
        <v>3</v>
      </c>
      <c r="J483" s="17"/>
      <c r="K483" s="17"/>
      <c r="L483" s="19" t="str">
        <f t="shared" si="7"/>
        <v/>
      </c>
      <c r="M483" s="17">
        <v>1</v>
      </c>
      <c r="N483" s="17">
        <v>1</v>
      </c>
      <c r="P483" t="s">
        <v>1614</v>
      </c>
    </row>
    <row r="484" spans="1:16">
      <c r="A484">
        <v>25</v>
      </c>
      <c r="B484">
        <v>242</v>
      </c>
      <c r="C484">
        <v>46428.833333333336</v>
      </c>
      <c r="D484" t="s">
        <v>1037</v>
      </c>
      <c r="E484" t="s">
        <v>567</v>
      </c>
      <c r="F484" t="s">
        <v>1613</v>
      </c>
      <c r="G484">
        <v>2</v>
      </c>
      <c r="H484">
        <v>14</v>
      </c>
      <c r="I484">
        <v>7</v>
      </c>
      <c r="J484" s="17"/>
      <c r="K484" s="17"/>
      <c r="L484" s="19" t="str">
        <f t="shared" si="7"/>
        <v/>
      </c>
      <c r="M484" s="17">
        <v>1</v>
      </c>
      <c r="N484" s="17">
        <v>1</v>
      </c>
      <c r="P484" t="s">
        <v>1614</v>
      </c>
    </row>
    <row r="485" spans="1:16">
      <c r="A485">
        <v>25</v>
      </c>
      <c r="B485">
        <v>242</v>
      </c>
      <c r="C485">
        <v>46428.833333333336</v>
      </c>
      <c r="D485" t="s">
        <v>567</v>
      </c>
      <c r="E485" t="s">
        <v>1037</v>
      </c>
      <c r="F485" t="s">
        <v>1615</v>
      </c>
      <c r="G485">
        <v>4</v>
      </c>
      <c r="H485">
        <v>7</v>
      </c>
      <c r="I485">
        <v>14</v>
      </c>
      <c r="J485" s="17"/>
      <c r="K485" s="17"/>
      <c r="L485" s="19" t="str">
        <f t="shared" si="7"/>
        <v/>
      </c>
      <c r="M485" s="17">
        <v>1</v>
      </c>
      <c r="N485" s="17">
        <v>1</v>
      </c>
      <c r="P485" t="s">
        <v>1614</v>
      </c>
    </row>
    <row r="486" spans="1:16">
      <c r="A486">
        <v>25</v>
      </c>
      <c r="B486">
        <v>243</v>
      </c>
      <c r="C486">
        <v>46428.833333333336</v>
      </c>
      <c r="D486" t="s">
        <v>312</v>
      </c>
      <c r="E486" t="s">
        <v>639</v>
      </c>
      <c r="F486" t="s">
        <v>1613</v>
      </c>
      <c r="G486">
        <v>3</v>
      </c>
      <c r="H486">
        <v>4</v>
      </c>
      <c r="I486">
        <v>8</v>
      </c>
      <c r="J486" s="17"/>
      <c r="K486" s="17"/>
      <c r="L486" s="19" t="str">
        <f t="shared" si="7"/>
        <v/>
      </c>
      <c r="M486" s="17">
        <v>1</v>
      </c>
      <c r="N486" s="17">
        <v>1</v>
      </c>
      <c r="P486" t="s">
        <v>1614</v>
      </c>
    </row>
    <row r="487" spans="1:16">
      <c r="A487">
        <v>25</v>
      </c>
      <c r="B487">
        <v>243</v>
      </c>
      <c r="C487">
        <v>46428.833333333336</v>
      </c>
      <c r="D487" t="s">
        <v>639</v>
      </c>
      <c r="E487" t="s">
        <v>312</v>
      </c>
      <c r="F487" t="s">
        <v>1615</v>
      </c>
      <c r="G487">
        <v>3</v>
      </c>
      <c r="H487">
        <v>8</v>
      </c>
      <c r="I487">
        <v>4</v>
      </c>
      <c r="J487" s="17"/>
      <c r="K487" s="17"/>
      <c r="L487" s="19" t="str">
        <f t="shared" si="7"/>
        <v/>
      </c>
      <c r="M487" s="17">
        <v>1</v>
      </c>
      <c r="N487" s="17">
        <v>1</v>
      </c>
      <c r="P487" t="s">
        <v>1614</v>
      </c>
    </row>
    <row r="488" spans="1:16">
      <c r="A488">
        <v>25</v>
      </c>
      <c r="B488">
        <v>244</v>
      </c>
      <c r="C488">
        <v>46428.833333333336</v>
      </c>
      <c r="D488" t="s">
        <v>978</v>
      </c>
      <c r="E488" t="s">
        <v>714</v>
      </c>
      <c r="F488" t="s">
        <v>1613</v>
      </c>
      <c r="G488">
        <v>3</v>
      </c>
      <c r="H488">
        <v>13</v>
      </c>
      <c r="I488">
        <v>9</v>
      </c>
      <c r="J488" s="17"/>
      <c r="K488" s="17"/>
      <c r="L488" s="19" t="str">
        <f t="shared" si="7"/>
        <v/>
      </c>
      <c r="M488" s="17">
        <v>1</v>
      </c>
      <c r="N488" s="17">
        <v>1</v>
      </c>
      <c r="P488" t="s">
        <v>1614</v>
      </c>
    </row>
    <row r="489" spans="1:16">
      <c r="A489">
        <v>25</v>
      </c>
      <c r="B489">
        <v>244</v>
      </c>
      <c r="C489">
        <v>46428.833333333336</v>
      </c>
      <c r="D489" t="s">
        <v>714</v>
      </c>
      <c r="E489" t="s">
        <v>978</v>
      </c>
      <c r="F489" t="s">
        <v>1615</v>
      </c>
      <c r="G489">
        <v>2</v>
      </c>
      <c r="H489">
        <v>9</v>
      </c>
      <c r="I489">
        <v>13</v>
      </c>
      <c r="J489" s="17"/>
      <c r="K489" s="17"/>
      <c r="L489" s="19" t="str">
        <f t="shared" si="7"/>
        <v/>
      </c>
      <c r="M489" s="17">
        <v>1</v>
      </c>
      <c r="N489" s="17">
        <v>1</v>
      </c>
      <c r="P489" t="s">
        <v>1614</v>
      </c>
    </row>
    <row r="490" spans="1:16">
      <c r="A490">
        <v>25</v>
      </c>
      <c r="B490">
        <v>245</v>
      </c>
      <c r="C490">
        <v>46428.833333333336</v>
      </c>
      <c r="D490" t="s">
        <v>1354</v>
      </c>
      <c r="E490" t="s">
        <v>777</v>
      </c>
      <c r="F490" t="s">
        <v>1613</v>
      </c>
      <c r="G490">
        <v>3</v>
      </c>
      <c r="H490">
        <v>18</v>
      </c>
      <c r="I490">
        <v>10</v>
      </c>
      <c r="J490" s="17"/>
      <c r="K490" s="17"/>
      <c r="L490" s="19" t="str">
        <f t="shared" si="7"/>
        <v/>
      </c>
      <c r="M490" s="17">
        <v>1</v>
      </c>
      <c r="N490" s="17">
        <v>1</v>
      </c>
      <c r="P490" t="s">
        <v>1614</v>
      </c>
    </row>
    <row r="491" spans="1:16">
      <c r="A491">
        <v>25</v>
      </c>
      <c r="B491">
        <v>245</v>
      </c>
      <c r="C491">
        <v>46428.833333333336</v>
      </c>
      <c r="D491" t="s">
        <v>777</v>
      </c>
      <c r="E491" t="s">
        <v>1354</v>
      </c>
      <c r="F491" t="s">
        <v>1615</v>
      </c>
      <c r="G491">
        <v>3</v>
      </c>
      <c r="H491">
        <v>10</v>
      </c>
      <c r="I491">
        <v>18</v>
      </c>
      <c r="J491" s="17"/>
      <c r="K491" s="17"/>
      <c r="L491" s="19" t="str">
        <f t="shared" si="7"/>
        <v/>
      </c>
      <c r="M491" s="17">
        <v>1</v>
      </c>
      <c r="N491" s="17">
        <v>1</v>
      </c>
      <c r="P491" t="s">
        <v>1614</v>
      </c>
    </row>
    <row r="492" spans="1:16">
      <c r="A492">
        <v>25</v>
      </c>
      <c r="B492">
        <v>246</v>
      </c>
      <c r="C492">
        <v>46428.833333333336</v>
      </c>
      <c r="D492" t="s">
        <v>1493</v>
      </c>
      <c r="E492" t="s">
        <v>831</v>
      </c>
      <c r="F492" t="s">
        <v>1613</v>
      </c>
      <c r="G492">
        <v>2</v>
      </c>
      <c r="H492">
        <v>20</v>
      </c>
      <c r="I492">
        <v>11</v>
      </c>
      <c r="J492" s="17"/>
      <c r="K492" s="17"/>
      <c r="L492" s="19" t="str">
        <f t="shared" si="7"/>
        <v/>
      </c>
      <c r="M492" s="17">
        <v>1</v>
      </c>
      <c r="N492" s="17">
        <v>1</v>
      </c>
      <c r="P492" t="s">
        <v>1614</v>
      </c>
    </row>
    <row r="493" spans="1:16">
      <c r="A493">
        <v>25</v>
      </c>
      <c r="B493">
        <v>246</v>
      </c>
      <c r="C493">
        <v>46428.833333333336</v>
      </c>
      <c r="D493" t="s">
        <v>831</v>
      </c>
      <c r="E493" t="s">
        <v>1493</v>
      </c>
      <c r="F493" t="s">
        <v>1615</v>
      </c>
      <c r="G493">
        <v>2</v>
      </c>
      <c r="H493">
        <v>11</v>
      </c>
      <c r="I493">
        <v>20</v>
      </c>
      <c r="J493" s="17"/>
      <c r="K493" s="17"/>
      <c r="L493" s="19" t="str">
        <f t="shared" si="7"/>
        <v/>
      </c>
      <c r="M493" s="17">
        <v>1</v>
      </c>
      <c r="N493" s="17">
        <v>1</v>
      </c>
      <c r="P493" t="s">
        <v>1614</v>
      </c>
    </row>
    <row r="494" spans="1:16">
      <c r="A494">
        <v>25</v>
      </c>
      <c r="B494">
        <v>247</v>
      </c>
      <c r="C494">
        <v>46428.833333333336</v>
      </c>
      <c r="D494" t="s">
        <v>64</v>
      </c>
      <c r="E494" t="s">
        <v>903</v>
      </c>
      <c r="F494" t="s">
        <v>1613</v>
      </c>
      <c r="G494">
        <v>2</v>
      </c>
      <c r="H494">
        <v>1</v>
      </c>
      <c r="I494">
        <v>12</v>
      </c>
      <c r="J494" s="17"/>
      <c r="K494" s="17"/>
      <c r="L494" s="19" t="str">
        <f t="shared" si="7"/>
        <v/>
      </c>
      <c r="M494" s="17">
        <v>1</v>
      </c>
      <c r="N494" s="17">
        <v>1</v>
      </c>
      <c r="P494" t="s">
        <v>1614</v>
      </c>
    </row>
    <row r="495" spans="1:16">
      <c r="A495">
        <v>25</v>
      </c>
      <c r="B495">
        <v>247</v>
      </c>
      <c r="C495">
        <v>46428.833333333336</v>
      </c>
      <c r="D495" t="s">
        <v>903</v>
      </c>
      <c r="E495" t="s">
        <v>64</v>
      </c>
      <c r="F495" t="s">
        <v>1615</v>
      </c>
      <c r="G495">
        <v>4</v>
      </c>
      <c r="H495">
        <v>12</v>
      </c>
      <c r="I495">
        <v>1</v>
      </c>
      <c r="J495" s="17"/>
      <c r="K495" s="17"/>
      <c r="L495" s="19" t="str">
        <f t="shared" si="7"/>
        <v/>
      </c>
      <c r="M495" s="17">
        <v>1</v>
      </c>
      <c r="N495" s="17">
        <v>1</v>
      </c>
      <c r="P495" t="s">
        <v>1614</v>
      </c>
    </row>
    <row r="496" spans="1:16">
      <c r="A496">
        <v>25</v>
      </c>
      <c r="B496">
        <v>248</v>
      </c>
      <c r="C496">
        <v>46428.833333333336</v>
      </c>
      <c r="D496" t="s">
        <v>390</v>
      </c>
      <c r="E496" t="s">
        <v>1199</v>
      </c>
      <c r="F496" t="s">
        <v>1613</v>
      </c>
      <c r="G496">
        <v>4</v>
      </c>
      <c r="H496">
        <v>5</v>
      </c>
      <c r="I496">
        <v>16</v>
      </c>
      <c r="J496" s="17"/>
      <c r="K496" s="17"/>
      <c r="L496" s="19" t="str">
        <f t="shared" si="7"/>
        <v/>
      </c>
      <c r="M496" s="17">
        <v>1</v>
      </c>
      <c r="N496" s="17">
        <v>1</v>
      </c>
      <c r="P496" t="s">
        <v>1614</v>
      </c>
    </row>
    <row r="497" spans="1:16">
      <c r="A497">
        <v>25</v>
      </c>
      <c r="B497">
        <v>248</v>
      </c>
      <c r="C497">
        <v>46428.833333333336</v>
      </c>
      <c r="D497" t="s">
        <v>1199</v>
      </c>
      <c r="E497" t="s">
        <v>390</v>
      </c>
      <c r="F497" t="s">
        <v>1615</v>
      </c>
      <c r="G497">
        <v>2</v>
      </c>
      <c r="H497">
        <v>16</v>
      </c>
      <c r="I497">
        <v>5</v>
      </c>
      <c r="J497" s="17"/>
      <c r="K497" s="17"/>
      <c r="L497" s="19" t="str">
        <f t="shared" si="7"/>
        <v/>
      </c>
      <c r="M497" s="17">
        <v>1</v>
      </c>
      <c r="N497" s="17">
        <v>1</v>
      </c>
      <c r="P497" t="s">
        <v>1614</v>
      </c>
    </row>
    <row r="498" spans="1:16">
      <c r="A498">
        <v>25</v>
      </c>
      <c r="B498">
        <v>249</v>
      </c>
      <c r="C498">
        <v>46428.833333333336</v>
      </c>
      <c r="D498" t="s">
        <v>474</v>
      </c>
      <c r="E498" t="s">
        <v>1283</v>
      </c>
      <c r="F498" t="s">
        <v>1613</v>
      </c>
      <c r="G498">
        <v>3</v>
      </c>
      <c r="H498">
        <v>6</v>
      </c>
      <c r="I498">
        <v>17</v>
      </c>
      <c r="J498" s="17"/>
      <c r="K498" s="17"/>
      <c r="L498" s="19" t="str">
        <f t="shared" si="7"/>
        <v/>
      </c>
      <c r="M498" s="17">
        <v>1</v>
      </c>
      <c r="N498" s="17">
        <v>1</v>
      </c>
      <c r="P498" t="s">
        <v>1614</v>
      </c>
    </row>
    <row r="499" spans="1:16">
      <c r="A499">
        <v>25</v>
      </c>
      <c r="B499">
        <v>249</v>
      </c>
      <c r="C499">
        <v>46428.833333333336</v>
      </c>
      <c r="D499" t="s">
        <v>1283</v>
      </c>
      <c r="E499" t="s">
        <v>474</v>
      </c>
      <c r="F499" t="s">
        <v>1615</v>
      </c>
      <c r="G499">
        <v>4</v>
      </c>
      <c r="H499">
        <v>17</v>
      </c>
      <c r="I499">
        <v>6</v>
      </c>
      <c r="J499" s="17"/>
      <c r="K499" s="17"/>
      <c r="L499" s="19" t="str">
        <f t="shared" si="7"/>
        <v/>
      </c>
      <c r="M499" s="17">
        <v>1</v>
      </c>
      <c r="N499" s="17">
        <v>1</v>
      </c>
      <c r="P499" t="s">
        <v>1614</v>
      </c>
    </row>
    <row r="500" spans="1:16">
      <c r="A500">
        <v>25</v>
      </c>
      <c r="B500">
        <v>250</v>
      </c>
      <c r="C500">
        <v>46428.833333333336</v>
      </c>
      <c r="D500" t="s">
        <v>1126</v>
      </c>
      <c r="E500" t="s">
        <v>1412</v>
      </c>
      <c r="F500" t="s">
        <v>1613</v>
      </c>
      <c r="G500">
        <v>3</v>
      </c>
      <c r="H500">
        <v>15</v>
      </c>
      <c r="I500">
        <v>19</v>
      </c>
      <c r="J500" s="17"/>
      <c r="K500" s="17"/>
      <c r="L500" s="19" t="str">
        <f t="shared" si="7"/>
        <v/>
      </c>
      <c r="M500" s="17">
        <v>1</v>
      </c>
      <c r="N500" s="17">
        <v>1</v>
      </c>
      <c r="P500" t="s">
        <v>1614</v>
      </c>
    </row>
    <row r="501" spans="1:16">
      <c r="A501">
        <v>25</v>
      </c>
      <c r="B501">
        <v>250</v>
      </c>
      <c r="C501">
        <v>46428.833333333336</v>
      </c>
      <c r="D501" t="s">
        <v>1412</v>
      </c>
      <c r="E501" t="s">
        <v>1126</v>
      </c>
      <c r="F501" t="s">
        <v>1615</v>
      </c>
      <c r="G501">
        <v>4</v>
      </c>
      <c r="H501">
        <v>19</v>
      </c>
      <c r="I501">
        <v>15</v>
      </c>
      <c r="J501" s="17"/>
      <c r="K501" s="17"/>
      <c r="L501" s="19" t="str">
        <f t="shared" si="7"/>
        <v/>
      </c>
      <c r="M501" s="17">
        <v>1</v>
      </c>
      <c r="N501" s="17">
        <v>1</v>
      </c>
      <c r="P501" t="s">
        <v>1614</v>
      </c>
    </row>
    <row r="502" spans="1:16">
      <c r="A502">
        <v>26</v>
      </c>
      <c r="B502">
        <v>251</v>
      </c>
      <c r="C502">
        <v>46438.625</v>
      </c>
      <c r="D502" t="s">
        <v>777</v>
      </c>
      <c r="E502" t="s">
        <v>64</v>
      </c>
      <c r="F502" t="s">
        <v>1613</v>
      </c>
      <c r="G502">
        <v>5</v>
      </c>
      <c r="H502">
        <v>10</v>
      </c>
      <c r="I502">
        <v>1</v>
      </c>
      <c r="J502" s="17"/>
      <c r="K502" s="17"/>
      <c r="L502" s="19" t="str">
        <f t="shared" si="7"/>
        <v/>
      </c>
      <c r="M502" s="17">
        <v>1</v>
      </c>
      <c r="N502" s="17">
        <v>1</v>
      </c>
      <c r="P502" t="s">
        <v>1614</v>
      </c>
    </row>
    <row r="503" spans="1:16">
      <c r="A503">
        <v>26</v>
      </c>
      <c r="B503">
        <v>251</v>
      </c>
      <c r="C503">
        <v>46438.625</v>
      </c>
      <c r="D503" t="s">
        <v>64</v>
      </c>
      <c r="E503" t="s">
        <v>777</v>
      </c>
      <c r="F503" t="s">
        <v>1615</v>
      </c>
      <c r="G503">
        <v>2</v>
      </c>
      <c r="H503">
        <v>1</v>
      </c>
      <c r="I503">
        <v>10</v>
      </c>
      <c r="J503" s="17"/>
      <c r="K503" s="17"/>
      <c r="L503" s="19" t="str">
        <f t="shared" si="7"/>
        <v/>
      </c>
      <c r="M503" s="17">
        <v>1</v>
      </c>
      <c r="N503" s="17">
        <v>1</v>
      </c>
      <c r="P503" t="s">
        <v>1614</v>
      </c>
    </row>
    <row r="504" spans="1:16">
      <c r="A504">
        <v>26</v>
      </c>
      <c r="B504">
        <v>252</v>
      </c>
      <c r="C504">
        <v>46438.625</v>
      </c>
      <c r="D504" t="s">
        <v>639</v>
      </c>
      <c r="E504" t="s">
        <v>236</v>
      </c>
      <c r="F504" t="s">
        <v>1613</v>
      </c>
      <c r="G504">
        <v>3</v>
      </c>
      <c r="H504">
        <v>8</v>
      </c>
      <c r="I504">
        <v>3</v>
      </c>
      <c r="J504" s="17"/>
      <c r="K504" s="17"/>
      <c r="L504" s="19" t="str">
        <f t="shared" si="7"/>
        <v/>
      </c>
      <c r="M504" s="17">
        <v>1</v>
      </c>
      <c r="N504" s="17">
        <v>1</v>
      </c>
      <c r="P504" t="s">
        <v>1614</v>
      </c>
    </row>
    <row r="505" spans="1:16">
      <c r="A505">
        <v>26</v>
      </c>
      <c r="B505">
        <v>252</v>
      </c>
      <c r="C505">
        <v>46438.625</v>
      </c>
      <c r="D505" t="s">
        <v>236</v>
      </c>
      <c r="E505" t="s">
        <v>639</v>
      </c>
      <c r="F505" t="s">
        <v>1615</v>
      </c>
      <c r="G505">
        <v>3</v>
      </c>
      <c r="H505">
        <v>3</v>
      </c>
      <c r="I505">
        <v>8</v>
      </c>
      <c r="J505" s="17"/>
      <c r="K505" s="17"/>
      <c r="L505" s="19" t="str">
        <f t="shared" si="7"/>
        <v/>
      </c>
      <c r="M505" s="17">
        <v>1</v>
      </c>
      <c r="N505" s="17">
        <v>1</v>
      </c>
      <c r="P505" t="s">
        <v>1614</v>
      </c>
    </row>
    <row r="506" spans="1:16">
      <c r="A506">
        <v>26</v>
      </c>
      <c r="B506">
        <v>253</v>
      </c>
      <c r="C506">
        <v>46438.625</v>
      </c>
      <c r="D506" t="s">
        <v>567</v>
      </c>
      <c r="E506" t="s">
        <v>312</v>
      </c>
      <c r="F506" t="s">
        <v>1613</v>
      </c>
      <c r="G506">
        <v>3</v>
      </c>
      <c r="H506">
        <v>7</v>
      </c>
      <c r="I506">
        <v>4</v>
      </c>
      <c r="J506" s="17"/>
      <c r="K506" s="17"/>
      <c r="L506" s="19" t="str">
        <f t="shared" si="7"/>
        <v/>
      </c>
      <c r="M506" s="17">
        <v>1</v>
      </c>
      <c r="N506" s="17">
        <v>1</v>
      </c>
      <c r="P506" t="s">
        <v>1614</v>
      </c>
    </row>
    <row r="507" spans="1:16">
      <c r="A507">
        <v>26</v>
      </c>
      <c r="B507">
        <v>253</v>
      </c>
      <c r="C507">
        <v>46438.625</v>
      </c>
      <c r="D507" t="s">
        <v>312</v>
      </c>
      <c r="E507" t="s">
        <v>567</v>
      </c>
      <c r="F507" t="s">
        <v>1615</v>
      </c>
      <c r="G507">
        <v>2</v>
      </c>
      <c r="H507">
        <v>4</v>
      </c>
      <c r="I507">
        <v>7</v>
      </c>
      <c r="J507" s="17"/>
      <c r="K507" s="17"/>
      <c r="L507" s="19" t="str">
        <f t="shared" si="7"/>
        <v/>
      </c>
      <c r="M507" s="17">
        <v>1</v>
      </c>
      <c r="N507" s="17">
        <v>1</v>
      </c>
      <c r="P507" t="s">
        <v>1614</v>
      </c>
    </row>
    <row r="508" spans="1:16">
      <c r="A508">
        <v>26</v>
      </c>
      <c r="B508">
        <v>254</v>
      </c>
      <c r="C508">
        <v>46438.625</v>
      </c>
      <c r="D508" t="s">
        <v>1412</v>
      </c>
      <c r="E508" t="s">
        <v>390</v>
      </c>
      <c r="F508" t="s">
        <v>1613</v>
      </c>
      <c r="G508">
        <v>3</v>
      </c>
      <c r="H508">
        <v>19</v>
      </c>
      <c r="I508">
        <v>5</v>
      </c>
      <c r="J508" s="17"/>
      <c r="K508" s="17"/>
      <c r="L508" s="19" t="str">
        <f t="shared" si="7"/>
        <v/>
      </c>
      <c r="M508" s="17">
        <v>1</v>
      </c>
      <c r="N508" s="17">
        <v>1</v>
      </c>
      <c r="P508" t="s">
        <v>1614</v>
      </c>
    </row>
    <row r="509" spans="1:16">
      <c r="A509">
        <v>26</v>
      </c>
      <c r="B509">
        <v>254</v>
      </c>
      <c r="C509">
        <v>46438.625</v>
      </c>
      <c r="D509" t="s">
        <v>390</v>
      </c>
      <c r="E509" t="s">
        <v>1412</v>
      </c>
      <c r="F509" t="s">
        <v>1615</v>
      </c>
      <c r="G509">
        <v>3</v>
      </c>
      <c r="H509">
        <v>5</v>
      </c>
      <c r="I509">
        <v>19</v>
      </c>
      <c r="J509" s="17"/>
      <c r="K509" s="17"/>
      <c r="L509" s="19" t="str">
        <f t="shared" si="7"/>
        <v/>
      </c>
      <c r="M509" s="17">
        <v>1</v>
      </c>
      <c r="N509" s="17">
        <v>1</v>
      </c>
      <c r="P509" t="s">
        <v>1614</v>
      </c>
    </row>
    <row r="510" spans="1:16">
      <c r="A510">
        <v>26</v>
      </c>
      <c r="B510">
        <v>255</v>
      </c>
      <c r="C510">
        <v>46438.625</v>
      </c>
      <c r="D510" t="s">
        <v>903</v>
      </c>
      <c r="E510" t="s">
        <v>474</v>
      </c>
      <c r="F510" t="s">
        <v>1613</v>
      </c>
      <c r="G510">
        <v>4</v>
      </c>
      <c r="H510">
        <v>12</v>
      </c>
      <c r="I510">
        <v>6</v>
      </c>
      <c r="J510" s="17"/>
      <c r="K510" s="17"/>
      <c r="L510" s="19" t="str">
        <f t="shared" si="7"/>
        <v/>
      </c>
      <c r="M510" s="17">
        <v>1</v>
      </c>
      <c r="N510" s="17">
        <v>1</v>
      </c>
      <c r="P510" t="s">
        <v>1614</v>
      </c>
    </row>
    <row r="511" spans="1:16">
      <c r="A511">
        <v>26</v>
      </c>
      <c r="B511">
        <v>255</v>
      </c>
      <c r="C511">
        <v>46438.625</v>
      </c>
      <c r="D511" t="s">
        <v>474</v>
      </c>
      <c r="E511" t="s">
        <v>903</v>
      </c>
      <c r="F511" t="s">
        <v>1615</v>
      </c>
      <c r="G511">
        <v>2</v>
      </c>
      <c r="H511">
        <v>6</v>
      </c>
      <c r="I511">
        <v>12</v>
      </c>
      <c r="J511" s="17"/>
      <c r="K511" s="17"/>
      <c r="L511" s="19" t="str">
        <f t="shared" si="7"/>
        <v/>
      </c>
      <c r="M511" s="17">
        <v>1</v>
      </c>
      <c r="N511" s="17">
        <v>1</v>
      </c>
      <c r="P511" t="s">
        <v>1614</v>
      </c>
    </row>
    <row r="512" spans="1:16">
      <c r="A512">
        <v>26</v>
      </c>
      <c r="B512">
        <v>256</v>
      </c>
      <c r="C512">
        <v>46438.625</v>
      </c>
      <c r="D512" t="s">
        <v>153</v>
      </c>
      <c r="E512" t="s">
        <v>978</v>
      </c>
      <c r="F512" t="s">
        <v>1613</v>
      </c>
      <c r="G512">
        <v>3</v>
      </c>
      <c r="H512">
        <v>2</v>
      </c>
      <c r="I512">
        <v>13</v>
      </c>
      <c r="J512" s="17"/>
      <c r="K512" s="17"/>
      <c r="L512" s="19" t="str">
        <f t="shared" si="7"/>
        <v/>
      </c>
      <c r="M512" s="17">
        <v>1</v>
      </c>
      <c r="N512" s="17">
        <v>1</v>
      </c>
      <c r="P512" t="s">
        <v>1614</v>
      </c>
    </row>
    <row r="513" spans="1:16">
      <c r="A513">
        <v>26</v>
      </c>
      <c r="B513">
        <v>256</v>
      </c>
      <c r="C513">
        <v>46438.625</v>
      </c>
      <c r="D513" t="s">
        <v>978</v>
      </c>
      <c r="E513" t="s">
        <v>153</v>
      </c>
      <c r="F513" t="s">
        <v>1615</v>
      </c>
      <c r="G513">
        <v>3</v>
      </c>
      <c r="H513">
        <v>13</v>
      </c>
      <c r="I513">
        <v>2</v>
      </c>
      <c r="J513" s="17"/>
      <c r="K513" s="17"/>
      <c r="L513" s="19" t="str">
        <f t="shared" si="7"/>
        <v/>
      </c>
      <c r="M513" s="17">
        <v>1</v>
      </c>
      <c r="N513" s="17">
        <v>1</v>
      </c>
      <c r="P513" t="s">
        <v>1614</v>
      </c>
    </row>
    <row r="514" spans="1:16">
      <c r="A514">
        <v>26</v>
      </c>
      <c r="B514">
        <v>257</v>
      </c>
      <c r="C514">
        <v>46438.625</v>
      </c>
      <c r="D514" t="s">
        <v>831</v>
      </c>
      <c r="E514" t="s">
        <v>1037</v>
      </c>
      <c r="F514" t="s">
        <v>1613</v>
      </c>
      <c r="G514">
        <v>4</v>
      </c>
      <c r="H514">
        <v>11</v>
      </c>
      <c r="I514">
        <v>14</v>
      </c>
      <c r="J514" s="17"/>
      <c r="K514" s="17"/>
      <c r="L514" s="19" t="str">
        <f t="shared" ref="L514:L577" si="8">IF(K514="","",EXP(-K514))</f>
        <v/>
      </c>
      <c r="M514" s="17">
        <v>1</v>
      </c>
      <c r="N514" s="17">
        <v>1</v>
      </c>
      <c r="P514" t="s">
        <v>1614</v>
      </c>
    </row>
    <row r="515" spans="1:16">
      <c r="A515">
        <v>26</v>
      </c>
      <c r="B515">
        <v>257</v>
      </c>
      <c r="C515">
        <v>46438.625</v>
      </c>
      <c r="D515" t="s">
        <v>1037</v>
      </c>
      <c r="E515" t="s">
        <v>831</v>
      </c>
      <c r="F515" t="s">
        <v>1615</v>
      </c>
      <c r="G515">
        <v>2</v>
      </c>
      <c r="H515">
        <v>14</v>
      </c>
      <c r="I515">
        <v>11</v>
      </c>
      <c r="J515" s="17"/>
      <c r="K515" s="17"/>
      <c r="L515" s="19" t="str">
        <f t="shared" si="8"/>
        <v/>
      </c>
      <c r="M515" s="17">
        <v>1</v>
      </c>
      <c r="N515" s="17">
        <v>1</v>
      </c>
      <c r="P515" t="s">
        <v>1614</v>
      </c>
    </row>
    <row r="516" spans="1:16">
      <c r="A516">
        <v>26</v>
      </c>
      <c r="B516">
        <v>258</v>
      </c>
      <c r="C516">
        <v>46438.625</v>
      </c>
      <c r="D516" t="s">
        <v>1283</v>
      </c>
      <c r="E516" t="s">
        <v>1126</v>
      </c>
      <c r="F516" t="s">
        <v>1613</v>
      </c>
      <c r="G516">
        <v>5</v>
      </c>
      <c r="H516">
        <v>17</v>
      </c>
      <c r="I516">
        <v>15</v>
      </c>
      <c r="J516" s="17"/>
      <c r="K516" s="17"/>
      <c r="L516" s="19" t="str">
        <f t="shared" si="8"/>
        <v/>
      </c>
      <c r="M516" s="17">
        <v>1</v>
      </c>
      <c r="N516" s="17">
        <v>1</v>
      </c>
      <c r="P516" t="s">
        <v>1614</v>
      </c>
    </row>
    <row r="517" spans="1:16">
      <c r="A517">
        <v>26</v>
      </c>
      <c r="B517">
        <v>258</v>
      </c>
      <c r="C517">
        <v>46438.625</v>
      </c>
      <c r="D517" t="s">
        <v>1126</v>
      </c>
      <c r="E517" t="s">
        <v>1283</v>
      </c>
      <c r="F517" t="s">
        <v>1615</v>
      </c>
      <c r="G517">
        <v>2</v>
      </c>
      <c r="H517">
        <v>15</v>
      </c>
      <c r="I517">
        <v>17</v>
      </c>
      <c r="J517" s="17"/>
      <c r="K517" s="17"/>
      <c r="L517" s="19" t="str">
        <f t="shared" si="8"/>
        <v/>
      </c>
      <c r="M517" s="17">
        <v>1</v>
      </c>
      <c r="N517" s="17">
        <v>1</v>
      </c>
      <c r="P517" t="s">
        <v>1614</v>
      </c>
    </row>
    <row r="518" spans="1:16">
      <c r="A518">
        <v>26</v>
      </c>
      <c r="B518">
        <v>259</v>
      </c>
      <c r="C518">
        <v>46438.625</v>
      </c>
      <c r="D518" t="s">
        <v>1199</v>
      </c>
      <c r="E518" t="s">
        <v>1354</v>
      </c>
      <c r="F518" t="s">
        <v>1613</v>
      </c>
      <c r="G518">
        <v>3</v>
      </c>
      <c r="H518">
        <v>16</v>
      </c>
      <c r="I518">
        <v>18</v>
      </c>
      <c r="J518" s="17"/>
      <c r="K518" s="17"/>
      <c r="L518" s="19" t="str">
        <f t="shared" si="8"/>
        <v/>
      </c>
      <c r="M518" s="17">
        <v>1</v>
      </c>
      <c r="N518" s="17">
        <v>1</v>
      </c>
      <c r="P518" t="s">
        <v>1614</v>
      </c>
    </row>
    <row r="519" spans="1:16">
      <c r="A519">
        <v>26</v>
      </c>
      <c r="B519">
        <v>259</v>
      </c>
      <c r="C519">
        <v>46438.625</v>
      </c>
      <c r="D519" t="s">
        <v>1354</v>
      </c>
      <c r="E519" t="s">
        <v>1199</v>
      </c>
      <c r="F519" t="s">
        <v>1615</v>
      </c>
      <c r="G519">
        <v>4</v>
      </c>
      <c r="H519">
        <v>18</v>
      </c>
      <c r="I519">
        <v>16</v>
      </c>
      <c r="J519" s="17"/>
      <c r="K519" s="17"/>
      <c r="L519" s="19" t="str">
        <f t="shared" si="8"/>
        <v/>
      </c>
      <c r="M519" s="17">
        <v>1</v>
      </c>
      <c r="N519" s="17">
        <v>1</v>
      </c>
      <c r="P519" t="s">
        <v>1614</v>
      </c>
    </row>
    <row r="520" spans="1:16">
      <c r="A520">
        <v>26</v>
      </c>
      <c r="B520">
        <v>260</v>
      </c>
      <c r="C520">
        <v>46438.625</v>
      </c>
      <c r="D520" t="s">
        <v>714</v>
      </c>
      <c r="E520" t="s">
        <v>1493</v>
      </c>
      <c r="F520" t="s">
        <v>1613</v>
      </c>
      <c r="G520">
        <v>3</v>
      </c>
      <c r="H520">
        <v>9</v>
      </c>
      <c r="I520">
        <v>20</v>
      </c>
      <c r="J520" s="17"/>
      <c r="K520" s="17"/>
      <c r="L520" s="19" t="str">
        <f t="shared" si="8"/>
        <v/>
      </c>
      <c r="M520" s="17">
        <v>1</v>
      </c>
      <c r="N520" s="17">
        <v>1</v>
      </c>
      <c r="P520" t="s">
        <v>1614</v>
      </c>
    </row>
    <row r="521" spans="1:16">
      <c r="A521">
        <v>26</v>
      </c>
      <c r="B521">
        <v>260</v>
      </c>
      <c r="C521">
        <v>46438.625</v>
      </c>
      <c r="D521" t="s">
        <v>1493</v>
      </c>
      <c r="E521" t="s">
        <v>714</v>
      </c>
      <c r="F521" t="s">
        <v>1615</v>
      </c>
      <c r="G521">
        <v>3</v>
      </c>
      <c r="H521">
        <v>20</v>
      </c>
      <c r="I521">
        <v>9</v>
      </c>
      <c r="J521" s="17"/>
      <c r="K521" s="17"/>
      <c r="L521" s="19" t="str">
        <f t="shared" si="8"/>
        <v/>
      </c>
      <c r="M521" s="17">
        <v>1</v>
      </c>
      <c r="N521" s="17">
        <v>1</v>
      </c>
      <c r="P521" t="s">
        <v>1614</v>
      </c>
    </row>
    <row r="522" spans="1:16">
      <c r="A522">
        <v>27</v>
      </c>
      <c r="B522">
        <v>261</v>
      </c>
      <c r="C522">
        <v>46445.625</v>
      </c>
      <c r="D522" t="s">
        <v>474</v>
      </c>
      <c r="E522" t="s">
        <v>153</v>
      </c>
      <c r="F522" t="s">
        <v>1613</v>
      </c>
      <c r="G522">
        <v>4</v>
      </c>
      <c r="H522">
        <v>6</v>
      </c>
      <c r="I522">
        <v>2</v>
      </c>
      <c r="J522" s="17"/>
      <c r="K522" s="17"/>
      <c r="L522" s="19" t="str">
        <f t="shared" si="8"/>
        <v/>
      </c>
      <c r="M522" s="17">
        <v>1</v>
      </c>
      <c r="N522" s="17">
        <v>1</v>
      </c>
      <c r="P522" t="s">
        <v>1614</v>
      </c>
    </row>
    <row r="523" spans="1:16">
      <c r="A523">
        <v>27</v>
      </c>
      <c r="B523">
        <v>261</v>
      </c>
      <c r="C523">
        <v>46445.625</v>
      </c>
      <c r="D523" t="s">
        <v>153</v>
      </c>
      <c r="E523" t="s">
        <v>474</v>
      </c>
      <c r="F523" t="s">
        <v>1615</v>
      </c>
      <c r="G523">
        <v>4</v>
      </c>
      <c r="H523">
        <v>2</v>
      </c>
      <c r="I523">
        <v>6</v>
      </c>
      <c r="J523" s="17"/>
      <c r="K523" s="17"/>
      <c r="L523" s="19" t="str">
        <f t="shared" si="8"/>
        <v/>
      </c>
      <c r="M523" s="17">
        <v>1</v>
      </c>
      <c r="N523" s="17">
        <v>1</v>
      </c>
      <c r="P523" t="s">
        <v>1614</v>
      </c>
    </row>
    <row r="524" spans="1:16">
      <c r="A524">
        <v>27</v>
      </c>
      <c r="B524">
        <v>262</v>
      </c>
      <c r="C524">
        <v>46445.625</v>
      </c>
      <c r="D524" t="s">
        <v>236</v>
      </c>
      <c r="E524" t="s">
        <v>567</v>
      </c>
      <c r="F524" t="s">
        <v>1613</v>
      </c>
      <c r="G524">
        <v>2</v>
      </c>
      <c r="H524">
        <v>3</v>
      </c>
      <c r="I524">
        <v>7</v>
      </c>
      <c r="J524" s="17"/>
      <c r="K524" s="17"/>
      <c r="L524" s="19" t="str">
        <f t="shared" si="8"/>
        <v/>
      </c>
      <c r="M524" s="17">
        <v>1</v>
      </c>
      <c r="N524" s="17">
        <v>1</v>
      </c>
      <c r="P524" t="s">
        <v>1614</v>
      </c>
    </row>
    <row r="525" spans="1:16">
      <c r="A525">
        <v>27</v>
      </c>
      <c r="B525">
        <v>262</v>
      </c>
      <c r="C525">
        <v>46445.625</v>
      </c>
      <c r="D525" t="s">
        <v>567</v>
      </c>
      <c r="E525" t="s">
        <v>236</v>
      </c>
      <c r="F525" t="s">
        <v>1615</v>
      </c>
      <c r="G525">
        <v>3</v>
      </c>
      <c r="H525">
        <v>7</v>
      </c>
      <c r="I525">
        <v>3</v>
      </c>
      <c r="J525" s="17"/>
      <c r="K525" s="17"/>
      <c r="L525" s="19" t="str">
        <f t="shared" si="8"/>
        <v/>
      </c>
      <c r="M525" s="17">
        <v>1</v>
      </c>
      <c r="N525" s="17">
        <v>1</v>
      </c>
      <c r="P525" t="s">
        <v>1614</v>
      </c>
    </row>
    <row r="526" spans="1:16">
      <c r="A526">
        <v>27</v>
      </c>
      <c r="B526">
        <v>263</v>
      </c>
      <c r="C526">
        <v>46445.625</v>
      </c>
      <c r="D526" t="s">
        <v>1493</v>
      </c>
      <c r="E526" t="s">
        <v>639</v>
      </c>
      <c r="F526" t="s">
        <v>1613</v>
      </c>
      <c r="G526">
        <v>3</v>
      </c>
      <c r="H526">
        <v>20</v>
      </c>
      <c r="I526">
        <v>8</v>
      </c>
      <c r="J526" s="17"/>
      <c r="K526" s="17"/>
      <c r="L526" s="19" t="str">
        <f t="shared" si="8"/>
        <v/>
      </c>
      <c r="M526" s="17">
        <v>1</v>
      </c>
      <c r="N526" s="17">
        <v>1</v>
      </c>
      <c r="P526" t="s">
        <v>1614</v>
      </c>
    </row>
    <row r="527" spans="1:16">
      <c r="A527">
        <v>27</v>
      </c>
      <c r="B527">
        <v>263</v>
      </c>
      <c r="C527">
        <v>46445.625</v>
      </c>
      <c r="D527" t="s">
        <v>639</v>
      </c>
      <c r="E527" t="s">
        <v>1493</v>
      </c>
      <c r="F527" t="s">
        <v>1615</v>
      </c>
      <c r="G527">
        <v>2</v>
      </c>
      <c r="H527">
        <v>8</v>
      </c>
      <c r="I527">
        <v>20</v>
      </c>
      <c r="J527" s="17"/>
      <c r="K527" s="17"/>
      <c r="L527" s="19" t="str">
        <f t="shared" si="8"/>
        <v/>
      </c>
      <c r="M527" s="17">
        <v>1</v>
      </c>
      <c r="N527" s="17">
        <v>1</v>
      </c>
      <c r="P527" t="s">
        <v>1614</v>
      </c>
    </row>
    <row r="528" spans="1:16">
      <c r="A528">
        <v>27</v>
      </c>
      <c r="B528">
        <v>264</v>
      </c>
      <c r="C528">
        <v>46445.625</v>
      </c>
      <c r="D528" t="s">
        <v>1354</v>
      </c>
      <c r="E528" t="s">
        <v>714</v>
      </c>
      <c r="F528" t="s">
        <v>1613</v>
      </c>
      <c r="G528">
        <v>3</v>
      </c>
      <c r="H528">
        <v>18</v>
      </c>
      <c r="I528">
        <v>9</v>
      </c>
      <c r="J528" s="17"/>
      <c r="K528" s="17"/>
      <c r="L528" s="19" t="str">
        <f t="shared" si="8"/>
        <v/>
      </c>
      <c r="M528" s="17">
        <v>1</v>
      </c>
      <c r="N528" s="17">
        <v>1</v>
      </c>
      <c r="P528" t="s">
        <v>1614</v>
      </c>
    </row>
    <row r="529" spans="1:16">
      <c r="A529">
        <v>27</v>
      </c>
      <c r="B529">
        <v>264</v>
      </c>
      <c r="C529">
        <v>46445.625</v>
      </c>
      <c r="D529" t="s">
        <v>714</v>
      </c>
      <c r="E529" t="s">
        <v>1354</v>
      </c>
      <c r="F529" t="s">
        <v>1615</v>
      </c>
      <c r="G529">
        <v>3</v>
      </c>
      <c r="H529">
        <v>9</v>
      </c>
      <c r="I529">
        <v>18</v>
      </c>
      <c r="J529" s="17"/>
      <c r="K529" s="17"/>
      <c r="L529" s="19" t="str">
        <f t="shared" si="8"/>
        <v/>
      </c>
      <c r="M529" s="17">
        <v>1</v>
      </c>
      <c r="N529" s="17">
        <v>1</v>
      </c>
      <c r="P529" t="s">
        <v>1614</v>
      </c>
    </row>
    <row r="530" spans="1:16">
      <c r="A530">
        <v>27</v>
      </c>
      <c r="B530">
        <v>265</v>
      </c>
      <c r="C530">
        <v>46445.625</v>
      </c>
      <c r="D530" t="s">
        <v>978</v>
      </c>
      <c r="E530" t="s">
        <v>777</v>
      </c>
      <c r="F530" t="s">
        <v>1613</v>
      </c>
      <c r="G530">
        <v>3</v>
      </c>
      <c r="H530">
        <v>13</v>
      </c>
      <c r="I530">
        <v>10</v>
      </c>
      <c r="J530" s="17"/>
      <c r="K530" s="17"/>
      <c r="L530" s="19" t="str">
        <f t="shared" si="8"/>
        <v/>
      </c>
      <c r="M530" s="17">
        <v>1</v>
      </c>
      <c r="N530" s="17">
        <v>1</v>
      </c>
      <c r="P530" t="s">
        <v>1614</v>
      </c>
    </row>
    <row r="531" spans="1:16">
      <c r="A531">
        <v>27</v>
      </c>
      <c r="B531">
        <v>265</v>
      </c>
      <c r="C531">
        <v>46445.625</v>
      </c>
      <c r="D531" t="s">
        <v>777</v>
      </c>
      <c r="E531" t="s">
        <v>978</v>
      </c>
      <c r="F531" t="s">
        <v>1615</v>
      </c>
      <c r="G531">
        <v>2</v>
      </c>
      <c r="H531">
        <v>10</v>
      </c>
      <c r="I531">
        <v>13</v>
      </c>
      <c r="J531" s="17"/>
      <c r="K531" s="17"/>
      <c r="L531" s="19" t="str">
        <f t="shared" si="8"/>
        <v/>
      </c>
      <c r="M531" s="17">
        <v>1</v>
      </c>
      <c r="N531" s="17">
        <v>1</v>
      </c>
      <c r="P531" t="s">
        <v>1614</v>
      </c>
    </row>
    <row r="532" spans="1:16">
      <c r="A532">
        <v>27</v>
      </c>
      <c r="B532">
        <v>266</v>
      </c>
      <c r="C532">
        <v>46445.625</v>
      </c>
      <c r="D532" t="s">
        <v>1126</v>
      </c>
      <c r="E532" t="s">
        <v>831</v>
      </c>
      <c r="F532" t="s">
        <v>1613</v>
      </c>
      <c r="G532">
        <v>2</v>
      </c>
      <c r="H532">
        <v>15</v>
      </c>
      <c r="I532">
        <v>11</v>
      </c>
      <c r="J532" s="17"/>
      <c r="K532" s="17"/>
      <c r="L532" s="19" t="str">
        <f t="shared" si="8"/>
        <v/>
      </c>
      <c r="M532" s="17">
        <v>1</v>
      </c>
      <c r="N532" s="17">
        <v>1</v>
      </c>
      <c r="P532" t="s">
        <v>1614</v>
      </c>
    </row>
    <row r="533" spans="1:16">
      <c r="A533">
        <v>27</v>
      </c>
      <c r="B533">
        <v>266</v>
      </c>
      <c r="C533">
        <v>46445.625</v>
      </c>
      <c r="D533" t="s">
        <v>831</v>
      </c>
      <c r="E533" t="s">
        <v>1126</v>
      </c>
      <c r="F533" t="s">
        <v>1615</v>
      </c>
      <c r="G533">
        <v>4</v>
      </c>
      <c r="H533">
        <v>11</v>
      </c>
      <c r="I533">
        <v>15</v>
      </c>
      <c r="J533" s="17"/>
      <c r="K533" s="17"/>
      <c r="L533" s="19" t="str">
        <f t="shared" si="8"/>
        <v/>
      </c>
      <c r="M533" s="17">
        <v>1</v>
      </c>
      <c r="N533" s="17">
        <v>1</v>
      </c>
      <c r="P533" t="s">
        <v>1614</v>
      </c>
    </row>
    <row r="534" spans="1:16">
      <c r="A534">
        <v>27</v>
      </c>
      <c r="B534">
        <v>267</v>
      </c>
      <c r="C534">
        <v>46445.625</v>
      </c>
      <c r="D534" t="s">
        <v>390</v>
      </c>
      <c r="E534" t="s">
        <v>903</v>
      </c>
      <c r="F534" t="s">
        <v>1613</v>
      </c>
      <c r="G534">
        <v>2</v>
      </c>
      <c r="H534">
        <v>5</v>
      </c>
      <c r="I534">
        <v>12</v>
      </c>
      <c r="J534" s="17"/>
      <c r="K534" s="17"/>
      <c r="L534" s="19" t="str">
        <f t="shared" si="8"/>
        <v/>
      </c>
      <c r="M534" s="17">
        <v>1</v>
      </c>
      <c r="N534" s="17">
        <v>1</v>
      </c>
      <c r="P534" t="s">
        <v>1614</v>
      </c>
    </row>
    <row r="535" spans="1:16">
      <c r="A535">
        <v>27</v>
      </c>
      <c r="B535">
        <v>267</v>
      </c>
      <c r="C535">
        <v>46445.625</v>
      </c>
      <c r="D535" t="s">
        <v>903</v>
      </c>
      <c r="E535" t="s">
        <v>390</v>
      </c>
      <c r="F535" t="s">
        <v>1615</v>
      </c>
      <c r="G535">
        <v>2</v>
      </c>
      <c r="H535">
        <v>12</v>
      </c>
      <c r="I535">
        <v>5</v>
      </c>
      <c r="J535" s="17"/>
      <c r="K535" s="17"/>
      <c r="L535" s="19" t="str">
        <f t="shared" si="8"/>
        <v/>
      </c>
      <c r="M535" s="17">
        <v>1</v>
      </c>
      <c r="N535" s="17">
        <v>1</v>
      </c>
      <c r="P535" t="s">
        <v>1614</v>
      </c>
    </row>
    <row r="536" spans="1:16">
      <c r="A536">
        <v>27</v>
      </c>
      <c r="B536">
        <v>268</v>
      </c>
      <c r="C536">
        <v>46445.625</v>
      </c>
      <c r="D536" t="s">
        <v>64</v>
      </c>
      <c r="E536" t="s">
        <v>1199</v>
      </c>
      <c r="F536" t="s">
        <v>1613</v>
      </c>
      <c r="G536">
        <v>4</v>
      </c>
      <c r="H536">
        <v>1</v>
      </c>
      <c r="I536">
        <v>16</v>
      </c>
      <c r="J536" s="17"/>
      <c r="K536" s="17"/>
      <c r="L536" s="19" t="str">
        <f t="shared" si="8"/>
        <v/>
      </c>
      <c r="M536" s="17">
        <v>1</v>
      </c>
      <c r="N536" s="17">
        <v>1</v>
      </c>
      <c r="P536" t="s">
        <v>1614</v>
      </c>
    </row>
    <row r="537" spans="1:16">
      <c r="A537">
        <v>27</v>
      </c>
      <c r="B537">
        <v>268</v>
      </c>
      <c r="C537">
        <v>46445.625</v>
      </c>
      <c r="D537" t="s">
        <v>1199</v>
      </c>
      <c r="E537" t="s">
        <v>64</v>
      </c>
      <c r="F537" t="s">
        <v>1615</v>
      </c>
      <c r="G537">
        <v>4</v>
      </c>
      <c r="H537">
        <v>16</v>
      </c>
      <c r="I537">
        <v>1</v>
      </c>
      <c r="J537" s="17"/>
      <c r="K537" s="17"/>
      <c r="L537" s="19" t="str">
        <f t="shared" si="8"/>
        <v/>
      </c>
      <c r="M537" s="17">
        <v>1</v>
      </c>
      <c r="N537" s="17">
        <v>1</v>
      </c>
      <c r="P537" t="s">
        <v>1614</v>
      </c>
    </row>
    <row r="538" spans="1:16">
      <c r="A538">
        <v>27</v>
      </c>
      <c r="B538">
        <v>269</v>
      </c>
      <c r="C538">
        <v>46445.625</v>
      </c>
      <c r="D538" t="s">
        <v>312</v>
      </c>
      <c r="E538" t="s">
        <v>1283</v>
      </c>
      <c r="F538" t="s">
        <v>1613</v>
      </c>
      <c r="G538">
        <v>3</v>
      </c>
      <c r="H538">
        <v>4</v>
      </c>
      <c r="I538">
        <v>17</v>
      </c>
      <c r="J538" s="17"/>
      <c r="K538" s="17"/>
      <c r="L538" s="19" t="str">
        <f t="shared" si="8"/>
        <v/>
      </c>
      <c r="M538" s="17">
        <v>1</v>
      </c>
      <c r="N538" s="17">
        <v>1</v>
      </c>
      <c r="P538" t="s">
        <v>1614</v>
      </c>
    </row>
    <row r="539" spans="1:16">
      <c r="A539">
        <v>27</v>
      </c>
      <c r="B539">
        <v>269</v>
      </c>
      <c r="C539">
        <v>46445.625</v>
      </c>
      <c r="D539" t="s">
        <v>1283</v>
      </c>
      <c r="E539" t="s">
        <v>312</v>
      </c>
      <c r="F539" t="s">
        <v>1615</v>
      </c>
      <c r="G539">
        <v>3</v>
      </c>
      <c r="H539">
        <v>17</v>
      </c>
      <c r="I539">
        <v>4</v>
      </c>
      <c r="J539" s="17"/>
      <c r="K539" s="17"/>
      <c r="L539" s="19" t="str">
        <f t="shared" si="8"/>
        <v/>
      </c>
      <c r="M539" s="17">
        <v>1</v>
      </c>
      <c r="N539" s="17">
        <v>1</v>
      </c>
      <c r="P539" t="s">
        <v>1614</v>
      </c>
    </row>
    <row r="540" spans="1:16">
      <c r="A540">
        <v>27</v>
      </c>
      <c r="B540">
        <v>270</v>
      </c>
      <c r="C540">
        <v>46445.625</v>
      </c>
      <c r="D540" t="s">
        <v>1037</v>
      </c>
      <c r="E540" t="s">
        <v>1412</v>
      </c>
      <c r="F540" t="s">
        <v>1613</v>
      </c>
      <c r="G540">
        <v>3</v>
      </c>
      <c r="H540">
        <v>14</v>
      </c>
      <c r="I540">
        <v>19</v>
      </c>
      <c r="J540" s="17"/>
      <c r="K540" s="17"/>
      <c r="L540" s="19" t="str">
        <f t="shared" si="8"/>
        <v/>
      </c>
      <c r="M540" s="17">
        <v>1</v>
      </c>
      <c r="N540" s="17">
        <v>1</v>
      </c>
      <c r="P540" t="s">
        <v>1614</v>
      </c>
    </row>
    <row r="541" spans="1:16">
      <c r="A541">
        <v>27</v>
      </c>
      <c r="B541">
        <v>270</v>
      </c>
      <c r="C541">
        <v>46445.625</v>
      </c>
      <c r="D541" t="s">
        <v>1412</v>
      </c>
      <c r="E541" t="s">
        <v>1037</v>
      </c>
      <c r="F541" t="s">
        <v>1615</v>
      </c>
      <c r="G541">
        <v>4</v>
      </c>
      <c r="H541">
        <v>19</v>
      </c>
      <c r="I541">
        <v>14</v>
      </c>
      <c r="J541" s="17"/>
      <c r="K541" s="17"/>
      <c r="L541" s="19" t="str">
        <f t="shared" si="8"/>
        <v/>
      </c>
      <c r="M541" s="17">
        <v>1</v>
      </c>
      <c r="N541" s="17">
        <v>1</v>
      </c>
      <c r="P541" t="s">
        <v>1614</v>
      </c>
    </row>
    <row r="542" spans="1:16">
      <c r="A542">
        <v>28</v>
      </c>
      <c r="B542">
        <v>271</v>
      </c>
      <c r="C542">
        <v>46449.833333333336</v>
      </c>
      <c r="D542" t="s">
        <v>639</v>
      </c>
      <c r="E542" t="s">
        <v>64</v>
      </c>
      <c r="F542" t="s">
        <v>1613</v>
      </c>
      <c r="G542">
        <v>5</v>
      </c>
      <c r="H542">
        <v>8</v>
      </c>
      <c r="I542">
        <v>1</v>
      </c>
      <c r="J542" s="17"/>
      <c r="K542" s="17"/>
      <c r="L542" s="19" t="str">
        <f t="shared" si="8"/>
        <v/>
      </c>
      <c r="M542" s="17">
        <v>1</v>
      </c>
      <c r="N542" s="17">
        <v>1</v>
      </c>
      <c r="P542" t="s">
        <v>1614</v>
      </c>
    </row>
    <row r="543" spans="1:16">
      <c r="A543">
        <v>28</v>
      </c>
      <c r="B543">
        <v>271</v>
      </c>
      <c r="C543">
        <v>46449.833333333336</v>
      </c>
      <c r="D543" t="s">
        <v>64</v>
      </c>
      <c r="E543" t="s">
        <v>639</v>
      </c>
      <c r="F543" t="s">
        <v>1615</v>
      </c>
      <c r="G543">
        <v>3</v>
      </c>
      <c r="H543">
        <v>1</v>
      </c>
      <c r="I543">
        <v>8</v>
      </c>
      <c r="J543" s="17"/>
      <c r="K543" s="17"/>
      <c r="L543" s="19" t="str">
        <f t="shared" si="8"/>
        <v/>
      </c>
      <c r="M543" s="17">
        <v>1</v>
      </c>
      <c r="N543" s="17">
        <v>1</v>
      </c>
      <c r="P543" t="s">
        <v>1614</v>
      </c>
    </row>
    <row r="544" spans="1:16">
      <c r="A544">
        <v>28</v>
      </c>
      <c r="B544">
        <v>272</v>
      </c>
      <c r="C544">
        <v>46449.833333333336</v>
      </c>
      <c r="D544" t="s">
        <v>1412</v>
      </c>
      <c r="E544" t="s">
        <v>236</v>
      </c>
      <c r="F544" t="s">
        <v>1613</v>
      </c>
      <c r="G544">
        <v>3</v>
      </c>
      <c r="H544">
        <v>19</v>
      </c>
      <c r="I544">
        <v>3</v>
      </c>
      <c r="J544" s="17"/>
      <c r="K544" s="17"/>
      <c r="L544" s="19" t="str">
        <f t="shared" si="8"/>
        <v/>
      </c>
      <c r="M544" s="17">
        <v>1</v>
      </c>
      <c r="N544" s="17">
        <v>1</v>
      </c>
      <c r="P544" t="s">
        <v>1614</v>
      </c>
    </row>
    <row r="545" spans="1:16">
      <c r="A545">
        <v>28</v>
      </c>
      <c r="B545">
        <v>272</v>
      </c>
      <c r="C545">
        <v>46449.833333333336</v>
      </c>
      <c r="D545" t="s">
        <v>236</v>
      </c>
      <c r="E545" t="s">
        <v>1412</v>
      </c>
      <c r="F545" t="s">
        <v>1615</v>
      </c>
      <c r="G545">
        <v>3</v>
      </c>
      <c r="H545">
        <v>3</v>
      </c>
      <c r="I545">
        <v>19</v>
      </c>
      <c r="J545" s="17"/>
      <c r="K545" s="17"/>
      <c r="L545" s="19" t="str">
        <f t="shared" si="8"/>
        <v/>
      </c>
      <c r="M545" s="17">
        <v>1</v>
      </c>
      <c r="N545" s="17">
        <v>1</v>
      </c>
      <c r="P545" t="s">
        <v>1614</v>
      </c>
    </row>
    <row r="546" spans="1:16">
      <c r="A546">
        <v>28</v>
      </c>
      <c r="B546">
        <v>273</v>
      </c>
      <c r="C546">
        <v>46449.833333333336</v>
      </c>
      <c r="D546" t="s">
        <v>903</v>
      </c>
      <c r="E546" t="s">
        <v>312</v>
      </c>
      <c r="F546" t="s">
        <v>1613</v>
      </c>
      <c r="G546">
        <v>3</v>
      </c>
      <c r="H546">
        <v>12</v>
      </c>
      <c r="I546">
        <v>4</v>
      </c>
      <c r="J546" s="17"/>
      <c r="K546" s="17"/>
      <c r="L546" s="19" t="str">
        <f t="shared" si="8"/>
        <v/>
      </c>
      <c r="M546" s="17">
        <v>1</v>
      </c>
      <c r="N546" s="17">
        <v>1</v>
      </c>
      <c r="P546" t="s">
        <v>1614</v>
      </c>
    </row>
    <row r="547" spans="1:16">
      <c r="A547">
        <v>28</v>
      </c>
      <c r="B547">
        <v>273</v>
      </c>
      <c r="C547">
        <v>46449.833333333336</v>
      </c>
      <c r="D547" t="s">
        <v>312</v>
      </c>
      <c r="E547" t="s">
        <v>903</v>
      </c>
      <c r="F547" t="s">
        <v>1615</v>
      </c>
      <c r="G547">
        <v>2</v>
      </c>
      <c r="H547">
        <v>4</v>
      </c>
      <c r="I547">
        <v>12</v>
      </c>
      <c r="J547" s="17"/>
      <c r="K547" s="17"/>
      <c r="L547" s="19" t="str">
        <f t="shared" si="8"/>
        <v/>
      </c>
      <c r="M547" s="17">
        <v>1</v>
      </c>
      <c r="N547" s="17">
        <v>1</v>
      </c>
      <c r="P547" t="s">
        <v>1614</v>
      </c>
    </row>
    <row r="548" spans="1:16">
      <c r="A548">
        <v>28</v>
      </c>
      <c r="B548">
        <v>274</v>
      </c>
      <c r="C548">
        <v>46449.833333333336</v>
      </c>
      <c r="D548" t="s">
        <v>777</v>
      </c>
      <c r="E548" t="s">
        <v>390</v>
      </c>
      <c r="F548" t="s">
        <v>1613</v>
      </c>
      <c r="G548">
        <v>3</v>
      </c>
      <c r="H548">
        <v>10</v>
      </c>
      <c r="I548">
        <v>5</v>
      </c>
      <c r="J548" s="17"/>
      <c r="K548" s="17"/>
      <c r="L548" s="19" t="str">
        <f t="shared" si="8"/>
        <v/>
      </c>
      <c r="M548" s="17">
        <v>1</v>
      </c>
      <c r="N548" s="17">
        <v>1</v>
      </c>
      <c r="P548" t="s">
        <v>1614</v>
      </c>
    </row>
    <row r="549" spans="1:16">
      <c r="A549">
        <v>28</v>
      </c>
      <c r="B549">
        <v>274</v>
      </c>
      <c r="C549">
        <v>46449.833333333336</v>
      </c>
      <c r="D549" t="s">
        <v>390</v>
      </c>
      <c r="E549" t="s">
        <v>777</v>
      </c>
      <c r="F549" t="s">
        <v>1615</v>
      </c>
      <c r="G549">
        <v>2</v>
      </c>
      <c r="H549">
        <v>5</v>
      </c>
      <c r="I549">
        <v>10</v>
      </c>
      <c r="J549" s="17"/>
      <c r="K549" s="17"/>
      <c r="L549" s="19" t="str">
        <f t="shared" si="8"/>
        <v/>
      </c>
      <c r="M549" s="17">
        <v>1</v>
      </c>
      <c r="N549" s="17">
        <v>1</v>
      </c>
      <c r="P549" t="s">
        <v>1614</v>
      </c>
    </row>
    <row r="550" spans="1:16">
      <c r="A550">
        <v>28</v>
      </c>
      <c r="B550">
        <v>275</v>
      </c>
      <c r="C550">
        <v>46449.833333333336</v>
      </c>
      <c r="D550" t="s">
        <v>567</v>
      </c>
      <c r="E550" t="s">
        <v>474</v>
      </c>
      <c r="F550" t="s">
        <v>1613</v>
      </c>
      <c r="G550">
        <v>4</v>
      </c>
      <c r="H550">
        <v>7</v>
      </c>
      <c r="I550">
        <v>6</v>
      </c>
      <c r="J550" s="17"/>
      <c r="K550" s="17"/>
      <c r="L550" s="19" t="str">
        <f t="shared" si="8"/>
        <v/>
      </c>
      <c r="M550" s="17">
        <v>1</v>
      </c>
      <c r="N550" s="17">
        <v>1</v>
      </c>
      <c r="P550" t="s">
        <v>1614</v>
      </c>
    </row>
    <row r="551" spans="1:16">
      <c r="A551">
        <v>28</v>
      </c>
      <c r="B551">
        <v>275</v>
      </c>
      <c r="C551">
        <v>46449.833333333336</v>
      </c>
      <c r="D551" t="s">
        <v>474</v>
      </c>
      <c r="E551" t="s">
        <v>567</v>
      </c>
      <c r="F551" t="s">
        <v>1615</v>
      </c>
      <c r="G551">
        <v>2</v>
      </c>
      <c r="H551">
        <v>6</v>
      </c>
      <c r="I551">
        <v>7</v>
      </c>
      <c r="J551" s="17"/>
      <c r="K551" s="17"/>
      <c r="L551" s="19" t="str">
        <f t="shared" si="8"/>
        <v/>
      </c>
      <c r="M551" s="17">
        <v>1</v>
      </c>
      <c r="N551" s="17">
        <v>1</v>
      </c>
      <c r="P551" t="s">
        <v>1614</v>
      </c>
    </row>
    <row r="552" spans="1:16">
      <c r="A552">
        <v>28</v>
      </c>
      <c r="B552">
        <v>276</v>
      </c>
      <c r="C552">
        <v>46449.833333333336</v>
      </c>
      <c r="D552" t="s">
        <v>831</v>
      </c>
      <c r="E552" t="s">
        <v>978</v>
      </c>
      <c r="F552" t="s">
        <v>1613</v>
      </c>
      <c r="G552">
        <v>3</v>
      </c>
      <c r="H552">
        <v>11</v>
      </c>
      <c r="I552">
        <v>13</v>
      </c>
      <c r="J552" s="17"/>
      <c r="K552" s="17"/>
      <c r="L552" s="19" t="str">
        <f t="shared" si="8"/>
        <v/>
      </c>
      <c r="M552" s="17">
        <v>1</v>
      </c>
      <c r="N552" s="17">
        <v>1</v>
      </c>
      <c r="P552" t="s">
        <v>1614</v>
      </c>
    </row>
    <row r="553" spans="1:16">
      <c r="A553">
        <v>28</v>
      </c>
      <c r="B553">
        <v>276</v>
      </c>
      <c r="C553">
        <v>46449.833333333336</v>
      </c>
      <c r="D553" t="s">
        <v>978</v>
      </c>
      <c r="E553" t="s">
        <v>831</v>
      </c>
      <c r="F553" t="s">
        <v>1615</v>
      </c>
      <c r="G553">
        <v>2</v>
      </c>
      <c r="H553">
        <v>13</v>
      </c>
      <c r="I553">
        <v>11</v>
      </c>
      <c r="J553" s="17"/>
      <c r="K553" s="17"/>
      <c r="L553" s="19" t="str">
        <f t="shared" si="8"/>
        <v/>
      </c>
      <c r="M553" s="17">
        <v>1</v>
      </c>
      <c r="N553" s="17">
        <v>1</v>
      </c>
      <c r="P553" t="s">
        <v>1614</v>
      </c>
    </row>
    <row r="554" spans="1:16">
      <c r="A554">
        <v>28</v>
      </c>
      <c r="B554">
        <v>277</v>
      </c>
      <c r="C554">
        <v>46449.833333333336</v>
      </c>
      <c r="D554" t="s">
        <v>153</v>
      </c>
      <c r="E554" t="s">
        <v>1037</v>
      </c>
      <c r="F554" t="s">
        <v>1613</v>
      </c>
      <c r="G554">
        <v>4</v>
      </c>
      <c r="H554">
        <v>2</v>
      </c>
      <c r="I554">
        <v>14</v>
      </c>
      <c r="J554" s="17"/>
      <c r="K554" s="17"/>
      <c r="L554" s="19" t="str">
        <f t="shared" si="8"/>
        <v/>
      </c>
      <c r="M554" s="17">
        <v>1</v>
      </c>
      <c r="N554" s="17">
        <v>1</v>
      </c>
      <c r="P554" t="s">
        <v>1614</v>
      </c>
    </row>
    <row r="555" spans="1:16">
      <c r="A555">
        <v>28</v>
      </c>
      <c r="B555">
        <v>277</v>
      </c>
      <c r="C555">
        <v>46449.833333333336</v>
      </c>
      <c r="D555" t="s">
        <v>1037</v>
      </c>
      <c r="E555" t="s">
        <v>153</v>
      </c>
      <c r="F555" t="s">
        <v>1615</v>
      </c>
      <c r="G555">
        <v>3</v>
      </c>
      <c r="H555">
        <v>14</v>
      </c>
      <c r="I555">
        <v>2</v>
      </c>
      <c r="J555" s="17"/>
      <c r="K555" s="17"/>
      <c r="L555" s="19" t="str">
        <f t="shared" si="8"/>
        <v/>
      </c>
      <c r="M555" s="17">
        <v>1</v>
      </c>
      <c r="N555" s="17">
        <v>1</v>
      </c>
      <c r="P555" t="s">
        <v>1614</v>
      </c>
    </row>
    <row r="556" spans="1:16">
      <c r="A556">
        <v>28</v>
      </c>
      <c r="B556">
        <v>278</v>
      </c>
      <c r="C556">
        <v>46449.833333333336</v>
      </c>
      <c r="D556" t="s">
        <v>714</v>
      </c>
      <c r="E556" t="s">
        <v>1126</v>
      </c>
      <c r="F556" t="s">
        <v>1613</v>
      </c>
      <c r="G556">
        <v>5</v>
      </c>
      <c r="H556">
        <v>9</v>
      </c>
      <c r="I556">
        <v>15</v>
      </c>
      <c r="J556" s="17"/>
      <c r="K556" s="17"/>
      <c r="L556" s="19" t="str">
        <f t="shared" si="8"/>
        <v/>
      </c>
      <c r="M556" s="17">
        <v>1</v>
      </c>
      <c r="N556" s="17">
        <v>1</v>
      </c>
      <c r="P556" t="s">
        <v>1614</v>
      </c>
    </row>
    <row r="557" spans="1:16">
      <c r="A557">
        <v>28</v>
      </c>
      <c r="B557">
        <v>278</v>
      </c>
      <c r="C557">
        <v>46449.833333333336</v>
      </c>
      <c r="D557" t="s">
        <v>1126</v>
      </c>
      <c r="E557" t="s">
        <v>714</v>
      </c>
      <c r="F557" t="s">
        <v>1615</v>
      </c>
      <c r="G557">
        <v>3</v>
      </c>
      <c r="H557">
        <v>15</v>
      </c>
      <c r="I557">
        <v>9</v>
      </c>
      <c r="J557" s="17"/>
      <c r="K557" s="17"/>
      <c r="L557" s="19" t="str">
        <f t="shared" si="8"/>
        <v/>
      </c>
      <c r="M557" s="17">
        <v>1</v>
      </c>
      <c r="N557" s="17">
        <v>1</v>
      </c>
      <c r="P557" t="s">
        <v>1614</v>
      </c>
    </row>
    <row r="558" spans="1:16">
      <c r="A558">
        <v>28</v>
      </c>
      <c r="B558">
        <v>279</v>
      </c>
      <c r="C558">
        <v>46449.833333333336</v>
      </c>
      <c r="D558" t="s">
        <v>1283</v>
      </c>
      <c r="E558" t="s">
        <v>1354</v>
      </c>
      <c r="F558" t="s">
        <v>1613</v>
      </c>
      <c r="G558">
        <v>3</v>
      </c>
      <c r="H558">
        <v>17</v>
      </c>
      <c r="I558">
        <v>18</v>
      </c>
      <c r="J558" s="17"/>
      <c r="K558" s="17"/>
      <c r="L558" s="19" t="str">
        <f t="shared" si="8"/>
        <v/>
      </c>
      <c r="M558" s="17">
        <v>1</v>
      </c>
      <c r="N558" s="17">
        <v>1</v>
      </c>
      <c r="P558" t="s">
        <v>1614</v>
      </c>
    </row>
    <row r="559" spans="1:16">
      <c r="A559">
        <v>28</v>
      </c>
      <c r="B559">
        <v>279</v>
      </c>
      <c r="C559">
        <v>46449.833333333336</v>
      </c>
      <c r="D559" t="s">
        <v>1354</v>
      </c>
      <c r="E559" t="s">
        <v>1283</v>
      </c>
      <c r="F559" t="s">
        <v>1615</v>
      </c>
      <c r="G559">
        <v>2</v>
      </c>
      <c r="H559">
        <v>18</v>
      </c>
      <c r="I559">
        <v>17</v>
      </c>
      <c r="J559" s="17"/>
      <c r="K559" s="17"/>
      <c r="L559" s="19" t="str">
        <f t="shared" si="8"/>
        <v/>
      </c>
      <c r="M559" s="17">
        <v>1</v>
      </c>
      <c r="N559" s="17">
        <v>1</v>
      </c>
      <c r="P559" t="s">
        <v>1614</v>
      </c>
    </row>
    <row r="560" spans="1:16">
      <c r="A560">
        <v>28</v>
      </c>
      <c r="B560">
        <v>280</v>
      </c>
      <c r="C560">
        <v>46449.833333333336</v>
      </c>
      <c r="D560" t="s">
        <v>1199</v>
      </c>
      <c r="E560" t="s">
        <v>1493</v>
      </c>
      <c r="F560" t="s">
        <v>1613</v>
      </c>
      <c r="G560">
        <v>3</v>
      </c>
      <c r="H560">
        <v>16</v>
      </c>
      <c r="I560">
        <v>20</v>
      </c>
      <c r="J560" s="17"/>
      <c r="K560" s="17"/>
      <c r="L560" s="19" t="str">
        <f t="shared" si="8"/>
        <v/>
      </c>
      <c r="M560" s="17">
        <v>1</v>
      </c>
      <c r="N560" s="17">
        <v>1</v>
      </c>
      <c r="P560" t="s">
        <v>1614</v>
      </c>
    </row>
    <row r="561" spans="1:16">
      <c r="A561">
        <v>28</v>
      </c>
      <c r="B561">
        <v>280</v>
      </c>
      <c r="C561">
        <v>46449.833333333336</v>
      </c>
      <c r="D561" t="s">
        <v>1493</v>
      </c>
      <c r="E561" t="s">
        <v>1199</v>
      </c>
      <c r="F561" t="s">
        <v>1615</v>
      </c>
      <c r="G561">
        <v>4</v>
      </c>
      <c r="H561">
        <v>20</v>
      </c>
      <c r="I561">
        <v>16</v>
      </c>
      <c r="J561" s="17"/>
      <c r="K561" s="17"/>
      <c r="L561" s="19" t="str">
        <f t="shared" si="8"/>
        <v/>
      </c>
      <c r="M561" s="17">
        <v>1</v>
      </c>
      <c r="N561" s="17">
        <v>1</v>
      </c>
      <c r="P561" t="s">
        <v>1614</v>
      </c>
    </row>
    <row r="562" spans="1:16">
      <c r="A562">
        <v>29</v>
      </c>
      <c r="B562">
        <v>281</v>
      </c>
      <c r="C562">
        <v>46459.625</v>
      </c>
      <c r="D562" t="s">
        <v>831</v>
      </c>
      <c r="E562" t="s">
        <v>153</v>
      </c>
      <c r="F562" t="s">
        <v>1613</v>
      </c>
      <c r="G562">
        <v>4</v>
      </c>
      <c r="H562">
        <v>11</v>
      </c>
      <c r="I562">
        <v>2</v>
      </c>
      <c r="J562" s="17"/>
      <c r="K562" s="17"/>
      <c r="L562" s="19" t="str">
        <f t="shared" si="8"/>
        <v/>
      </c>
      <c r="M562" s="17">
        <v>1</v>
      </c>
      <c r="N562" s="17">
        <v>1</v>
      </c>
      <c r="P562" t="s">
        <v>1614</v>
      </c>
    </row>
    <row r="563" spans="1:16">
      <c r="A563">
        <v>29</v>
      </c>
      <c r="B563">
        <v>281</v>
      </c>
      <c r="C563">
        <v>46459.625</v>
      </c>
      <c r="D563" t="s">
        <v>153</v>
      </c>
      <c r="E563" t="s">
        <v>831</v>
      </c>
      <c r="F563" t="s">
        <v>1615</v>
      </c>
      <c r="G563">
        <v>2</v>
      </c>
      <c r="H563">
        <v>2</v>
      </c>
      <c r="I563">
        <v>11</v>
      </c>
      <c r="J563" s="17"/>
      <c r="K563" s="17"/>
      <c r="L563" s="19" t="str">
        <f t="shared" si="8"/>
        <v/>
      </c>
      <c r="M563" s="17">
        <v>1</v>
      </c>
      <c r="N563" s="17">
        <v>1</v>
      </c>
      <c r="P563" t="s">
        <v>1614</v>
      </c>
    </row>
    <row r="564" spans="1:16">
      <c r="A564">
        <v>29</v>
      </c>
      <c r="B564">
        <v>282</v>
      </c>
      <c r="C564">
        <v>46459.625</v>
      </c>
      <c r="D564" t="s">
        <v>1283</v>
      </c>
      <c r="E564" t="s">
        <v>236</v>
      </c>
      <c r="F564" t="s">
        <v>1613</v>
      </c>
      <c r="G564">
        <v>3</v>
      </c>
      <c r="H564">
        <v>17</v>
      </c>
      <c r="I564">
        <v>3</v>
      </c>
      <c r="J564" s="17"/>
      <c r="K564" s="17"/>
      <c r="L564" s="19" t="str">
        <f t="shared" si="8"/>
        <v/>
      </c>
      <c r="M564" s="17">
        <v>1</v>
      </c>
      <c r="N564" s="17">
        <v>1</v>
      </c>
      <c r="P564" t="s">
        <v>1614</v>
      </c>
    </row>
    <row r="565" spans="1:16">
      <c r="A565">
        <v>29</v>
      </c>
      <c r="B565">
        <v>282</v>
      </c>
      <c r="C565">
        <v>46459.625</v>
      </c>
      <c r="D565" t="s">
        <v>236</v>
      </c>
      <c r="E565" t="s">
        <v>1283</v>
      </c>
      <c r="F565" t="s">
        <v>1615</v>
      </c>
      <c r="G565">
        <v>2</v>
      </c>
      <c r="H565">
        <v>3</v>
      </c>
      <c r="I565">
        <v>17</v>
      </c>
      <c r="J565" s="17"/>
      <c r="K565" s="17"/>
      <c r="L565" s="19" t="str">
        <f t="shared" si="8"/>
        <v/>
      </c>
      <c r="M565" s="17">
        <v>1</v>
      </c>
      <c r="N565" s="17">
        <v>1</v>
      </c>
      <c r="P565" t="s">
        <v>1614</v>
      </c>
    </row>
    <row r="566" spans="1:16">
      <c r="A566">
        <v>29</v>
      </c>
      <c r="B566">
        <v>283</v>
      </c>
      <c r="C566">
        <v>46459.625</v>
      </c>
      <c r="D566" t="s">
        <v>64</v>
      </c>
      <c r="E566" t="s">
        <v>474</v>
      </c>
      <c r="F566" t="s">
        <v>1613</v>
      </c>
      <c r="G566">
        <v>4</v>
      </c>
      <c r="H566">
        <v>1</v>
      </c>
      <c r="I566">
        <v>6</v>
      </c>
      <c r="J566" s="17"/>
      <c r="K566" s="17"/>
      <c r="L566" s="19" t="str">
        <f t="shared" si="8"/>
        <v/>
      </c>
      <c r="M566" s="17">
        <v>1</v>
      </c>
      <c r="N566" s="17">
        <v>1</v>
      </c>
      <c r="P566" t="s">
        <v>1614</v>
      </c>
    </row>
    <row r="567" spans="1:16">
      <c r="A567">
        <v>29</v>
      </c>
      <c r="B567">
        <v>283</v>
      </c>
      <c r="C567">
        <v>46459.625</v>
      </c>
      <c r="D567" t="s">
        <v>474</v>
      </c>
      <c r="E567" t="s">
        <v>64</v>
      </c>
      <c r="F567" t="s">
        <v>1615</v>
      </c>
      <c r="G567">
        <v>4</v>
      </c>
      <c r="H567">
        <v>6</v>
      </c>
      <c r="I567">
        <v>1</v>
      </c>
      <c r="J567" s="17"/>
      <c r="K567" s="17"/>
      <c r="L567" s="19" t="str">
        <f t="shared" si="8"/>
        <v/>
      </c>
      <c r="M567" s="17">
        <v>1</v>
      </c>
      <c r="N567" s="17">
        <v>1</v>
      </c>
      <c r="P567" t="s">
        <v>1614</v>
      </c>
    </row>
    <row r="568" spans="1:16">
      <c r="A568">
        <v>29</v>
      </c>
      <c r="B568">
        <v>284</v>
      </c>
      <c r="C568">
        <v>46459.625</v>
      </c>
      <c r="D568" t="s">
        <v>1126</v>
      </c>
      <c r="E568" t="s">
        <v>567</v>
      </c>
      <c r="F568" t="s">
        <v>1613</v>
      </c>
      <c r="G568">
        <v>2</v>
      </c>
      <c r="H568">
        <v>15</v>
      </c>
      <c r="I568">
        <v>7</v>
      </c>
      <c r="J568" s="17"/>
      <c r="K568" s="17"/>
      <c r="L568" s="19" t="str">
        <f t="shared" si="8"/>
        <v/>
      </c>
      <c r="M568" s="17">
        <v>1</v>
      </c>
      <c r="N568" s="17">
        <v>1</v>
      </c>
      <c r="P568" t="s">
        <v>1614</v>
      </c>
    </row>
    <row r="569" spans="1:16">
      <c r="A569">
        <v>29</v>
      </c>
      <c r="B569">
        <v>284</v>
      </c>
      <c r="C569">
        <v>46459.625</v>
      </c>
      <c r="D569" t="s">
        <v>567</v>
      </c>
      <c r="E569" t="s">
        <v>1126</v>
      </c>
      <c r="F569" t="s">
        <v>1615</v>
      </c>
      <c r="G569">
        <v>4</v>
      </c>
      <c r="H569">
        <v>7</v>
      </c>
      <c r="I569">
        <v>15</v>
      </c>
      <c r="J569" s="17"/>
      <c r="K569" s="17"/>
      <c r="L569" s="19" t="str">
        <f t="shared" si="8"/>
        <v/>
      </c>
      <c r="M569" s="17">
        <v>1</v>
      </c>
      <c r="N569" s="17">
        <v>1</v>
      </c>
      <c r="P569" t="s">
        <v>1614</v>
      </c>
    </row>
    <row r="570" spans="1:16">
      <c r="A570">
        <v>29</v>
      </c>
      <c r="B570">
        <v>285</v>
      </c>
      <c r="C570">
        <v>46459.625</v>
      </c>
      <c r="D570" t="s">
        <v>777</v>
      </c>
      <c r="E570" t="s">
        <v>639</v>
      </c>
      <c r="F570" t="s">
        <v>1613</v>
      </c>
      <c r="G570">
        <v>3</v>
      </c>
      <c r="H570">
        <v>10</v>
      </c>
      <c r="I570">
        <v>8</v>
      </c>
      <c r="J570" s="17"/>
      <c r="K570" s="17"/>
      <c r="L570" s="19" t="str">
        <f t="shared" si="8"/>
        <v/>
      </c>
      <c r="M570" s="17">
        <v>1</v>
      </c>
      <c r="N570" s="17">
        <v>1</v>
      </c>
      <c r="P570" t="s">
        <v>1614</v>
      </c>
    </row>
    <row r="571" spans="1:16">
      <c r="A571">
        <v>29</v>
      </c>
      <c r="B571">
        <v>285</v>
      </c>
      <c r="C571">
        <v>46459.625</v>
      </c>
      <c r="D571" t="s">
        <v>639</v>
      </c>
      <c r="E571" t="s">
        <v>777</v>
      </c>
      <c r="F571" t="s">
        <v>1615</v>
      </c>
      <c r="G571">
        <v>2</v>
      </c>
      <c r="H571">
        <v>8</v>
      </c>
      <c r="I571">
        <v>10</v>
      </c>
      <c r="J571" s="17"/>
      <c r="K571" s="17"/>
      <c r="L571" s="19" t="str">
        <f t="shared" si="8"/>
        <v/>
      </c>
      <c r="M571" s="17">
        <v>1</v>
      </c>
      <c r="N571" s="17">
        <v>1</v>
      </c>
      <c r="P571" t="s">
        <v>1614</v>
      </c>
    </row>
    <row r="572" spans="1:16">
      <c r="A572">
        <v>29</v>
      </c>
      <c r="B572">
        <v>286</v>
      </c>
      <c r="C572">
        <v>46459.625</v>
      </c>
      <c r="D572" t="s">
        <v>390</v>
      </c>
      <c r="E572" t="s">
        <v>978</v>
      </c>
      <c r="F572" t="s">
        <v>1613</v>
      </c>
      <c r="G572">
        <v>3</v>
      </c>
      <c r="H572">
        <v>5</v>
      </c>
      <c r="I572">
        <v>13</v>
      </c>
      <c r="J572" s="17"/>
      <c r="K572" s="17"/>
      <c r="L572" s="19" t="str">
        <f t="shared" si="8"/>
        <v/>
      </c>
      <c r="M572" s="17">
        <v>1</v>
      </c>
      <c r="N572" s="17">
        <v>1</v>
      </c>
      <c r="P572" t="s">
        <v>1614</v>
      </c>
    </row>
    <row r="573" spans="1:16">
      <c r="A573">
        <v>29</v>
      </c>
      <c r="B573">
        <v>286</v>
      </c>
      <c r="C573">
        <v>46459.625</v>
      </c>
      <c r="D573" t="s">
        <v>978</v>
      </c>
      <c r="E573" t="s">
        <v>390</v>
      </c>
      <c r="F573" t="s">
        <v>1615</v>
      </c>
      <c r="G573">
        <v>2</v>
      </c>
      <c r="H573">
        <v>13</v>
      </c>
      <c r="I573">
        <v>5</v>
      </c>
      <c r="J573" s="17"/>
      <c r="K573" s="17"/>
      <c r="L573" s="19" t="str">
        <f t="shared" si="8"/>
        <v/>
      </c>
      <c r="M573" s="17">
        <v>1</v>
      </c>
      <c r="N573" s="17">
        <v>1</v>
      </c>
      <c r="P573" t="s">
        <v>1614</v>
      </c>
    </row>
    <row r="574" spans="1:16">
      <c r="A574">
        <v>29</v>
      </c>
      <c r="B574">
        <v>287</v>
      </c>
      <c r="C574">
        <v>46459.625</v>
      </c>
      <c r="D574" t="s">
        <v>903</v>
      </c>
      <c r="E574" t="s">
        <v>1037</v>
      </c>
      <c r="F574" t="s">
        <v>1613</v>
      </c>
      <c r="G574">
        <v>4</v>
      </c>
      <c r="H574">
        <v>12</v>
      </c>
      <c r="I574">
        <v>14</v>
      </c>
      <c r="J574" s="17"/>
      <c r="K574" s="17"/>
      <c r="L574" s="19" t="str">
        <f t="shared" si="8"/>
        <v/>
      </c>
      <c r="M574" s="17">
        <v>1</v>
      </c>
      <c r="N574" s="17">
        <v>1</v>
      </c>
      <c r="P574" t="s">
        <v>1614</v>
      </c>
    </row>
    <row r="575" spans="1:16">
      <c r="A575">
        <v>29</v>
      </c>
      <c r="B575">
        <v>287</v>
      </c>
      <c r="C575">
        <v>46459.625</v>
      </c>
      <c r="D575" t="s">
        <v>1037</v>
      </c>
      <c r="E575" t="s">
        <v>903</v>
      </c>
      <c r="F575" t="s">
        <v>1615</v>
      </c>
      <c r="G575">
        <v>2</v>
      </c>
      <c r="H575">
        <v>14</v>
      </c>
      <c r="I575">
        <v>12</v>
      </c>
      <c r="J575" s="17"/>
      <c r="K575" s="17"/>
      <c r="L575" s="19" t="str">
        <f t="shared" si="8"/>
        <v/>
      </c>
      <c r="M575" s="17">
        <v>1</v>
      </c>
      <c r="N575" s="17">
        <v>1</v>
      </c>
      <c r="P575" t="s">
        <v>1614</v>
      </c>
    </row>
    <row r="576" spans="1:16">
      <c r="A576">
        <v>29</v>
      </c>
      <c r="B576">
        <v>288</v>
      </c>
      <c r="C576">
        <v>46459.625</v>
      </c>
      <c r="D576" t="s">
        <v>714</v>
      </c>
      <c r="E576" t="s">
        <v>1199</v>
      </c>
      <c r="F576" t="s">
        <v>1613</v>
      </c>
      <c r="G576">
        <v>4</v>
      </c>
      <c r="H576">
        <v>9</v>
      </c>
      <c r="I576">
        <v>16</v>
      </c>
      <c r="J576" s="17"/>
      <c r="K576" s="17"/>
      <c r="L576" s="19" t="str">
        <f t="shared" si="8"/>
        <v/>
      </c>
      <c r="M576" s="17">
        <v>1</v>
      </c>
      <c r="N576" s="17">
        <v>1</v>
      </c>
      <c r="P576" t="s">
        <v>1614</v>
      </c>
    </row>
    <row r="577" spans="1:16">
      <c r="A577">
        <v>29</v>
      </c>
      <c r="B577">
        <v>288</v>
      </c>
      <c r="C577">
        <v>46459.625</v>
      </c>
      <c r="D577" t="s">
        <v>1199</v>
      </c>
      <c r="E577" t="s">
        <v>714</v>
      </c>
      <c r="F577" t="s">
        <v>1615</v>
      </c>
      <c r="G577">
        <v>3</v>
      </c>
      <c r="H577">
        <v>16</v>
      </c>
      <c r="I577">
        <v>9</v>
      </c>
      <c r="J577" s="17"/>
      <c r="K577" s="17"/>
      <c r="L577" s="19" t="str">
        <f t="shared" si="8"/>
        <v/>
      </c>
      <c r="M577" s="17">
        <v>1</v>
      </c>
      <c r="N577" s="17">
        <v>1</v>
      </c>
      <c r="P577" t="s">
        <v>1614</v>
      </c>
    </row>
    <row r="578" spans="1:16">
      <c r="A578">
        <v>29</v>
      </c>
      <c r="B578">
        <v>289</v>
      </c>
      <c r="C578">
        <v>46459.625</v>
      </c>
      <c r="D578" t="s">
        <v>312</v>
      </c>
      <c r="E578" t="s">
        <v>1493</v>
      </c>
      <c r="F578" t="s">
        <v>1613</v>
      </c>
      <c r="G578">
        <v>3</v>
      </c>
      <c r="H578">
        <v>4</v>
      </c>
      <c r="I578">
        <v>20</v>
      </c>
      <c r="J578" s="17"/>
      <c r="K578" s="17"/>
      <c r="L578" s="19" t="str">
        <f t="shared" ref="L578:L641" si="9">IF(K578="","",EXP(-K578))</f>
        <v/>
      </c>
      <c r="M578" s="17">
        <v>1</v>
      </c>
      <c r="N578" s="17">
        <v>1</v>
      </c>
      <c r="P578" t="s">
        <v>1614</v>
      </c>
    </row>
    <row r="579" spans="1:16">
      <c r="A579">
        <v>29</v>
      </c>
      <c r="B579">
        <v>289</v>
      </c>
      <c r="C579">
        <v>46459.625</v>
      </c>
      <c r="D579" t="s">
        <v>1493</v>
      </c>
      <c r="E579" t="s">
        <v>312</v>
      </c>
      <c r="F579" t="s">
        <v>1615</v>
      </c>
      <c r="G579">
        <v>3</v>
      </c>
      <c r="H579">
        <v>20</v>
      </c>
      <c r="I579">
        <v>4</v>
      </c>
      <c r="J579" s="17"/>
      <c r="K579" s="17"/>
      <c r="L579" s="19" t="str">
        <f t="shared" si="9"/>
        <v/>
      </c>
      <c r="M579" s="17">
        <v>1</v>
      </c>
      <c r="N579" s="17">
        <v>1</v>
      </c>
      <c r="P579" t="s">
        <v>1614</v>
      </c>
    </row>
    <row r="580" spans="1:16">
      <c r="A580">
        <v>29</v>
      </c>
      <c r="B580">
        <v>290</v>
      </c>
      <c r="C580">
        <v>46459.625</v>
      </c>
      <c r="D580" t="s">
        <v>1354</v>
      </c>
      <c r="E580" t="s">
        <v>1412</v>
      </c>
      <c r="F580" t="s">
        <v>1613</v>
      </c>
      <c r="G580">
        <v>3</v>
      </c>
      <c r="H580">
        <v>18</v>
      </c>
      <c r="I580">
        <v>19</v>
      </c>
      <c r="J580" s="17"/>
      <c r="K580" s="17"/>
      <c r="L580" s="19" t="str">
        <f t="shared" si="9"/>
        <v/>
      </c>
      <c r="M580" s="17">
        <v>1</v>
      </c>
      <c r="N580" s="17">
        <v>1</v>
      </c>
      <c r="P580" t="s">
        <v>1614</v>
      </c>
    </row>
    <row r="581" spans="1:16">
      <c r="A581">
        <v>29</v>
      </c>
      <c r="B581">
        <v>290</v>
      </c>
      <c r="C581">
        <v>46459.625</v>
      </c>
      <c r="D581" t="s">
        <v>1412</v>
      </c>
      <c r="E581" t="s">
        <v>1354</v>
      </c>
      <c r="F581" t="s">
        <v>1615</v>
      </c>
      <c r="G581">
        <v>3</v>
      </c>
      <c r="H581">
        <v>19</v>
      </c>
      <c r="I581">
        <v>18</v>
      </c>
      <c r="J581" s="17"/>
      <c r="K581" s="17"/>
      <c r="L581" s="19" t="str">
        <f t="shared" si="9"/>
        <v/>
      </c>
      <c r="M581" s="17">
        <v>1</v>
      </c>
      <c r="N581" s="17">
        <v>1</v>
      </c>
      <c r="P581" t="s">
        <v>1614</v>
      </c>
    </row>
    <row r="582" spans="1:16">
      <c r="A582">
        <v>30</v>
      </c>
      <c r="B582">
        <v>291</v>
      </c>
      <c r="C582">
        <v>46466.625</v>
      </c>
      <c r="D582" t="s">
        <v>1493</v>
      </c>
      <c r="E582" t="s">
        <v>64</v>
      </c>
      <c r="F582" t="s">
        <v>1613</v>
      </c>
      <c r="G582">
        <v>5</v>
      </c>
      <c r="H582">
        <v>20</v>
      </c>
      <c r="I582">
        <v>1</v>
      </c>
      <c r="J582" s="17"/>
      <c r="K582" s="17"/>
      <c r="L582" s="19" t="str">
        <f t="shared" si="9"/>
        <v/>
      </c>
      <c r="M582" s="17">
        <v>1</v>
      </c>
      <c r="N582" s="17">
        <v>1</v>
      </c>
      <c r="P582" t="s">
        <v>1614</v>
      </c>
    </row>
    <row r="583" spans="1:16">
      <c r="A583">
        <v>30</v>
      </c>
      <c r="B583">
        <v>291</v>
      </c>
      <c r="C583">
        <v>46466.625</v>
      </c>
      <c r="D583" t="s">
        <v>64</v>
      </c>
      <c r="E583" t="s">
        <v>1493</v>
      </c>
      <c r="F583" t="s">
        <v>1615</v>
      </c>
      <c r="G583">
        <v>2</v>
      </c>
      <c r="H583">
        <v>1</v>
      </c>
      <c r="I583">
        <v>20</v>
      </c>
      <c r="J583" s="17"/>
      <c r="K583" s="17"/>
      <c r="L583" s="19" t="str">
        <f t="shared" si="9"/>
        <v/>
      </c>
      <c r="M583" s="17">
        <v>1</v>
      </c>
      <c r="N583" s="17">
        <v>1</v>
      </c>
      <c r="P583" t="s">
        <v>1614</v>
      </c>
    </row>
    <row r="584" spans="1:16">
      <c r="A584">
        <v>30</v>
      </c>
      <c r="B584">
        <v>292</v>
      </c>
      <c r="C584">
        <v>46466.625</v>
      </c>
      <c r="D584" t="s">
        <v>236</v>
      </c>
      <c r="E584" t="s">
        <v>312</v>
      </c>
      <c r="F584" t="s">
        <v>1613</v>
      </c>
      <c r="G584">
        <v>3</v>
      </c>
      <c r="H584">
        <v>3</v>
      </c>
      <c r="I584">
        <v>4</v>
      </c>
      <c r="J584" s="17"/>
      <c r="K584" s="17"/>
      <c r="L584" s="19" t="str">
        <f t="shared" si="9"/>
        <v/>
      </c>
      <c r="M584" s="17">
        <v>1</v>
      </c>
      <c r="N584" s="17">
        <v>1</v>
      </c>
      <c r="P584" t="s">
        <v>1614</v>
      </c>
    </row>
    <row r="585" spans="1:16">
      <c r="A585">
        <v>30</v>
      </c>
      <c r="B585">
        <v>292</v>
      </c>
      <c r="C585">
        <v>46466.625</v>
      </c>
      <c r="D585" t="s">
        <v>312</v>
      </c>
      <c r="E585" t="s">
        <v>236</v>
      </c>
      <c r="F585" t="s">
        <v>1615</v>
      </c>
      <c r="G585">
        <v>3</v>
      </c>
      <c r="H585">
        <v>4</v>
      </c>
      <c r="I585">
        <v>3</v>
      </c>
      <c r="J585" s="17"/>
      <c r="K585" s="17"/>
      <c r="L585" s="19" t="str">
        <f t="shared" si="9"/>
        <v/>
      </c>
      <c r="M585" s="17">
        <v>1</v>
      </c>
      <c r="N585" s="17">
        <v>1</v>
      </c>
      <c r="P585" t="s">
        <v>1614</v>
      </c>
    </row>
    <row r="586" spans="1:16">
      <c r="A586">
        <v>30</v>
      </c>
      <c r="B586">
        <v>293</v>
      </c>
      <c r="C586">
        <v>46466.625</v>
      </c>
      <c r="D586" t="s">
        <v>567</v>
      </c>
      <c r="E586" t="s">
        <v>390</v>
      </c>
      <c r="F586" t="s">
        <v>1613</v>
      </c>
      <c r="G586">
        <v>3</v>
      </c>
      <c r="H586">
        <v>7</v>
      </c>
      <c r="I586">
        <v>5</v>
      </c>
      <c r="J586" s="17"/>
      <c r="K586" s="17"/>
      <c r="L586" s="19" t="str">
        <f t="shared" si="9"/>
        <v/>
      </c>
      <c r="M586" s="17">
        <v>1</v>
      </c>
      <c r="N586" s="17">
        <v>1</v>
      </c>
      <c r="P586" t="s">
        <v>1614</v>
      </c>
    </row>
    <row r="587" spans="1:16">
      <c r="A587">
        <v>30</v>
      </c>
      <c r="B587">
        <v>293</v>
      </c>
      <c r="C587">
        <v>46466.625</v>
      </c>
      <c r="D587" t="s">
        <v>390</v>
      </c>
      <c r="E587" t="s">
        <v>567</v>
      </c>
      <c r="F587" t="s">
        <v>1615</v>
      </c>
      <c r="G587">
        <v>2</v>
      </c>
      <c r="H587">
        <v>5</v>
      </c>
      <c r="I587">
        <v>7</v>
      </c>
      <c r="J587" s="17"/>
      <c r="K587" s="17"/>
      <c r="L587" s="19" t="str">
        <f t="shared" si="9"/>
        <v/>
      </c>
      <c r="M587" s="17">
        <v>1</v>
      </c>
      <c r="N587" s="17">
        <v>1</v>
      </c>
      <c r="P587" t="s">
        <v>1614</v>
      </c>
    </row>
    <row r="588" spans="1:16">
      <c r="A588">
        <v>30</v>
      </c>
      <c r="B588">
        <v>294</v>
      </c>
      <c r="C588">
        <v>46466.625</v>
      </c>
      <c r="D588" t="s">
        <v>1412</v>
      </c>
      <c r="E588" t="s">
        <v>714</v>
      </c>
      <c r="F588" t="s">
        <v>1613</v>
      </c>
      <c r="G588">
        <v>3</v>
      </c>
      <c r="H588">
        <v>19</v>
      </c>
      <c r="I588">
        <v>9</v>
      </c>
      <c r="J588" s="17"/>
      <c r="K588" s="17"/>
      <c r="L588" s="19" t="str">
        <f t="shared" si="9"/>
        <v/>
      </c>
      <c r="M588" s="17">
        <v>1</v>
      </c>
      <c r="N588" s="17">
        <v>1</v>
      </c>
      <c r="P588" t="s">
        <v>1614</v>
      </c>
    </row>
    <row r="589" spans="1:16">
      <c r="A589">
        <v>30</v>
      </c>
      <c r="B589">
        <v>294</v>
      </c>
      <c r="C589">
        <v>46466.625</v>
      </c>
      <c r="D589" t="s">
        <v>714</v>
      </c>
      <c r="E589" t="s">
        <v>1412</v>
      </c>
      <c r="F589" t="s">
        <v>1615</v>
      </c>
      <c r="G589">
        <v>3</v>
      </c>
      <c r="H589">
        <v>9</v>
      </c>
      <c r="I589">
        <v>19</v>
      </c>
      <c r="J589" s="17"/>
      <c r="K589" s="17"/>
      <c r="L589" s="19" t="str">
        <f t="shared" si="9"/>
        <v/>
      </c>
      <c r="M589" s="17">
        <v>1</v>
      </c>
      <c r="N589" s="17">
        <v>1</v>
      </c>
      <c r="P589" t="s">
        <v>1614</v>
      </c>
    </row>
    <row r="590" spans="1:16">
      <c r="A590">
        <v>30</v>
      </c>
      <c r="B590">
        <v>295</v>
      </c>
      <c r="C590">
        <v>46466.625</v>
      </c>
      <c r="D590" t="s">
        <v>1037</v>
      </c>
      <c r="E590" t="s">
        <v>777</v>
      </c>
      <c r="F590" t="s">
        <v>1613</v>
      </c>
      <c r="G590">
        <v>3</v>
      </c>
      <c r="H590">
        <v>14</v>
      </c>
      <c r="I590">
        <v>10</v>
      </c>
      <c r="J590" s="17"/>
      <c r="K590" s="17"/>
      <c r="L590" s="19" t="str">
        <f t="shared" si="9"/>
        <v/>
      </c>
      <c r="M590" s="17">
        <v>1</v>
      </c>
      <c r="N590" s="17">
        <v>1</v>
      </c>
      <c r="P590" t="s">
        <v>1614</v>
      </c>
    </row>
    <row r="591" spans="1:16">
      <c r="A591">
        <v>30</v>
      </c>
      <c r="B591">
        <v>295</v>
      </c>
      <c r="C591">
        <v>46466.625</v>
      </c>
      <c r="D591" t="s">
        <v>777</v>
      </c>
      <c r="E591" t="s">
        <v>1037</v>
      </c>
      <c r="F591" t="s">
        <v>1615</v>
      </c>
      <c r="G591">
        <v>4</v>
      </c>
      <c r="H591">
        <v>10</v>
      </c>
      <c r="I591">
        <v>14</v>
      </c>
      <c r="J591" s="17"/>
      <c r="K591" s="17"/>
      <c r="L591" s="19" t="str">
        <f t="shared" si="9"/>
        <v/>
      </c>
      <c r="M591" s="17">
        <v>1</v>
      </c>
      <c r="N591" s="17">
        <v>1</v>
      </c>
      <c r="P591" t="s">
        <v>1614</v>
      </c>
    </row>
    <row r="592" spans="1:16">
      <c r="A592">
        <v>30</v>
      </c>
      <c r="B592">
        <v>296</v>
      </c>
      <c r="C592">
        <v>46466.625</v>
      </c>
      <c r="D592" t="s">
        <v>474</v>
      </c>
      <c r="E592" t="s">
        <v>831</v>
      </c>
      <c r="F592" t="s">
        <v>1613</v>
      </c>
      <c r="G592">
        <v>2</v>
      </c>
      <c r="H592">
        <v>6</v>
      </c>
      <c r="I592">
        <v>11</v>
      </c>
      <c r="J592" s="17"/>
      <c r="K592" s="17"/>
      <c r="L592" s="19" t="str">
        <f t="shared" si="9"/>
        <v/>
      </c>
      <c r="M592" s="17">
        <v>1</v>
      </c>
      <c r="N592" s="17">
        <v>1</v>
      </c>
      <c r="P592" t="s">
        <v>1614</v>
      </c>
    </row>
    <row r="593" spans="1:16">
      <c r="A593">
        <v>30</v>
      </c>
      <c r="B593">
        <v>296</v>
      </c>
      <c r="C593">
        <v>46466.625</v>
      </c>
      <c r="D593" t="s">
        <v>831</v>
      </c>
      <c r="E593" t="s">
        <v>474</v>
      </c>
      <c r="F593" t="s">
        <v>1615</v>
      </c>
      <c r="G593">
        <v>4</v>
      </c>
      <c r="H593">
        <v>11</v>
      </c>
      <c r="I593">
        <v>6</v>
      </c>
      <c r="J593" s="17"/>
      <c r="K593" s="17"/>
      <c r="L593" s="19" t="str">
        <f t="shared" si="9"/>
        <v/>
      </c>
      <c r="M593" s="17">
        <v>1</v>
      </c>
      <c r="N593" s="17">
        <v>1</v>
      </c>
      <c r="P593" t="s">
        <v>1614</v>
      </c>
    </row>
    <row r="594" spans="1:16">
      <c r="A594">
        <v>30</v>
      </c>
      <c r="B594">
        <v>297</v>
      </c>
      <c r="C594">
        <v>46466.625</v>
      </c>
      <c r="D594" t="s">
        <v>639</v>
      </c>
      <c r="E594" t="s">
        <v>903</v>
      </c>
      <c r="F594" t="s">
        <v>1613</v>
      </c>
      <c r="G594">
        <v>2</v>
      </c>
      <c r="H594">
        <v>8</v>
      </c>
      <c r="I594">
        <v>12</v>
      </c>
      <c r="J594" s="17"/>
      <c r="K594" s="17"/>
      <c r="L594" s="19" t="str">
        <f t="shared" si="9"/>
        <v/>
      </c>
      <c r="M594" s="17">
        <v>1</v>
      </c>
      <c r="N594" s="17">
        <v>1</v>
      </c>
      <c r="P594" t="s">
        <v>1614</v>
      </c>
    </row>
    <row r="595" spans="1:16">
      <c r="A595">
        <v>30</v>
      </c>
      <c r="B595">
        <v>297</v>
      </c>
      <c r="C595">
        <v>46466.625</v>
      </c>
      <c r="D595" t="s">
        <v>903</v>
      </c>
      <c r="E595" t="s">
        <v>639</v>
      </c>
      <c r="F595" t="s">
        <v>1615</v>
      </c>
      <c r="G595">
        <v>3</v>
      </c>
      <c r="H595">
        <v>12</v>
      </c>
      <c r="I595">
        <v>8</v>
      </c>
      <c r="J595" s="17"/>
      <c r="K595" s="17"/>
      <c r="L595" s="19" t="str">
        <f t="shared" si="9"/>
        <v/>
      </c>
      <c r="M595" s="17">
        <v>1</v>
      </c>
      <c r="N595" s="17">
        <v>1</v>
      </c>
      <c r="P595" t="s">
        <v>1614</v>
      </c>
    </row>
    <row r="596" spans="1:16">
      <c r="A596">
        <v>30</v>
      </c>
      <c r="B596">
        <v>298</v>
      </c>
      <c r="C596">
        <v>46466.625</v>
      </c>
      <c r="D596" t="s">
        <v>1199</v>
      </c>
      <c r="E596" t="s">
        <v>1126</v>
      </c>
      <c r="F596" t="s">
        <v>1613</v>
      </c>
      <c r="G596">
        <v>5</v>
      </c>
      <c r="H596">
        <v>16</v>
      </c>
      <c r="I596">
        <v>15</v>
      </c>
      <c r="J596" s="17"/>
      <c r="K596" s="17"/>
      <c r="L596" s="19" t="str">
        <f t="shared" si="9"/>
        <v/>
      </c>
      <c r="M596" s="17">
        <v>1</v>
      </c>
      <c r="N596" s="17">
        <v>1</v>
      </c>
      <c r="P596" t="s">
        <v>1614</v>
      </c>
    </row>
    <row r="597" spans="1:16">
      <c r="A597">
        <v>30</v>
      </c>
      <c r="B597">
        <v>298</v>
      </c>
      <c r="C597">
        <v>46466.625</v>
      </c>
      <c r="D597" t="s">
        <v>1126</v>
      </c>
      <c r="E597" t="s">
        <v>1199</v>
      </c>
      <c r="F597" t="s">
        <v>1615</v>
      </c>
      <c r="G597">
        <v>4</v>
      </c>
      <c r="H597">
        <v>15</v>
      </c>
      <c r="I597">
        <v>16</v>
      </c>
      <c r="J597" s="17"/>
      <c r="K597" s="17"/>
      <c r="L597" s="19" t="str">
        <f t="shared" si="9"/>
        <v/>
      </c>
      <c r="M597" s="17">
        <v>1</v>
      </c>
      <c r="N597" s="17">
        <v>1</v>
      </c>
      <c r="P597" t="s">
        <v>1614</v>
      </c>
    </row>
    <row r="598" spans="1:16">
      <c r="A598">
        <v>30</v>
      </c>
      <c r="B598">
        <v>299</v>
      </c>
      <c r="C598">
        <v>46466.625</v>
      </c>
      <c r="D598" t="s">
        <v>978</v>
      </c>
      <c r="E598" t="s">
        <v>1283</v>
      </c>
      <c r="F598" t="s">
        <v>1613</v>
      </c>
      <c r="G598">
        <v>3</v>
      </c>
      <c r="H598">
        <v>13</v>
      </c>
      <c r="I598">
        <v>17</v>
      </c>
      <c r="J598" s="17"/>
      <c r="K598" s="17"/>
      <c r="L598" s="19" t="str">
        <f t="shared" si="9"/>
        <v/>
      </c>
      <c r="M598" s="17">
        <v>1</v>
      </c>
      <c r="N598" s="17">
        <v>1</v>
      </c>
      <c r="P598" t="s">
        <v>1614</v>
      </c>
    </row>
    <row r="599" spans="1:16">
      <c r="A599">
        <v>30</v>
      </c>
      <c r="B599">
        <v>299</v>
      </c>
      <c r="C599">
        <v>46466.625</v>
      </c>
      <c r="D599" t="s">
        <v>1283</v>
      </c>
      <c r="E599" t="s">
        <v>978</v>
      </c>
      <c r="F599" t="s">
        <v>1615</v>
      </c>
      <c r="G599">
        <v>2</v>
      </c>
      <c r="H599">
        <v>17</v>
      </c>
      <c r="I599">
        <v>13</v>
      </c>
      <c r="J599" s="17"/>
      <c r="K599" s="17"/>
      <c r="L599" s="19" t="str">
        <f t="shared" si="9"/>
        <v/>
      </c>
      <c r="M599" s="17">
        <v>1</v>
      </c>
      <c r="N599" s="17">
        <v>1</v>
      </c>
      <c r="P599" t="s">
        <v>1614</v>
      </c>
    </row>
    <row r="600" spans="1:16">
      <c r="A600">
        <v>30</v>
      </c>
      <c r="B600">
        <v>300</v>
      </c>
      <c r="C600">
        <v>46466.625</v>
      </c>
      <c r="D600" t="s">
        <v>153</v>
      </c>
      <c r="E600" t="s">
        <v>1354</v>
      </c>
      <c r="F600" t="s">
        <v>1613</v>
      </c>
      <c r="G600">
        <v>3</v>
      </c>
      <c r="H600">
        <v>2</v>
      </c>
      <c r="I600">
        <v>18</v>
      </c>
      <c r="J600" s="17"/>
      <c r="K600" s="17"/>
      <c r="L600" s="19" t="str">
        <f t="shared" si="9"/>
        <v/>
      </c>
      <c r="M600" s="17">
        <v>1</v>
      </c>
      <c r="N600" s="17">
        <v>1</v>
      </c>
      <c r="P600" t="s">
        <v>1614</v>
      </c>
    </row>
    <row r="601" spans="1:16">
      <c r="A601">
        <v>30</v>
      </c>
      <c r="B601">
        <v>300</v>
      </c>
      <c r="C601">
        <v>46466.625</v>
      </c>
      <c r="D601" t="s">
        <v>1354</v>
      </c>
      <c r="E601" t="s">
        <v>153</v>
      </c>
      <c r="F601" t="s">
        <v>1615</v>
      </c>
      <c r="G601">
        <v>3</v>
      </c>
      <c r="H601">
        <v>18</v>
      </c>
      <c r="I601">
        <v>2</v>
      </c>
      <c r="J601" s="17"/>
      <c r="K601" s="17"/>
      <c r="L601" s="19" t="str">
        <f t="shared" si="9"/>
        <v/>
      </c>
      <c r="M601" s="17">
        <v>1</v>
      </c>
      <c r="N601" s="17">
        <v>1</v>
      </c>
      <c r="P601" t="s">
        <v>1614</v>
      </c>
    </row>
    <row r="602" spans="1:16">
      <c r="A602">
        <v>31</v>
      </c>
      <c r="B602">
        <v>301</v>
      </c>
      <c r="C602">
        <v>46487.583333333336</v>
      </c>
      <c r="D602" t="s">
        <v>390</v>
      </c>
      <c r="E602" t="s">
        <v>153</v>
      </c>
      <c r="F602" t="s">
        <v>1613</v>
      </c>
      <c r="G602">
        <v>4</v>
      </c>
      <c r="H602">
        <v>5</v>
      </c>
      <c r="I602">
        <v>2</v>
      </c>
      <c r="J602" s="17"/>
      <c r="K602" s="17"/>
      <c r="L602" s="19" t="str">
        <f t="shared" si="9"/>
        <v/>
      </c>
      <c r="M602" s="17">
        <v>1</v>
      </c>
      <c r="N602" s="17">
        <v>1</v>
      </c>
      <c r="P602" t="s">
        <v>1614</v>
      </c>
    </row>
    <row r="603" spans="1:16">
      <c r="A603">
        <v>31</v>
      </c>
      <c r="B603">
        <v>301</v>
      </c>
      <c r="C603">
        <v>46487.583333333336</v>
      </c>
      <c r="D603" t="s">
        <v>153</v>
      </c>
      <c r="E603" t="s">
        <v>390</v>
      </c>
      <c r="F603" t="s">
        <v>1615</v>
      </c>
      <c r="G603">
        <v>2</v>
      </c>
      <c r="H603">
        <v>2</v>
      </c>
      <c r="I603">
        <v>5</v>
      </c>
      <c r="J603" s="17"/>
      <c r="K603" s="17"/>
      <c r="L603" s="19" t="str">
        <f t="shared" si="9"/>
        <v/>
      </c>
      <c r="M603" s="17">
        <v>1</v>
      </c>
      <c r="N603" s="17">
        <v>1</v>
      </c>
      <c r="P603" t="s">
        <v>1614</v>
      </c>
    </row>
    <row r="604" spans="1:16">
      <c r="A604">
        <v>31</v>
      </c>
      <c r="B604">
        <v>302</v>
      </c>
      <c r="C604">
        <v>46487.583333333336</v>
      </c>
      <c r="D604" t="s">
        <v>1126</v>
      </c>
      <c r="E604" t="s">
        <v>236</v>
      </c>
      <c r="F604" t="s">
        <v>1613</v>
      </c>
      <c r="G604">
        <v>3</v>
      </c>
      <c r="H604">
        <v>15</v>
      </c>
      <c r="I604">
        <v>3</v>
      </c>
      <c r="J604" s="17"/>
      <c r="K604" s="17"/>
      <c r="L604" s="19" t="str">
        <f t="shared" si="9"/>
        <v/>
      </c>
      <c r="M604" s="17">
        <v>1</v>
      </c>
      <c r="N604" s="17">
        <v>1</v>
      </c>
      <c r="P604" t="s">
        <v>1614</v>
      </c>
    </row>
    <row r="605" spans="1:16">
      <c r="A605">
        <v>31</v>
      </c>
      <c r="B605">
        <v>302</v>
      </c>
      <c r="C605">
        <v>46487.583333333336</v>
      </c>
      <c r="D605" t="s">
        <v>236</v>
      </c>
      <c r="E605" t="s">
        <v>1126</v>
      </c>
      <c r="F605" t="s">
        <v>1615</v>
      </c>
      <c r="G605">
        <v>4</v>
      </c>
      <c r="H605">
        <v>3</v>
      </c>
      <c r="I605">
        <v>15</v>
      </c>
      <c r="J605" s="17"/>
      <c r="K605" s="17"/>
      <c r="L605" s="19" t="str">
        <f t="shared" si="9"/>
        <v/>
      </c>
      <c r="M605" s="17">
        <v>1</v>
      </c>
      <c r="N605" s="17">
        <v>1</v>
      </c>
      <c r="P605" t="s">
        <v>1614</v>
      </c>
    </row>
    <row r="606" spans="1:16">
      <c r="A606">
        <v>31</v>
      </c>
      <c r="B606">
        <v>303</v>
      </c>
      <c r="C606">
        <v>46487.583333333336</v>
      </c>
      <c r="D606" t="s">
        <v>777</v>
      </c>
      <c r="E606" t="s">
        <v>474</v>
      </c>
      <c r="F606" t="s">
        <v>1613</v>
      </c>
      <c r="G606">
        <v>4</v>
      </c>
      <c r="H606">
        <v>10</v>
      </c>
      <c r="I606">
        <v>6</v>
      </c>
      <c r="J606" s="17"/>
      <c r="K606" s="17"/>
      <c r="L606" s="19" t="str">
        <f t="shared" si="9"/>
        <v/>
      </c>
      <c r="M606" s="17">
        <v>1</v>
      </c>
      <c r="N606" s="17">
        <v>1</v>
      </c>
      <c r="P606" t="s">
        <v>1614</v>
      </c>
    </row>
    <row r="607" spans="1:16">
      <c r="A607">
        <v>31</v>
      </c>
      <c r="B607">
        <v>303</v>
      </c>
      <c r="C607">
        <v>46487.583333333336</v>
      </c>
      <c r="D607" t="s">
        <v>474</v>
      </c>
      <c r="E607" t="s">
        <v>777</v>
      </c>
      <c r="F607" t="s">
        <v>1615</v>
      </c>
      <c r="G607">
        <v>2</v>
      </c>
      <c r="H607">
        <v>6</v>
      </c>
      <c r="I607">
        <v>10</v>
      </c>
      <c r="J607" s="17"/>
      <c r="K607" s="17"/>
      <c r="L607" s="19" t="str">
        <f t="shared" si="9"/>
        <v/>
      </c>
      <c r="M607" s="17">
        <v>1</v>
      </c>
      <c r="N607" s="17">
        <v>1</v>
      </c>
      <c r="P607" t="s">
        <v>1614</v>
      </c>
    </row>
    <row r="608" spans="1:16">
      <c r="A608">
        <v>31</v>
      </c>
      <c r="B608">
        <v>304</v>
      </c>
      <c r="C608">
        <v>46487.583333333336</v>
      </c>
      <c r="D608" t="s">
        <v>64</v>
      </c>
      <c r="E608" t="s">
        <v>567</v>
      </c>
      <c r="F608" t="s">
        <v>1613</v>
      </c>
      <c r="G608">
        <v>2</v>
      </c>
      <c r="H608">
        <v>1</v>
      </c>
      <c r="I608">
        <v>7</v>
      </c>
      <c r="J608" s="17"/>
      <c r="K608" s="17"/>
      <c r="L608" s="19" t="str">
        <f t="shared" si="9"/>
        <v/>
      </c>
      <c r="M608" s="17">
        <v>1</v>
      </c>
      <c r="N608" s="17">
        <v>1</v>
      </c>
      <c r="P608" t="s">
        <v>1614</v>
      </c>
    </row>
    <row r="609" spans="1:16">
      <c r="A609">
        <v>31</v>
      </c>
      <c r="B609">
        <v>304</v>
      </c>
      <c r="C609">
        <v>46487.583333333336</v>
      </c>
      <c r="D609" t="s">
        <v>567</v>
      </c>
      <c r="E609" t="s">
        <v>64</v>
      </c>
      <c r="F609" t="s">
        <v>1615</v>
      </c>
      <c r="G609">
        <v>4</v>
      </c>
      <c r="H609">
        <v>7</v>
      </c>
      <c r="I609">
        <v>1</v>
      </c>
      <c r="J609" s="17"/>
      <c r="K609" s="17"/>
      <c r="L609" s="19" t="str">
        <f t="shared" si="9"/>
        <v/>
      </c>
      <c r="M609" s="17">
        <v>1</v>
      </c>
      <c r="N609" s="17">
        <v>1</v>
      </c>
      <c r="P609" t="s">
        <v>1614</v>
      </c>
    </row>
    <row r="610" spans="1:16">
      <c r="A610">
        <v>31</v>
      </c>
      <c r="B610">
        <v>305</v>
      </c>
      <c r="C610">
        <v>46487.583333333336</v>
      </c>
      <c r="D610" t="s">
        <v>714</v>
      </c>
      <c r="E610" t="s">
        <v>639</v>
      </c>
      <c r="F610" t="s">
        <v>1613</v>
      </c>
      <c r="G610">
        <v>3</v>
      </c>
      <c r="H610">
        <v>9</v>
      </c>
      <c r="I610">
        <v>8</v>
      </c>
      <c r="J610" s="17"/>
      <c r="K610" s="17"/>
      <c r="L610" s="19" t="str">
        <f t="shared" si="9"/>
        <v/>
      </c>
      <c r="M610" s="17">
        <v>1</v>
      </c>
      <c r="N610" s="17">
        <v>1</v>
      </c>
      <c r="P610" t="s">
        <v>1614</v>
      </c>
    </row>
    <row r="611" spans="1:16">
      <c r="A611">
        <v>31</v>
      </c>
      <c r="B611">
        <v>305</v>
      </c>
      <c r="C611">
        <v>46487.583333333336</v>
      </c>
      <c r="D611" t="s">
        <v>639</v>
      </c>
      <c r="E611" t="s">
        <v>714</v>
      </c>
      <c r="F611" t="s">
        <v>1615</v>
      </c>
      <c r="G611">
        <v>3</v>
      </c>
      <c r="H611">
        <v>8</v>
      </c>
      <c r="I611">
        <v>9</v>
      </c>
      <c r="J611" s="17"/>
      <c r="K611" s="17"/>
      <c r="L611" s="19" t="str">
        <f t="shared" si="9"/>
        <v/>
      </c>
      <c r="M611" s="17">
        <v>1</v>
      </c>
      <c r="N611" s="17">
        <v>1</v>
      </c>
      <c r="P611" t="s">
        <v>1614</v>
      </c>
    </row>
    <row r="612" spans="1:16">
      <c r="A612">
        <v>31</v>
      </c>
      <c r="B612">
        <v>306</v>
      </c>
      <c r="C612">
        <v>46487.583333333336</v>
      </c>
      <c r="D612" t="s">
        <v>1354</v>
      </c>
      <c r="E612" t="s">
        <v>978</v>
      </c>
      <c r="F612" t="s">
        <v>1613</v>
      </c>
      <c r="G612">
        <v>3</v>
      </c>
      <c r="H612">
        <v>18</v>
      </c>
      <c r="I612">
        <v>13</v>
      </c>
      <c r="J612" s="17"/>
      <c r="K612" s="17"/>
      <c r="L612" s="19" t="str">
        <f t="shared" si="9"/>
        <v/>
      </c>
      <c r="M612" s="17">
        <v>1</v>
      </c>
      <c r="N612" s="17">
        <v>1</v>
      </c>
      <c r="P612" t="s">
        <v>1614</v>
      </c>
    </row>
    <row r="613" spans="1:16">
      <c r="A613">
        <v>31</v>
      </c>
      <c r="B613">
        <v>306</v>
      </c>
      <c r="C613">
        <v>46487.583333333336</v>
      </c>
      <c r="D613" t="s">
        <v>978</v>
      </c>
      <c r="E613" t="s">
        <v>1354</v>
      </c>
      <c r="F613" t="s">
        <v>1615</v>
      </c>
      <c r="G613">
        <v>3</v>
      </c>
      <c r="H613">
        <v>13</v>
      </c>
      <c r="I613">
        <v>18</v>
      </c>
      <c r="J613" s="17"/>
      <c r="K613" s="17"/>
      <c r="L613" s="19" t="str">
        <f t="shared" si="9"/>
        <v/>
      </c>
      <c r="M613" s="17">
        <v>1</v>
      </c>
      <c r="N613" s="17">
        <v>1</v>
      </c>
      <c r="P613" t="s">
        <v>1614</v>
      </c>
    </row>
    <row r="614" spans="1:16">
      <c r="A614">
        <v>31</v>
      </c>
      <c r="B614">
        <v>307</v>
      </c>
      <c r="C614">
        <v>46487.583333333336</v>
      </c>
      <c r="D614" t="s">
        <v>1283</v>
      </c>
      <c r="E614" t="s">
        <v>1037</v>
      </c>
      <c r="F614" t="s">
        <v>1613</v>
      </c>
      <c r="G614">
        <v>4</v>
      </c>
      <c r="H614">
        <v>17</v>
      </c>
      <c r="I614">
        <v>14</v>
      </c>
      <c r="J614" s="17"/>
      <c r="K614" s="17"/>
      <c r="L614" s="19" t="str">
        <f t="shared" si="9"/>
        <v/>
      </c>
      <c r="M614" s="17">
        <v>1</v>
      </c>
      <c r="N614" s="17">
        <v>1</v>
      </c>
      <c r="P614" t="s">
        <v>1614</v>
      </c>
    </row>
    <row r="615" spans="1:16">
      <c r="A615">
        <v>31</v>
      </c>
      <c r="B615">
        <v>307</v>
      </c>
      <c r="C615">
        <v>46487.583333333336</v>
      </c>
      <c r="D615" t="s">
        <v>1037</v>
      </c>
      <c r="E615" t="s">
        <v>1283</v>
      </c>
      <c r="F615" t="s">
        <v>1615</v>
      </c>
      <c r="G615">
        <v>2</v>
      </c>
      <c r="H615">
        <v>14</v>
      </c>
      <c r="I615">
        <v>17</v>
      </c>
      <c r="J615" s="17"/>
      <c r="K615" s="17"/>
      <c r="L615" s="19" t="str">
        <f t="shared" si="9"/>
        <v/>
      </c>
      <c r="M615" s="17">
        <v>1</v>
      </c>
      <c r="N615" s="17">
        <v>1</v>
      </c>
      <c r="P615" t="s">
        <v>1614</v>
      </c>
    </row>
    <row r="616" spans="1:16">
      <c r="A616">
        <v>31</v>
      </c>
      <c r="B616">
        <v>308</v>
      </c>
      <c r="C616">
        <v>46487.583333333336</v>
      </c>
      <c r="D616" t="s">
        <v>831</v>
      </c>
      <c r="E616" t="s">
        <v>1199</v>
      </c>
      <c r="F616" t="s">
        <v>1613</v>
      </c>
      <c r="G616">
        <v>4</v>
      </c>
      <c r="H616">
        <v>11</v>
      </c>
      <c r="I616">
        <v>16</v>
      </c>
      <c r="J616" s="17"/>
      <c r="K616" s="17"/>
      <c r="L616" s="19" t="str">
        <f t="shared" si="9"/>
        <v/>
      </c>
      <c r="M616" s="17">
        <v>1</v>
      </c>
      <c r="N616" s="17">
        <v>1</v>
      </c>
      <c r="P616" t="s">
        <v>1614</v>
      </c>
    </row>
    <row r="617" spans="1:16">
      <c r="A617">
        <v>31</v>
      </c>
      <c r="B617">
        <v>308</v>
      </c>
      <c r="C617">
        <v>46487.583333333336</v>
      </c>
      <c r="D617" t="s">
        <v>1199</v>
      </c>
      <c r="E617" t="s">
        <v>831</v>
      </c>
      <c r="F617" t="s">
        <v>1615</v>
      </c>
      <c r="G617">
        <v>2</v>
      </c>
      <c r="H617">
        <v>16</v>
      </c>
      <c r="I617">
        <v>11</v>
      </c>
      <c r="J617" s="17"/>
      <c r="K617" s="17"/>
      <c r="L617" s="19" t="str">
        <f t="shared" si="9"/>
        <v/>
      </c>
      <c r="M617" s="17">
        <v>1</v>
      </c>
      <c r="N617" s="17">
        <v>1</v>
      </c>
      <c r="P617" t="s">
        <v>1614</v>
      </c>
    </row>
    <row r="618" spans="1:16">
      <c r="A618">
        <v>31</v>
      </c>
      <c r="B618">
        <v>309</v>
      </c>
      <c r="C618">
        <v>46487.583333333336</v>
      </c>
      <c r="D618" t="s">
        <v>903</v>
      </c>
      <c r="E618" t="s">
        <v>1493</v>
      </c>
      <c r="F618" t="s">
        <v>1613</v>
      </c>
      <c r="G618">
        <v>3</v>
      </c>
      <c r="H618">
        <v>12</v>
      </c>
      <c r="I618">
        <v>20</v>
      </c>
      <c r="J618" s="17"/>
      <c r="K618" s="17"/>
      <c r="L618" s="19" t="str">
        <f t="shared" si="9"/>
        <v/>
      </c>
      <c r="M618" s="17">
        <v>1</v>
      </c>
      <c r="N618" s="17">
        <v>1</v>
      </c>
      <c r="P618" t="s">
        <v>1614</v>
      </c>
    </row>
    <row r="619" spans="1:16">
      <c r="A619">
        <v>31</v>
      </c>
      <c r="B619">
        <v>309</v>
      </c>
      <c r="C619">
        <v>46487.583333333336</v>
      </c>
      <c r="D619" t="s">
        <v>1493</v>
      </c>
      <c r="E619" t="s">
        <v>903</v>
      </c>
      <c r="F619" t="s">
        <v>1615</v>
      </c>
      <c r="G619">
        <v>2</v>
      </c>
      <c r="H619">
        <v>20</v>
      </c>
      <c r="I619">
        <v>12</v>
      </c>
      <c r="J619" s="17"/>
      <c r="K619" s="17"/>
      <c r="L619" s="19" t="str">
        <f t="shared" si="9"/>
        <v/>
      </c>
      <c r="M619" s="17">
        <v>1</v>
      </c>
      <c r="N619" s="17">
        <v>1</v>
      </c>
      <c r="P619" t="s">
        <v>1614</v>
      </c>
    </row>
    <row r="620" spans="1:16">
      <c r="A620">
        <v>31</v>
      </c>
      <c r="B620">
        <v>310</v>
      </c>
      <c r="C620">
        <v>46487.583333333336</v>
      </c>
      <c r="D620" t="s">
        <v>312</v>
      </c>
      <c r="E620" t="s">
        <v>1412</v>
      </c>
      <c r="F620" t="s">
        <v>1613</v>
      </c>
      <c r="G620">
        <v>3</v>
      </c>
      <c r="H620">
        <v>4</v>
      </c>
      <c r="I620">
        <v>19</v>
      </c>
      <c r="J620" s="17"/>
      <c r="K620" s="17"/>
      <c r="L620" s="19" t="str">
        <f t="shared" si="9"/>
        <v/>
      </c>
      <c r="M620" s="17">
        <v>1</v>
      </c>
      <c r="N620" s="17">
        <v>1</v>
      </c>
      <c r="P620" t="s">
        <v>1614</v>
      </c>
    </row>
    <row r="621" spans="1:16">
      <c r="A621">
        <v>31</v>
      </c>
      <c r="B621">
        <v>310</v>
      </c>
      <c r="C621">
        <v>46487.583333333336</v>
      </c>
      <c r="D621" t="s">
        <v>1412</v>
      </c>
      <c r="E621" t="s">
        <v>312</v>
      </c>
      <c r="F621" t="s">
        <v>1615</v>
      </c>
      <c r="G621">
        <v>3</v>
      </c>
      <c r="H621">
        <v>19</v>
      </c>
      <c r="I621">
        <v>4</v>
      </c>
      <c r="J621" s="17"/>
      <c r="K621" s="17"/>
      <c r="L621" s="19" t="str">
        <f t="shared" si="9"/>
        <v/>
      </c>
      <c r="M621" s="17">
        <v>1</v>
      </c>
      <c r="N621" s="17">
        <v>1</v>
      </c>
      <c r="P621" t="s">
        <v>1614</v>
      </c>
    </row>
    <row r="622" spans="1:16">
      <c r="A622">
        <v>32</v>
      </c>
      <c r="B622">
        <v>311</v>
      </c>
      <c r="C622">
        <v>46494.583333333336</v>
      </c>
      <c r="D622" t="s">
        <v>153</v>
      </c>
      <c r="E622" t="s">
        <v>64</v>
      </c>
      <c r="F622" t="s">
        <v>1613</v>
      </c>
      <c r="G622">
        <v>5</v>
      </c>
      <c r="H622">
        <v>2</v>
      </c>
      <c r="I622">
        <v>1</v>
      </c>
      <c r="J622" s="17"/>
      <c r="K622" s="17"/>
      <c r="L622" s="19" t="str">
        <f t="shared" si="9"/>
        <v/>
      </c>
      <c r="M622" s="17">
        <v>1</v>
      </c>
      <c r="N622" s="17">
        <v>1</v>
      </c>
      <c r="P622" t="s">
        <v>1614</v>
      </c>
    </row>
    <row r="623" spans="1:16">
      <c r="A623">
        <v>32</v>
      </c>
      <c r="B623">
        <v>311</v>
      </c>
      <c r="C623">
        <v>46494.583333333336</v>
      </c>
      <c r="D623" t="s">
        <v>64</v>
      </c>
      <c r="E623" t="s">
        <v>153</v>
      </c>
      <c r="F623" t="s">
        <v>1615</v>
      </c>
      <c r="G623">
        <v>3</v>
      </c>
      <c r="H623">
        <v>1</v>
      </c>
      <c r="I623">
        <v>2</v>
      </c>
      <c r="J623" s="17"/>
      <c r="K623" s="17"/>
      <c r="L623" s="19" t="str">
        <f t="shared" si="9"/>
        <v/>
      </c>
      <c r="M623" s="17">
        <v>1</v>
      </c>
      <c r="N623" s="17">
        <v>1</v>
      </c>
      <c r="P623" t="s">
        <v>1614</v>
      </c>
    </row>
    <row r="624" spans="1:16">
      <c r="A624">
        <v>32</v>
      </c>
      <c r="B624">
        <v>312</v>
      </c>
      <c r="C624">
        <v>46494.583333333336</v>
      </c>
      <c r="D624" t="s">
        <v>978</v>
      </c>
      <c r="E624" t="s">
        <v>312</v>
      </c>
      <c r="F624" t="s">
        <v>1613</v>
      </c>
      <c r="G624">
        <v>3</v>
      </c>
      <c r="H624">
        <v>13</v>
      </c>
      <c r="I624">
        <v>4</v>
      </c>
      <c r="J624" s="17"/>
      <c r="K624" s="17"/>
      <c r="L624" s="19" t="str">
        <f t="shared" si="9"/>
        <v/>
      </c>
      <c r="M624" s="17">
        <v>1</v>
      </c>
      <c r="N624" s="17">
        <v>1</v>
      </c>
      <c r="P624" t="s">
        <v>1614</v>
      </c>
    </row>
    <row r="625" spans="1:16">
      <c r="A625">
        <v>32</v>
      </c>
      <c r="B625">
        <v>312</v>
      </c>
      <c r="C625">
        <v>46494.583333333336</v>
      </c>
      <c r="D625" t="s">
        <v>312</v>
      </c>
      <c r="E625" t="s">
        <v>978</v>
      </c>
      <c r="F625" t="s">
        <v>1615</v>
      </c>
      <c r="G625">
        <v>2</v>
      </c>
      <c r="H625">
        <v>4</v>
      </c>
      <c r="I625">
        <v>13</v>
      </c>
      <c r="J625" s="17"/>
      <c r="K625" s="17"/>
      <c r="L625" s="19" t="str">
        <f t="shared" si="9"/>
        <v/>
      </c>
      <c r="M625" s="17">
        <v>1</v>
      </c>
      <c r="N625" s="17">
        <v>1</v>
      </c>
      <c r="P625" t="s">
        <v>1614</v>
      </c>
    </row>
    <row r="626" spans="1:16">
      <c r="A626">
        <v>32</v>
      </c>
      <c r="B626">
        <v>313</v>
      </c>
      <c r="C626">
        <v>46494.583333333336</v>
      </c>
      <c r="D626" t="s">
        <v>474</v>
      </c>
      <c r="E626" t="s">
        <v>390</v>
      </c>
      <c r="F626" t="s">
        <v>1613</v>
      </c>
      <c r="G626">
        <v>3</v>
      </c>
      <c r="H626">
        <v>6</v>
      </c>
      <c r="I626">
        <v>5</v>
      </c>
      <c r="J626" s="17"/>
      <c r="K626" s="17"/>
      <c r="L626" s="19" t="str">
        <f t="shared" si="9"/>
        <v/>
      </c>
      <c r="M626" s="17">
        <v>1</v>
      </c>
      <c r="N626" s="17">
        <v>1</v>
      </c>
      <c r="P626" t="s">
        <v>1614</v>
      </c>
    </row>
    <row r="627" spans="1:16">
      <c r="A627">
        <v>32</v>
      </c>
      <c r="B627">
        <v>313</v>
      </c>
      <c r="C627">
        <v>46494.583333333336</v>
      </c>
      <c r="D627" t="s">
        <v>390</v>
      </c>
      <c r="E627" t="s">
        <v>474</v>
      </c>
      <c r="F627" t="s">
        <v>1615</v>
      </c>
      <c r="G627">
        <v>4</v>
      </c>
      <c r="H627">
        <v>5</v>
      </c>
      <c r="I627">
        <v>6</v>
      </c>
      <c r="J627" s="17"/>
      <c r="K627" s="17"/>
      <c r="L627" s="19" t="str">
        <f t="shared" si="9"/>
        <v/>
      </c>
      <c r="M627" s="17">
        <v>1</v>
      </c>
      <c r="N627" s="17">
        <v>1</v>
      </c>
      <c r="P627" t="s">
        <v>1614</v>
      </c>
    </row>
    <row r="628" spans="1:16">
      <c r="A628">
        <v>32</v>
      </c>
      <c r="B628">
        <v>314</v>
      </c>
      <c r="C628">
        <v>46494.583333333336</v>
      </c>
      <c r="D628" t="s">
        <v>236</v>
      </c>
      <c r="E628" t="s">
        <v>714</v>
      </c>
      <c r="F628" t="s">
        <v>1613</v>
      </c>
      <c r="G628">
        <v>3</v>
      </c>
      <c r="H628">
        <v>3</v>
      </c>
      <c r="I628">
        <v>9</v>
      </c>
      <c r="J628" s="17"/>
      <c r="K628" s="17"/>
      <c r="L628" s="19" t="str">
        <f t="shared" si="9"/>
        <v/>
      </c>
      <c r="M628" s="17">
        <v>1</v>
      </c>
      <c r="N628" s="17">
        <v>1</v>
      </c>
      <c r="P628" t="s">
        <v>1614</v>
      </c>
    </row>
    <row r="629" spans="1:16">
      <c r="A629">
        <v>32</v>
      </c>
      <c r="B629">
        <v>314</v>
      </c>
      <c r="C629">
        <v>46494.583333333336</v>
      </c>
      <c r="D629" t="s">
        <v>714</v>
      </c>
      <c r="E629" t="s">
        <v>236</v>
      </c>
      <c r="F629" t="s">
        <v>1615</v>
      </c>
      <c r="G629">
        <v>3</v>
      </c>
      <c r="H629">
        <v>9</v>
      </c>
      <c r="I629">
        <v>3</v>
      </c>
      <c r="J629" s="17"/>
      <c r="K629" s="17"/>
      <c r="L629" s="19" t="str">
        <f t="shared" si="9"/>
        <v/>
      </c>
      <c r="M629" s="17">
        <v>1</v>
      </c>
      <c r="N629" s="17">
        <v>1</v>
      </c>
      <c r="P629" t="s">
        <v>1614</v>
      </c>
    </row>
    <row r="630" spans="1:16">
      <c r="A630">
        <v>32</v>
      </c>
      <c r="B630">
        <v>315</v>
      </c>
      <c r="C630">
        <v>46494.583333333336</v>
      </c>
      <c r="D630" t="s">
        <v>1493</v>
      </c>
      <c r="E630" t="s">
        <v>777</v>
      </c>
      <c r="F630" t="s">
        <v>1613</v>
      </c>
      <c r="G630">
        <v>3</v>
      </c>
      <c r="H630">
        <v>20</v>
      </c>
      <c r="I630">
        <v>10</v>
      </c>
      <c r="J630" s="17"/>
      <c r="K630" s="17"/>
      <c r="L630" s="19" t="str">
        <f t="shared" si="9"/>
        <v/>
      </c>
      <c r="M630" s="17">
        <v>1</v>
      </c>
      <c r="N630" s="17">
        <v>1</v>
      </c>
      <c r="P630" t="s">
        <v>1614</v>
      </c>
    </row>
    <row r="631" spans="1:16">
      <c r="A631">
        <v>32</v>
      </c>
      <c r="B631">
        <v>315</v>
      </c>
      <c r="C631">
        <v>46494.583333333336</v>
      </c>
      <c r="D631" t="s">
        <v>777</v>
      </c>
      <c r="E631" t="s">
        <v>1493</v>
      </c>
      <c r="F631" t="s">
        <v>1615</v>
      </c>
      <c r="G631">
        <v>2</v>
      </c>
      <c r="H631">
        <v>10</v>
      </c>
      <c r="I631">
        <v>20</v>
      </c>
      <c r="J631" s="17"/>
      <c r="K631" s="17"/>
      <c r="L631" s="19" t="str">
        <f t="shared" si="9"/>
        <v/>
      </c>
      <c r="M631" s="17">
        <v>1</v>
      </c>
      <c r="N631" s="17">
        <v>1</v>
      </c>
      <c r="P631" t="s">
        <v>1614</v>
      </c>
    </row>
    <row r="632" spans="1:16">
      <c r="A632">
        <v>32</v>
      </c>
      <c r="B632">
        <v>316</v>
      </c>
      <c r="C632">
        <v>46494.583333333336</v>
      </c>
      <c r="D632" t="s">
        <v>567</v>
      </c>
      <c r="E632" t="s">
        <v>831</v>
      </c>
      <c r="F632" t="s">
        <v>1613</v>
      </c>
      <c r="G632">
        <v>2</v>
      </c>
      <c r="H632">
        <v>7</v>
      </c>
      <c r="I632">
        <v>11</v>
      </c>
      <c r="J632" s="17"/>
      <c r="K632" s="17"/>
      <c r="L632" s="19" t="str">
        <f t="shared" si="9"/>
        <v/>
      </c>
      <c r="M632" s="17">
        <v>1</v>
      </c>
      <c r="N632" s="17">
        <v>1</v>
      </c>
      <c r="P632" t="s">
        <v>1614</v>
      </c>
    </row>
    <row r="633" spans="1:16">
      <c r="A633">
        <v>32</v>
      </c>
      <c r="B633">
        <v>316</v>
      </c>
      <c r="C633">
        <v>46494.583333333336</v>
      </c>
      <c r="D633" t="s">
        <v>831</v>
      </c>
      <c r="E633" t="s">
        <v>567</v>
      </c>
      <c r="F633" t="s">
        <v>1615</v>
      </c>
      <c r="G633">
        <v>2</v>
      </c>
      <c r="H633">
        <v>11</v>
      </c>
      <c r="I633">
        <v>7</v>
      </c>
      <c r="J633" s="17"/>
      <c r="K633" s="17"/>
      <c r="L633" s="19" t="str">
        <f t="shared" si="9"/>
        <v/>
      </c>
      <c r="M633" s="17">
        <v>1</v>
      </c>
      <c r="N633" s="17">
        <v>1</v>
      </c>
      <c r="P633" t="s">
        <v>1614</v>
      </c>
    </row>
    <row r="634" spans="1:16">
      <c r="A634">
        <v>32</v>
      </c>
      <c r="B634">
        <v>317</v>
      </c>
      <c r="C634">
        <v>46494.583333333336</v>
      </c>
      <c r="D634" t="s">
        <v>1199</v>
      </c>
      <c r="E634" t="s">
        <v>903</v>
      </c>
      <c r="F634" t="s">
        <v>1613</v>
      </c>
      <c r="G634">
        <v>2</v>
      </c>
      <c r="H634">
        <v>16</v>
      </c>
      <c r="I634">
        <v>12</v>
      </c>
      <c r="J634" s="17"/>
      <c r="K634" s="17"/>
      <c r="L634" s="19" t="str">
        <f t="shared" si="9"/>
        <v/>
      </c>
      <c r="M634" s="17">
        <v>1</v>
      </c>
      <c r="N634" s="17">
        <v>1</v>
      </c>
      <c r="P634" t="s">
        <v>1614</v>
      </c>
    </row>
    <row r="635" spans="1:16">
      <c r="A635">
        <v>32</v>
      </c>
      <c r="B635">
        <v>317</v>
      </c>
      <c r="C635">
        <v>46494.583333333336</v>
      </c>
      <c r="D635" t="s">
        <v>903</v>
      </c>
      <c r="E635" t="s">
        <v>1199</v>
      </c>
      <c r="F635" t="s">
        <v>1615</v>
      </c>
      <c r="G635">
        <v>4</v>
      </c>
      <c r="H635">
        <v>12</v>
      </c>
      <c r="I635">
        <v>16</v>
      </c>
      <c r="J635" s="17"/>
      <c r="K635" s="17"/>
      <c r="L635" s="19" t="str">
        <f t="shared" si="9"/>
        <v/>
      </c>
      <c r="M635" s="17">
        <v>1</v>
      </c>
      <c r="N635" s="17">
        <v>1</v>
      </c>
      <c r="P635" t="s">
        <v>1614</v>
      </c>
    </row>
    <row r="636" spans="1:16">
      <c r="A636">
        <v>32</v>
      </c>
      <c r="B636">
        <v>318</v>
      </c>
      <c r="C636">
        <v>46494.583333333336</v>
      </c>
      <c r="D636" t="s">
        <v>639</v>
      </c>
      <c r="E636" t="s">
        <v>1126</v>
      </c>
      <c r="F636" t="s">
        <v>1613</v>
      </c>
      <c r="G636">
        <v>5</v>
      </c>
      <c r="H636">
        <v>8</v>
      </c>
      <c r="I636">
        <v>15</v>
      </c>
      <c r="J636" s="17"/>
      <c r="K636" s="17"/>
      <c r="L636" s="19" t="str">
        <f t="shared" si="9"/>
        <v/>
      </c>
      <c r="M636" s="17">
        <v>1</v>
      </c>
      <c r="N636" s="17">
        <v>1</v>
      </c>
      <c r="P636" t="s">
        <v>1614</v>
      </c>
    </row>
    <row r="637" spans="1:16">
      <c r="A637">
        <v>32</v>
      </c>
      <c r="B637">
        <v>318</v>
      </c>
      <c r="C637">
        <v>46494.583333333336</v>
      </c>
      <c r="D637" t="s">
        <v>1126</v>
      </c>
      <c r="E637" t="s">
        <v>639</v>
      </c>
      <c r="F637" t="s">
        <v>1615</v>
      </c>
      <c r="G637">
        <v>3</v>
      </c>
      <c r="H637">
        <v>15</v>
      </c>
      <c r="I637">
        <v>8</v>
      </c>
      <c r="J637" s="17"/>
      <c r="K637" s="17"/>
      <c r="L637" s="19" t="str">
        <f t="shared" si="9"/>
        <v/>
      </c>
      <c r="M637" s="17">
        <v>1</v>
      </c>
      <c r="N637" s="17">
        <v>1</v>
      </c>
      <c r="P637" t="s">
        <v>1614</v>
      </c>
    </row>
    <row r="638" spans="1:16">
      <c r="A638">
        <v>32</v>
      </c>
      <c r="B638">
        <v>319</v>
      </c>
      <c r="C638">
        <v>46494.583333333336</v>
      </c>
      <c r="D638" t="s">
        <v>1412</v>
      </c>
      <c r="E638" t="s">
        <v>1283</v>
      </c>
      <c r="F638" t="s">
        <v>1613</v>
      </c>
      <c r="G638">
        <v>3</v>
      </c>
      <c r="H638">
        <v>19</v>
      </c>
      <c r="I638">
        <v>17</v>
      </c>
      <c r="J638" s="17"/>
      <c r="K638" s="17"/>
      <c r="L638" s="19" t="str">
        <f t="shared" si="9"/>
        <v/>
      </c>
      <c r="M638" s="17">
        <v>1</v>
      </c>
      <c r="N638" s="17">
        <v>1</v>
      </c>
      <c r="P638" t="s">
        <v>1614</v>
      </c>
    </row>
    <row r="639" spans="1:16">
      <c r="A639">
        <v>32</v>
      </c>
      <c r="B639">
        <v>319</v>
      </c>
      <c r="C639">
        <v>46494.583333333336</v>
      </c>
      <c r="D639" t="s">
        <v>1283</v>
      </c>
      <c r="E639" t="s">
        <v>1412</v>
      </c>
      <c r="F639" t="s">
        <v>1615</v>
      </c>
      <c r="G639">
        <v>3</v>
      </c>
      <c r="H639">
        <v>17</v>
      </c>
      <c r="I639">
        <v>19</v>
      </c>
      <c r="J639" s="17"/>
      <c r="K639" s="17"/>
      <c r="L639" s="19" t="str">
        <f t="shared" si="9"/>
        <v/>
      </c>
      <c r="M639" s="17">
        <v>1</v>
      </c>
      <c r="N639" s="17">
        <v>1</v>
      </c>
      <c r="P639" t="s">
        <v>1614</v>
      </c>
    </row>
    <row r="640" spans="1:16">
      <c r="A640">
        <v>32</v>
      </c>
      <c r="B640">
        <v>320</v>
      </c>
      <c r="C640">
        <v>46494.583333333336</v>
      </c>
      <c r="D640" t="s">
        <v>1037</v>
      </c>
      <c r="E640" t="s">
        <v>1354</v>
      </c>
      <c r="F640" t="s">
        <v>1613</v>
      </c>
      <c r="G640">
        <v>3</v>
      </c>
      <c r="H640">
        <v>14</v>
      </c>
      <c r="I640">
        <v>18</v>
      </c>
      <c r="J640" s="17"/>
      <c r="K640" s="17"/>
      <c r="L640" s="19" t="str">
        <f t="shared" si="9"/>
        <v/>
      </c>
      <c r="M640" s="17">
        <v>1</v>
      </c>
      <c r="N640" s="17">
        <v>1</v>
      </c>
      <c r="P640" t="s">
        <v>1614</v>
      </c>
    </row>
    <row r="641" spans="1:16">
      <c r="A641">
        <v>32</v>
      </c>
      <c r="B641">
        <v>320</v>
      </c>
      <c r="C641">
        <v>46494.583333333336</v>
      </c>
      <c r="D641" t="s">
        <v>1354</v>
      </c>
      <c r="E641" t="s">
        <v>1037</v>
      </c>
      <c r="F641" t="s">
        <v>1615</v>
      </c>
      <c r="G641">
        <v>4</v>
      </c>
      <c r="H641">
        <v>18</v>
      </c>
      <c r="I641">
        <v>14</v>
      </c>
      <c r="J641" s="17"/>
      <c r="K641" s="17"/>
      <c r="L641" s="19" t="str">
        <f t="shared" si="9"/>
        <v/>
      </c>
      <c r="M641" s="17">
        <v>1</v>
      </c>
      <c r="N641" s="17">
        <v>1</v>
      </c>
      <c r="P641" t="s">
        <v>1614</v>
      </c>
    </row>
    <row r="642" spans="1:16">
      <c r="A642">
        <v>33</v>
      </c>
      <c r="B642">
        <v>321</v>
      </c>
      <c r="C642">
        <v>46501.583333333336</v>
      </c>
      <c r="D642" t="s">
        <v>567</v>
      </c>
      <c r="E642" t="s">
        <v>153</v>
      </c>
      <c r="F642" t="s">
        <v>1613</v>
      </c>
      <c r="G642">
        <v>4</v>
      </c>
      <c r="H642">
        <v>7</v>
      </c>
      <c r="I642">
        <v>2</v>
      </c>
      <c r="J642" s="17"/>
      <c r="K642" s="17"/>
      <c r="L642" s="19" t="str">
        <f t="shared" ref="L642:L705" si="10">IF(K642="","",EXP(-K642))</f>
        <v/>
      </c>
      <c r="M642" s="17">
        <v>1</v>
      </c>
      <c r="N642" s="17">
        <v>1</v>
      </c>
      <c r="P642" t="s">
        <v>1614</v>
      </c>
    </row>
    <row r="643" spans="1:16">
      <c r="A643">
        <v>33</v>
      </c>
      <c r="B643">
        <v>321</v>
      </c>
      <c r="C643">
        <v>46501.583333333336</v>
      </c>
      <c r="D643" t="s">
        <v>153</v>
      </c>
      <c r="E643" t="s">
        <v>567</v>
      </c>
      <c r="F643" t="s">
        <v>1615</v>
      </c>
      <c r="G643">
        <v>2</v>
      </c>
      <c r="H643">
        <v>2</v>
      </c>
      <c r="I643">
        <v>7</v>
      </c>
      <c r="J643" s="17"/>
      <c r="K643" s="17"/>
      <c r="L643" s="19" t="str">
        <f t="shared" si="10"/>
        <v/>
      </c>
      <c r="M643" s="17">
        <v>1</v>
      </c>
      <c r="N643" s="17">
        <v>1</v>
      </c>
      <c r="P643" t="s">
        <v>1614</v>
      </c>
    </row>
    <row r="644" spans="1:16">
      <c r="A644">
        <v>33</v>
      </c>
      <c r="B644">
        <v>322</v>
      </c>
      <c r="C644">
        <v>46501.583333333336</v>
      </c>
      <c r="D644" t="s">
        <v>64</v>
      </c>
      <c r="E644" t="s">
        <v>236</v>
      </c>
      <c r="F644" t="s">
        <v>1613</v>
      </c>
      <c r="G644">
        <v>3</v>
      </c>
      <c r="H644">
        <v>1</v>
      </c>
      <c r="I644">
        <v>3</v>
      </c>
      <c r="J644" s="17"/>
      <c r="K644" s="17"/>
      <c r="L644" s="19" t="str">
        <f t="shared" si="10"/>
        <v/>
      </c>
      <c r="M644" s="17">
        <v>1</v>
      </c>
      <c r="N644" s="17">
        <v>1</v>
      </c>
      <c r="P644" t="s">
        <v>1614</v>
      </c>
    </row>
    <row r="645" spans="1:16">
      <c r="A645">
        <v>33</v>
      </c>
      <c r="B645">
        <v>322</v>
      </c>
      <c r="C645">
        <v>46501.583333333336</v>
      </c>
      <c r="D645" t="s">
        <v>236</v>
      </c>
      <c r="E645" t="s">
        <v>64</v>
      </c>
      <c r="F645" t="s">
        <v>1615</v>
      </c>
      <c r="G645">
        <v>4</v>
      </c>
      <c r="H645">
        <v>3</v>
      </c>
      <c r="I645">
        <v>1</v>
      </c>
      <c r="J645" s="17"/>
      <c r="K645" s="17"/>
      <c r="L645" s="19" t="str">
        <f t="shared" si="10"/>
        <v/>
      </c>
      <c r="M645" s="17">
        <v>1</v>
      </c>
      <c r="N645" s="17">
        <v>1</v>
      </c>
      <c r="P645" t="s">
        <v>1614</v>
      </c>
    </row>
    <row r="646" spans="1:16">
      <c r="A646">
        <v>33</v>
      </c>
      <c r="B646">
        <v>323</v>
      </c>
      <c r="C646">
        <v>46501.583333333336</v>
      </c>
      <c r="D646" t="s">
        <v>777</v>
      </c>
      <c r="E646" t="s">
        <v>312</v>
      </c>
      <c r="F646" t="s">
        <v>1613</v>
      </c>
      <c r="G646">
        <v>3</v>
      </c>
      <c r="H646">
        <v>10</v>
      </c>
      <c r="I646">
        <v>4</v>
      </c>
      <c r="J646" s="17"/>
      <c r="K646" s="17"/>
      <c r="L646" s="19" t="str">
        <f t="shared" si="10"/>
        <v/>
      </c>
      <c r="M646" s="17">
        <v>1</v>
      </c>
      <c r="N646" s="17">
        <v>1</v>
      </c>
      <c r="P646" t="s">
        <v>1614</v>
      </c>
    </row>
    <row r="647" spans="1:16">
      <c r="A647">
        <v>33</v>
      </c>
      <c r="B647">
        <v>323</v>
      </c>
      <c r="C647">
        <v>46501.583333333336</v>
      </c>
      <c r="D647" t="s">
        <v>312</v>
      </c>
      <c r="E647" t="s">
        <v>777</v>
      </c>
      <c r="F647" t="s">
        <v>1615</v>
      </c>
      <c r="G647">
        <v>2</v>
      </c>
      <c r="H647">
        <v>4</v>
      </c>
      <c r="I647">
        <v>10</v>
      </c>
      <c r="J647" s="17"/>
      <c r="K647" s="17"/>
      <c r="L647" s="19" t="str">
        <f t="shared" si="10"/>
        <v/>
      </c>
      <c r="M647" s="17">
        <v>1</v>
      </c>
      <c r="N647" s="17">
        <v>1</v>
      </c>
      <c r="P647" t="s">
        <v>1614</v>
      </c>
    </row>
    <row r="648" spans="1:16">
      <c r="A648">
        <v>33</v>
      </c>
      <c r="B648">
        <v>324</v>
      </c>
      <c r="C648">
        <v>46501.583333333336</v>
      </c>
      <c r="D648" t="s">
        <v>1126</v>
      </c>
      <c r="E648" t="s">
        <v>474</v>
      </c>
      <c r="F648" t="s">
        <v>1613</v>
      </c>
      <c r="G648">
        <v>4</v>
      </c>
      <c r="H648">
        <v>15</v>
      </c>
      <c r="I648">
        <v>6</v>
      </c>
      <c r="J648" s="17"/>
      <c r="K648" s="17"/>
      <c r="L648" s="19" t="str">
        <f t="shared" si="10"/>
        <v/>
      </c>
      <c r="M648" s="17">
        <v>1</v>
      </c>
      <c r="N648" s="17">
        <v>1</v>
      </c>
      <c r="P648" t="s">
        <v>1614</v>
      </c>
    </row>
    <row r="649" spans="1:16">
      <c r="A649">
        <v>33</v>
      </c>
      <c r="B649">
        <v>324</v>
      </c>
      <c r="C649">
        <v>46501.583333333336</v>
      </c>
      <c r="D649" t="s">
        <v>474</v>
      </c>
      <c r="E649" t="s">
        <v>1126</v>
      </c>
      <c r="F649" t="s">
        <v>1615</v>
      </c>
      <c r="G649">
        <v>4</v>
      </c>
      <c r="H649">
        <v>6</v>
      </c>
      <c r="I649">
        <v>15</v>
      </c>
      <c r="J649" s="17"/>
      <c r="K649" s="17"/>
      <c r="L649" s="19" t="str">
        <f t="shared" si="10"/>
        <v/>
      </c>
      <c r="M649" s="17">
        <v>1</v>
      </c>
      <c r="N649" s="17">
        <v>1</v>
      </c>
      <c r="P649" t="s">
        <v>1614</v>
      </c>
    </row>
    <row r="650" spans="1:16">
      <c r="A650">
        <v>33</v>
      </c>
      <c r="B650">
        <v>325</v>
      </c>
      <c r="C650">
        <v>46501.583333333336</v>
      </c>
      <c r="D650" t="s">
        <v>390</v>
      </c>
      <c r="E650" t="s">
        <v>714</v>
      </c>
      <c r="F650" t="s">
        <v>1613</v>
      </c>
      <c r="G650">
        <v>3</v>
      </c>
      <c r="H650">
        <v>5</v>
      </c>
      <c r="I650">
        <v>9</v>
      </c>
      <c r="J650" s="17"/>
      <c r="K650" s="17"/>
      <c r="L650" s="19" t="str">
        <f t="shared" si="10"/>
        <v/>
      </c>
      <c r="M650" s="17">
        <v>1</v>
      </c>
      <c r="N650" s="17">
        <v>1</v>
      </c>
      <c r="P650" t="s">
        <v>1614</v>
      </c>
    </row>
    <row r="651" spans="1:16">
      <c r="A651">
        <v>33</v>
      </c>
      <c r="B651">
        <v>325</v>
      </c>
      <c r="C651">
        <v>46501.583333333336</v>
      </c>
      <c r="D651" t="s">
        <v>714</v>
      </c>
      <c r="E651" t="s">
        <v>390</v>
      </c>
      <c r="F651" t="s">
        <v>1615</v>
      </c>
      <c r="G651">
        <v>2</v>
      </c>
      <c r="H651">
        <v>9</v>
      </c>
      <c r="I651">
        <v>5</v>
      </c>
      <c r="J651" s="17"/>
      <c r="K651" s="17"/>
      <c r="L651" s="19" t="str">
        <f t="shared" si="10"/>
        <v/>
      </c>
      <c r="M651" s="17">
        <v>1</v>
      </c>
      <c r="N651" s="17">
        <v>1</v>
      </c>
      <c r="P651" t="s">
        <v>1614</v>
      </c>
    </row>
    <row r="652" spans="1:16">
      <c r="A652">
        <v>33</v>
      </c>
      <c r="B652">
        <v>326</v>
      </c>
      <c r="C652">
        <v>46501.583333333336</v>
      </c>
      <c r="D652" t="s">
        <v>1037</v>
      </c>
      <c r="E652" t="s">
        <v>978</v>
      </c>
      <c r="F652" t="s">
        <v>1613</v>
      </c>
      <c r="G652">
        <v>3</v>
      </c>
      <c r="H652">
        <v>14</v>
      </c>
      <c r="I652">
        <v>13</v>
      </c>
      <c r="J652" s="17"/>
      <c r="K652" s="17"/>
      <c r="L652" s="19" t="str">
        <f t="shared" si="10"/>
        <v/>
      </c>
      <c r="M652" s="17">
        <v>1</v>
      </c>
      <c r="N652" s="17">
        <v>1</v>
      </c>
      <c r="P652" t="s">
        <v>1614</v>
      </c>
    </row>
    <row r="653" spans="1:16">
      <c r="A653">
        <v>33</v>
      </c>
      <c r="B653">
        <v>326</v>
      </c>
      <c r="C653">
        <v>46501.583333333336</v>
      </c>
      <c r="D653" t="s">
        <v>978</v>
      </c>
      <c r="E653" t="s">
        <v>1037</v>
      </c>
      <c r="F653" t="s">
        <v>1615</v>
      </c>
      <c r="G653">
        <v>4</v>
      </c>
      <c r="H653">
        <v>13</v>
      </c>
      <c r="I653">
        <v>14</v>
      </c>
      <c r="J653" s="17"/>
      <c r="K653" s="17"/>
      <c r="L653" s="19" t="str">
        <f t="shared" si="10"/>
        <v/>
      </c>
      <c r="M653" s="17">
        <v>1</v>
      </c>
      <c r="N653" s="17">
        <v>1</v>
      </c>
      <c r="P653" t="s">
        <v>1614</v>
      </c>
    </row>
    <row r="654" spans="1:16">
      <c r="A654">
        <v>33</v>
      </c>
      <c r="B654">
        <v>327</v>
      </c>
      <c r="C654">
        <v>46501.583333333336</v>
      </c>
      <c r="D654" t="s">
        <v>639</v>
      </c>
      <c r="E654" t="s">
        <v>1199</v>
      </c>
      <c r="F654" t="s">
        <v>1613</v>
      </c>
      <c r="G654">
        <v>4</v>
      </c>
      <c r="H654">
        <v>8</v>
      </c>
      <c r="I654">
        <v>16</v>
      </c>
      <c r="J654" s="17"/>
      <c r="K654" s="17"/>
      <c r="L654" s="19" t="str">
        <f t="shared" si="10"/>
        <v/>
      </c>
      <c r="M654" s="17">
        <v>1</v>
      </c>
      <c r="N654" s="17">
        <v>1</v>
      </c>
      <c r="P654" t="s">
        <v>1614</v>
      </c>
    </row>
    <row r="655" spans="1:16">
      <c r="A655">
        <v>33</v>
      </c>
      <c r="B655">
        <v>327</v>
      </c>
      <c r="C655">
        <v>46501.583333333336</v>
      </c>
      <c r="D655" t="s">
        <v>1199</v>
      </c>
      <c r="E655" t="s">
        <v>639</v>
      </c>
      <c r="F655" t="s">
        <v>1615</v>
      </c>
      <c r="G655">
        <v>3</v>
      </c>
      <c r="H655">
        <v>16</v>
      </c>
      <c r="I655">
        <v>8</v>
      </c>
      <c r="J655" s="17"/>
      <c r="K655" s="17"/>
      <c r="L655" s="19" t="str">
        <f t="shared" si="10"/>
        <v/>
      </c>
      <c r="M655" s="17">
        <v>1</v>
      </c>
      <c r="N655" s="17">
        <v>1</v>
      </c>
      <c r="P655" t="s">
        <v>1614</v>
      </c>
    </row>
    <row r="656" spans="1:16">
      <c r="A656">
        <v>33</v>
      </c>
      <c r="B656">
        <v>328</v>
      </c>
      <c r="C656">
        <v>46501.583333333336</v>
      </c>
      <c r="D656" t="s">
        <v>903</v>
      </c>
      <c r="E656" t="s">
        <v>1283</v>
      </c>
      <c r="F656" t="s">
        <v>1613</v>
      </c>
      <c r="G656">
        <v>3</v>
      </c>
      <c r="H656">
        <v>12</v>
      </c>
      <c r="I656">
        <v>17</v>
      </c>
      <c r="J656" s="17"/>
      <c r="K656" s="17"/>
      <c r="L656" s="19" t="str">
        <f t="shared" si="10"/>
        <v/>
      </c>
      <c r="M656" s="17">
        <v>1</v>
      </c>
      <c r="N656" s="17">
        <v>1</v>
      </c>
      <c r="P656" t="s">
        <v>1614</v>
      </c>
    </row>
    <row r="657" spans="1:16">
      <c r="A657">
        <v>33</v>
      </c>
      <c r="B657">
        <v>328</v>
      </c>
      <c r="C657">
        <v>46501.583333333336</v>
      </c>
      <c r="D657" t="s">
        <v>1283</v>
      </c>
      <c r="E657" t="s">
        <v>903</v>
      </c>
      <c r="F657" t="s">
        <v>1615</v>
      </c>
      <c r="G657">
        <v>2</v>
      </c>
      <c r="H657">
        <v>17</v>
      </c>
      <c r="I657">
        <v>12</v>
      </c>
      <c r="J657" s="17"/>
      <c r="K657" s="17"/>
      <c r="L657" s="19" t="str">
        <f t="shared" si="10"/>
        <v/>
      </c>
      <c r="M657" s="17">
        <v>1</v>
      </c>
      <c r="N657" s="17">
        <v>1</v>
      </c>
      <c r="P657" t="s">
        <v>1614</v>
      </c>
    </row>
    <row r="658" spans="1:16">
      <c r="A658">
        <v>33</v>
      </c>
      <c r="B658">
        <v>329</v>
      </c>
      <c r="C658">
        <v>46501.583333333336</v>
      </c>
      <c r="D658" t="s">
        <v>1493</v>
      </c>
      <c r="E658" t="s">
        <v>1354</v>
      </c>
      <c r="F658" t="s">
        <v>1613</v>
      </c>
      <c r="G658">
        <v>3</v>
      </c>
      <c r="H658">
        <v>20</v>
      </c>
      <c r="I658">
        <v>18</v>
      </c>
      <c r="J658" s="17"/>
      <c r="K658" s="17"/>
      <c r="L658" s="19" t="str">
        <f t="shared" si="10"/>
        <v/>
      </c>
      <c r="M658" s="17">
        <v>1</v>
      </c>
      <c r="N658" s="17">
        <v>1</v>
      </c>
      <c r="P658" t="s">
        <v>1614</v>
      </c>
    </row>
    <row r="659" spans="1:16">
      <c r="A659">
        <v>33</v>
      </c>
      <c r="B659">
        <v>329</v>
      </c>
      <c r="C659">
        <v>46501.583333333336</v>
      </c>
      <c r="D659" t="s">
        <v>1354</v>
      </c>
      <c r="E659" t="s">
        <v>1493</v>
      </c>
      <c r="F659" t="s">
        <v>1615</v>
      </c>
      <c r="G659">
        <v>2</v>
      </c>
      <c r="H659">
        <v>18</v>
      </c>
      <c r="I659">
        <v>20</v>
      </c>
      <c r="J659" s="17"/>
      <c r="K659" s="17"/>
      <c r="L659" s="19" t="str">
        <f t="shared" si="10"/>
        <v/>
      </c>
      <c r="M659" s="17">
        <v>1</v>
      </c>
      <c r="N659" s="17">
        <v>1</v>
      </c>
      <c r="P659" t="s">
        <v>1614</v>
      </c>
    </row>
    <row r="660" spans="1:16">
      <c r="A660">
        <v>33</v>
      </c>
      <c r="B660">
        <v>330</v>
      </c>
      <c r="C660">
        <v>46501.583333333336</v>
      </c>
      <c r="D660" t="s">
        <v>831</v>
      </c>
      <c r="E660" t="s">
        <v>1412</v>
      </c>
      <c r="F660" t="s">
        <v>1613</v>
      </c>
      <c r="G660">
        <v>3</v>
      </c>
      <c r="H660">
        <v>11</v>
      </c>
      <c r="I660">
        <v>19</v>
      </c>
      <c r="J660" s="17"/>
      <c r="K660" s="17"/>
      <c r="L660" s="19" t="str">
        <f t="shared" si="10"/>
        <v/>
      </c>
      <c r="M660" s="17">
        <v>1</v>
      </c>
      <c r="N660" s="17">
        <v>1</v>
      </c>
      <c r="P660" t="s">
        <v>1614</v>
      </c>
    </row>
    <row r="661" spans="1:16">
      <c r="A661">
        <v>33</v>
      </c>
      <c r="B661">
        <v>330</v>
      </c>
      <c r="C661">
        <v>46501.583333333336</v>
      </c>
      <c r="D661" t="s">
        <v>1412</v>
      </c>
      <c r="E661" t="s">
        <v>831</v>
      </c>
      <c r="F661" t="s">
        <v>1615</v>
      </c>
      <c r="G661">
        <v>2</v>
      </c>
      <c r="H661">
        <v>19</v>
      </c>
      <c r="I661">
        <v>11</v>
      </c>
      <c r="J661" s="17"/>
      <c r="K661" s="17"/>
      <c r="L661" s="19" t="str">
        <f t="shared" si="10"/>
        <v/>
      </c>
      <c r="M661" s="17">
        <v>1</v>
      </c>
      <c r="N661" s="17">
        <v>1</v>
      </c>
      <c r="P661" t="s">
        <v>1614</v>
      </c>
    </row>
    <row r="662" spans="1:16">
      <c r="A662">
        <v>34</v>
      </c>
      <c r="B662">
        <v>331</v>
      </c>
      <c r="C662">
        <v>46508.583333333336</v>
      </c>
      <c r="D662" t="s">
        <v>1412</v>
      </c>
      <c r="E662" t="s">
        <v>64</v>
      </c>
      <c r="F662" t="s">
        <v>1613</v>
      </c>
      <c r="G662">
        <v>5</v>
      </c>
      <c r="H662">
        <v>19</v>
      </c>
      <c r="I662">
        <v>1</v>
      </c>
      <c r="J662" s="17"/>
      <c r="K662" s="17"/>
      <c r="L662" s="19" t="str">
        <f t="shared" si="10"/>
        <v/>
      </c>
      <c r="M662" s="17">
        <v>1</v>
      </c>
      <c r="N662" s="17">
        <v>1</v>
      </c>
      <c r="P662" t="s">
        <v>1614</v>
      </c>
    </row>
    <row r="663" spans="1:16">
      <c r="A663">
        <v>34</v>
      </c>
      <c r="B663">
        <v>331</v>
      </c>
      <c r="C663">
        <v>46508.583333333336</v>
      </c>
      <c r="D663" t="s">
        <v>64</v>
      </c>
      <c r="E663" t="s">
        <v>1412</v>
      </c>
      <c r="F663" t="s">
        <v>1615</v>
      </c>
      <c r="G663">
        <v>3</v>
      </c>
      <c r="H663">
        <v>1</v>
      </c>
      <c r="I663">
        <v>19</v>
      </c>
      <c r="J663" s="17"/>
      <c r="K663" s="17"/>
      <c r="L663" s="19" t="str">
        <f t="shared" si="10"/>
        <v/>
      </c>
      <c r="M663" s="17">
        <v>1</v>
      </c>
      <c r="N663" s="17">
        <v>1</v>
      </c>
      <c r="P663" t="s">
        <v>1614</v>
      </c>
    </row>
    <row r="664" spans="1:16">
      <c r="A664">
        <v>34</v>
      </c>
      <c r="B664">
        <v>332</v>
      </c>
      <c r="C664">
        <v>46508.583333333336</v>
      </c>
      <c r="D664" t="s">
        <v>1354</v>
      </c>
      <c r="E664" t="s">
        <v>390</v>
      </c>
      <c r="F664" t="s">
        <v>1613</v>
      </c>
      <c r="G664">
        <v>3</v>
      </c>
      <c r="H664">
        <v>18</v>
      </c>
      <c r="I664">
        <v>5</v>
      </c>
      <c r="J664" s="17"/>
      <c r="K664" s="17"/>
      <c r="L664" s="19" t="str">
        <f t="shared" si="10"/>
        <v/>
      </c>
      <c r="M664" s="17">
        <v>1</v>
      </c>
      <c r="N664" s="17">
        <v>1</v>
      </c>
      <c r="P664" t="s">
        <v>1614</v>
      </c>
    </row>
    <row r="665" spans="1:16">
      <c r="A665">
        <v>34</v>
      </c>
      <c r="B665">
        <v>332</v>
      </c>
      <c r="C665">
        <v>46508.583333333336</v>
      </c>
      <c r="D665" t="s">
        <v>390</v>
      </c>
      <c r="E665" t="s">
        <v>1354</v>
      </c>
      <c r="F665" t="s">
        <v>1615</v>
      </c>
      <c r="G665">
        <v>3</v>
      </c>
      <c r="H665">
        <v>5</v>
      </c>
      <c r="I665">
        <v>18</v>
      </c>
      <c r="J665" s="17"/>
      <c r="K665" s="17"/>
      <c r="L665" s="19" t="str">
        <f t="shared" si="10"/>
        <v/>
      </c>
      <c r="M665" s="17">
        <v>1</v>
      </c>
      <c r="N665" s="17">
        <v>1</v>
      </c>
      <c r="P665" t="s">
        <v>1614</v>
      </c>
    </row>
    <row r="666" spans="1:16">
      <c r="A666">
        <v>34</v>
      </c>
      <c r="B666">
        <v>333</v>
      </c>
      <c r="C666">
        <v>46508.583333333336</v>
      </c>
      <c r="D666" t="s">
        <v>1199</v>
      </c>
      <c r="E666" t="s">
        <v>567</v>
      </c>
      <c r="F666" t="s">
        <v>1613</v>
      </c>
      <c r="G666">
        <v>2</v>
      </c>
      <c r="H666">
        <v>16</v>
      </c>
      <c r="I666">
        <v>7</v>
      </c>
      <c r="J666" s="17"/>
      <c r="K666" s="17"/>
      <c r="L666" s="19" t="str">
        <f t="shared" si="10"/>
        <v/>
      </c>
      <c r="M666" s="17">
        <v>1</v>
      </c>
      <c r="N666" s="17">
        <v>1</v>
      </c>
      <c r="P666" t="s">
        <v>1614</v>
      </c>
    </row>
    <row r="667" spans="1:16">
      <c r="A667">
        <v>34</v>
      </c>
      <c r="B667">
        <v>333</v>
      </c>
      <c r="C667">
        <v>46508.583333333336</v>
      </c>
      <c r="D667" t="s">
        <v>567</v>
      </c>
      <c r="E667" t="s">
        <v>1199</v>
      </c>
      <c r="F667" t="s">
        <v>1615</v>
      </c>
      <c r="G667">
        <v>4</v>
      </c>
      <c r="H667">
        <v>7</v>
      </c>
      <c r="I667">
        <v>16</v>
      </c>
      <c r="J667" s="17"/>
      <c r="K667" s="17"/>
      <c r="L667" s="19" t="str">
        <f t="shared" si="10"/>
        <v/>
      </c>
      <c r="M667" s="17">
        <v>1</v>
      </c>
      <c r="N667" s="17">
        <v>1</v>
      </c>
      <c r="P667" t="s">
        <v>1614</v>
      </c>
    </row>
    <row r="668" spans="1:16">
      <c r="A668">
        <v>34</v>
      </c>
      <c r="B668">
        <v>334</v>
      </c>
      <c r="C668">
        <v>46508.583333333336</v>
      </c>
      <c r="D668" t="s">
        <v>153</v>
      </c>
      <c r="E668" t="s">
        <v>639</v>
      </c>
      <c r="F668" t="s">
        <v>1613</v>
      </c>
      <c r="G668">
        <v>3</v>
      </c>
      <c r="H668">
        <v>2</v>
      </c>
      <c r="I668">
        <v>8</v>
      </c>
      <c r="J668" s="17"/>
      <c r="K668" s="17"/>
      <c r="L668" s="19" t="str">
        <f t="shared" si="10"/>
        <v/>
      </c>
      <c r="M668" s="17">
        <v>1</v>
      </c>
      <c r="N668" s="17">
        <v>1</v>
      </c>
      <c r="P668" t="s">
        <v>1614</v>
      </c>
    </row>
    <row r="669" spans="1:16">
      <c r="A669">
        <v>34</v>
      </c>
      <c r="B669">
        <v>334</v>
      </c>
      <c r="C669">
        <v>46508.583333333336</v>
      </c>
      <c r="D669" t="s">
        <v>639</v>
      </c>
      <c r="E669" t="s">
        <v>153</v>
      </c>
      <c r="F669" t="s">
        <v>1615</v>
      </c>
      <c r="G669">
        <v>3</v>
      </c>
      <c r="H669">
        <v>8</v>
      </c>
      <c r="I669">
        <v>2</v>
      </c>
      <c r="J669" s="17"/>
      <c r="K669" s="17"/>
      <c r="L669" s="19" t="str">
        <f t="shared" si="10"/>
        <v/>
      </c>
      <c r="M669" s="17">
        <v>1</v>
      </c>
      <c r="N669" s="17">
        <v>1</v>
      </c>
      <c r="P669" t="s">
        <v>1614</v>
      </c>
    </row>
    <row r="670" spans="1:16">
      <c r="A670">
        <v>34</v>
      </c>
      <c r="B670">
        <v>335</v>
      </c>
      <c r="C670">
        <v>46508.583333333336</v>
      </c>
      <c r="D670" t="s">
        <v>714</v>
      </c>
      <c r="E670" t="s">
        <v>777</v>
      </c>
      <c r="F670" t="s">
        <v>1613</v>
      </c>
      <c r="G670">
        <v>3</v>
      </c>
      <c r="H670">
        <v>9</v>
      </c>
      <c r="I670">
        <v>10</v>
      </c>
      <c r="J670" s="17"/>
      <c r="K670" s="17"/>
      <c r="L670" s="19" t="str">
        <f t="shared" si="10"/>
        <v/>
      </c>
      <c r="M670" s="17">
        <v>1</v>
      </c>
      <c r="N670" s="17">
        <v>1</v>
      </c>
      <c r="P670" t="s">
        <v>1614</v>
      </c>
    </row>
    <row r="671" spans="1:16">
      <c r="A671">
        <v>34</v>
      </c>
      <c r="B671">
        <v>335</v>
      </c>
      <c r="C671">
        <v>46508.583333333336</v>
      </c>
      <c r="D671" t="s">
        <v>777</v>
      </c>
      <c r="E671" t="s">
        <v>714</v>
      </c>
      <c r="F671" t="s">
        <v>1615</v>
      </c>
      <c r="G671">
        <v>3</v>
      </c>
      <c r="H671">
        <v>10</v>
      </c>
      <c r="I671">
        <v>9</v>
      </c>
      <c r="J671" s="17"/>
      <c r="K671" s="17"/>
      <c r="L671" s="19" t="str">
        <f t="shared" si="10"/>
        <v/>
      </c>
      <c r="M671" s="17">
        <v>1</v>
      </c>
      <c r="N671" s="17">
        <v>1</v>
      </c>
      <c r="P671" t="s">
        <v>1614</v>
      </c>
    </row>
    <row r="672" spans="1:16">
      <c r="A672">
        <v>34</v>
      </c>
      <c r="B672">
        <v>336</v>
      </c>
      <c r="C672">
        <v>46508.583333333336</v>
      </c>
      <c r="D672" t="s">
        <v>236</v>
      </c>
      <c r="E672" t="s">
        <v>831</v>
      </c>
      <c r="F672" t="s">
        <v>1613</v>
      </c>
      <c r="G672">
        <v>2</v>
      </c>
      <c r="H672">
        <v>3</v>
      </c>
      <c r="I672">
        <v>11</v>
      </c>
      <c r="J672" s="17"/>
      <c r="K672" s="17"/>
      <c r="L672" s="19" t="str">
        <f t="shared" si="10"/>
        <v/>
      </c>
      <c r="M672" s="17">
        <v>1</v>
      </c>
      <c r="N672" s="17">
        <v>1</v>
      </c>
      <c r="P672" t="s">
        <v>1614</v>
      </c>
    </row>
    <row r="673" spans="1:16">
      <c r="A673">
        <v>34</v>
      </c>
      <c r="B673">
        <v>336</v>
      </c>
      <c r="C673">
        <v>46508.583333333336</v>
      </c>
      <c r="D673" t="s">
        <v>831</v>
      </c>
      <c r="E673" t="s">
        <v>236</v>
      </c>
      <c r="F673" t="s">
        <v>1615</v>
      </c>
      <c r="G673">
        <v>3</v>
      </c>
      <c r="H673">
        <v>11</v>
      </c>
      <c r="I673">
        <v>3</v>
      </c>
      <c r="J673" s="17"/>
      <c r="K673" s="17"/>
      <c r="L673" s="19" t="str">
        <f t="shared" si="10"/>
        <v/>
      </c>
      <c r="M673" s="17">
        <v>1</v>
      </c>
      <c r="N673" s="17">
        <v>1</v>
      </c>
      <c r="P673" t="s">
        <v>1614</v>
      </c>
    </row>
    <row r="674" spans="1:16">
      <c r="A674">
        <v>34</v>
      </c>
      <c r="B674">
        <v>337</v>
      </c>
      <c r="C674">
        <v>46508.583333333336</v>
      </c>
      <c r="D674" t="s">
        <v>978</v>
      </c>
      <c r="E674" t="s">
        <v>903</v>
      </c>
      <c r="F674" t="s">
        <v>1613</v>
      </c>
      <c r="G674">
        <v>2</v>
      </c>
      <c r="H674">
        <v>13</v>
      </c>
      <c r="I674">
        <v>12</v>
      </c>
      <c r="J674" s="17"/>
      <c r="K674" s="17"/>
      <c r="L674" s="19" t="str">
        <f t="shared" si="10"/>
        <v/>
      </c>
      <c r="M674" s="17">
        <v>1</v>
      </c>
      <c r="N674" s="17">
        <v>1</v>
      </c>
      <c r="P674" t="s">
        <v>1614</v>
      </c>
    </row>
    <row r="675" spans="1:16">
      <c r="A675">
        <v>34</v>
      </c>
      <c r="B675">
        <v>337</v>
      </c>
      <c r="C675">
        <v>46508.583333333336</v>
      </c>
      <c r="D675" t="s">
        <v>903</v>
      </c>
      <c r="E675" t="s">
        <v>978</v>
      </c>
      <c r="F675" t="s">
        <v>1615</v>
      </c>
      <c r="G675">
        <v>2</v>
      </c>
      <c r="H675">
        <v>12</v>
      </c>
      <c r="I675">
        <v>13</v>
      </c>
      <c r="J675" s="17"/>
      <c r="K675" s="17"/>
      <c r="L675" s="19" t="str">
        <f t="shared" si="10"/>
        <v/>
      </c>
      <c r="M675" s="17">
        <v>1</v>
      </c>
      <c r="N675" s="17">
        <v>1</v>
      </c>
      <c r="P675" t="s">
        <v>1614</v>
      </c>
    </row>
    <row r="676" spans="1:16">
      <c r="A676">
        <v>34</v>
      </c>
      <c r="B676">
        <v>338</v>
      </c>
      <c r="C676">
        <v>46508.583333333336</v>
      </c>
      <c r="D676" t="s">
        <v>474</v>
      </c>
      <c r="E676" t="s">
        <v>1037</v>
      </c>
      <c r="F676" t="s">
        <v>1613</v>
      </c>
      <c r="G676">
        <v>4</v>
      </c>
      <c r="H676">
        <v>6</v>
      </c>
      <c r="I676">
        <v>14</v>
      </c>
      <c r="J676" s="17"/>
      <c r="K676" s="17"/>
      <c r="L676" s="19" t="str">
        <f t="shared" si="10"/>
        <v/>
      </c>
      <c r="M676" s="17">
        <v>1</v>
      </c>
      <c r="N676" s="17">
        <v>1</v>
      </c>
      <c r="P676" t="s">
        <v>1614</v>
      </c>
    </row>
    <row r="677" spans="1:16">
      <c r="A677">
        <v>34</v>
      </c>
      <c r="B677">
        <v>338</v>
      </c>
      <c r="C677">
        <v>46508.583333333336</v>
      </c>
      <c r="D677" t="s">
        <v>1037</v>
      </c>
      <c r="E677" t="s">
        <v>474</v>
      </c>
      <c r="F677" t="s">
        <v>1615</v>
      </c>
      <c r="G677">
        <v>4</v>
      </c>
      <c r="H677">
        <v>14</v>
      </c>
      <c r="I677">
        <v>6</v>
      </c>
      <c r="J677" s="17"/>
      <c r="K677" s="17"/>
      <c r="L677" s="19" t="str">
        <f t="shared" si="10"/>
        <v/>
      </c>
      <c r="M677" s="17">
        <v>1</v>
      </c>
      <c r="N677" s="17">
        <v>1</v>
      </c>
      <c r="P677" t="s">
        <v>1614</v>
      </c>
    </row>
    <row r="678" spans="1:16">
      <c r="A678">
        <v>34</v>
      </c>
      <c r="B678">
        <v>339</v>
      </c>
      <c r="C678">
        <v>46508.583333333336</v>
      </c>
      <c r="D678" t="s">
        <v>312</v>
      </c>
      <c r="E678" t="s">
        <v>1126</v>
      </c>
      <c r="F678" t="s">
        <v>1613</v>
      </c>
      <c r="G678">
        <v>5</v>
      </c>
      <c r="H678">
        <v>4</v>
      </c>
      <c r="I678">
        <v>15</v>
      </c>
      <c r="J678" s="17"/>
      <c r="K678" s="17"/>
      <c r="L678" s="19" t="str">
        <f t="shared" si="10"/>
        <v/>
      </c>
      <c r="M678" s="17">
        <v>1</v>
      </c>
      <c r="N678" s="17">
        <v>1</v>
      </c>
      <c r="P678" t="s">
        <v>1614</v>
      </c>
    </row>
    <row r="679" spans="1:16">
      <c r="A679">
        <v>34</v>
      </c>
      <c r="B679">
        <v>339</v>
      </c>
      <c r="C679">
        <v>46508.583333333336</v>
      </c>
      <c r="D679" t="s">
        <v>1126</v>
      </c>
      <c r="E679" t="s">
        <v>312</v>
      </c>
      <c r="F679" t="s">
        <v>1615</v>
      </c>
      <c r="G679">
        <v>3</v>
      </c>
      <c r="H679">
        <v>15</v>
      </c>
      <c r="I679">
        <v>4</v>
      </c>
      <c r="J679" s="17"/>
      <c r="K679" s="17"/>
      <c r="L679" s="19" t="str">
        <f t="shared" si="10"/>
        <v/>
      </c>
      <c r="M679" s="17">
        <v>1</v>
      </c>
      <c r="N679" s="17">
        <v>1</v>
      </c>
      <c r="P679" t="s">
        <v>1614</v>
      </c>
    </row>
    <row r="680" spans="1:16">
      <c r="A680">
        <v>34</v>
      </c>
      <c r="B680">
        <v>340</v>
      </c>
      <c r="C680">
        <v>46508.583333333336</v>
      </c>
      <c r="D680" t="s">
        <v>1283</v>
      </c>
      <c r="E680" t="s">
        <v>1493</v>
      </c>
      <c r="F680" t="s">
        <v>1613</v>
      </c>
      <c r="G680">
        <v>3</v>
      </c>
      <c r="H680">
        <v>17</v>
      </c>
      <c r="I680">
        <v>20</v>
      </c>
      <c r="J680" s="17"/>
      <c r="K680" s="17"/>
      <c r="L680" s="19" t="str">
        <f t="shared" si="10"/>
        <v/>
      </c>
      <c r="M680" s="17">
        <v>1</v>
      </c>
      <c r="N680" s="17">
        <v>1</v>
      </c>
      <c r="P680" t="s">
        <v>1614</v>
      </c>
    </row>
    <row r="681" spans="1:16">
      <c r="A681">
        <v>34</v>
      </c>
      <c r="B681">
        <v>340</v>
      </c>
      <c r="C681">
        <v>46508.583333333336</v>
      </c>
      <c r="D681" t="s">
        <v>1493</v>
      </c>
      <c r="E681" t="s">
        <v>1283</v>
      </c>
      <c r="F681" t="s">
        <v>1615</v>
      </c>
      <c r="G681">
        <v>2</v>
      </c>
      <c r="H681">
        <v>20</v>
      </c>
      <c r="I681">
        <v>17</v>
      </c>
      <c r="J681" s="17"/>
      <c r="K681" s="17"/>
      <c r="L681" s="19" t="str">
        <f t="shared" si="10"/>
        <v/>
      </c>
      <c r="M681" s="17">
        <v>1</v>
      </c>
      <c r="N681" s="17">
        <v>1</v>
      </c>
      <c r="P681" t="s">
        <v>1614</v>
      </c>
    </row>
    <row r="682" spans="1:16">
      <c r="A682">
        <v>35</v>
      </c>
      <c r="B682">
        <v>341</v>
      </c>
      <c r="C682">
        <v>46515.583333333336</v>
      </c>
      <c r="D682" t="s">
        <v>1199</v>
      </c>
      <c r="E682" t="s">
        <v>236</v>
      </c>
      <c r="F682" t="s">
        <v>1613</v>
      </c>
      <c r="G682">
        <v>3</v>
      </c>
      <c r="H682">
        <v>16</v>
      </c>
      <c r="I682">
        <v>3</v>
      </c>
      <c r="J682" s="17"/>
      <c r="K682" s="17"/>
      <c r="L682" s="19" t="str">
        <f t="shared" si="10"/>
        <v/>
      </c>
      <c r="M682" s="17">
        <v>1</v>
      </c>
      <c r="N682" s="17">
        <v>1</v>
      </c>
      <c r="P682" t="s">
        <v>1614</v>
      </c>
    </row>
    <row r="683" spans="1:16">
      <c r="A683">
        <v>35</v>
      </c>
      <c r="B683">
        <v>341</v>
      </c>
      <c r="C683">
        <v>46515.583333333336</v>
      </c>
      <c r="D683" t="s">
        <v>236</v>
      </c>
      <c r="E683" t="s">
        <v>1199</v>
      </c>
      <c r="F683" t="s">
        <v>1615</v>
      </c>
      <c r="G683">
        <v>4</v>
      </c>
      <c r="H683">
        <v>3</v>
      </c>
      <c r="I683">
        <v>16</v>
      </c>
      <c r="J683" s="17"/>
      <c r="K683" s="17"/>
      <c r="L683" s="19" t="str">
        <f t="shared" si="10"/>
        <v/>
      </c>
      <c r="M683" s="17">
        <v>1</v>
      </c>
      <c r="N683" s="17">
        <v>1</v>
      </c>
      <c r="P683" t="s">
        <v>1614</v>
      </c>
    </row>
    <row r="684" spans="1:16">
      <c r="A684">
        <v>35</v>
      </c>
      <c r="B684">
        <v>342</v>
      </c>
      <c r="C684">
        <v>46515.583333333336</v>
      </c>
      <c r="D684" t="s">
        <v>153</v>
      </c>
      <c r="E684" t="s">
        <v>312</v>
      </c>
      <c r="F684" t="s">
        <v>1613</v>
      </c>
      <c r="G684">
        <v>3</v>
      </c>
      <c r="H684">
        <v>2</v>
      </c>
      <c r="I684">
        <v>4</v>
      </c>
      <c r="J684" s="17"/>
      <c r="K684" s="17"/>
      <c r="L684" s="19" t="str">
        <f t="shared" si="10"/>
        <v/>
      </c>
      <c r="M684" s="17">
        <v>1</v>
      </c>
      <c r="N684" s="17">
        <v>1</v>
      </c>
      <c r="P684" t="s">
        <v>1614</v>
      </c>
    </row>
    <row r="685" spans="1:16">
      <c r="A685">
        <v>35</v>
      </c>
      <c r="B685">
        <v>342</v>
      </c>
      <c r="C685">
        <v>46515.583333333336</v>
      </c>
      <c r="D685" t="s">
        <v>312</v>
      </c>
      <c r="E685" t="s">
        <v>153</v>
      </c>
      <c r="F685" t="s">
        <v>1615</v>
      </c>
      <c r="G685">
        <v>3</v>
      </c>
      <c r="H685">
        <v>4</v>
      </c>
      <c r="I685">
        <v>2</v>
      </c>
      <c r="J685" s="17"/>
      <c r="K685" s="17"/>
      <c r="L685" s="19" t="str">
        <f t="shared" si="10"/>
        <v/>
      </c>
      <c r="M685" s="17">
        <v>1</v>
      </c>
      <c r="N685" s="17">
        <v>1</v>
      </c>
      <c r="P685" t="s">
        <v>1614</v>
      </c>
    </row>
    <row r="686" spans="1:16">
      <c r="A686">
        <v>35</v>
      </c>
      <c r="B686">
        <v>343</v>
      </c>
      <c r="C686">
        <v>46515.583333333336</v>
      </c>
      <c r="D686" t="s">
        <v>1493</v>
      </c>
      <c r="E686" t="s">
        <v>390</v>
      </c>
      <c r="F686" t="s">
        <v>1613</v>
      </c>
      <c r="G686">
        <v>3</v>
      </c>
      <c r="H686">
        <v>20</v>
      </c>
      <c r="I686">
        <v>5</v>
      </c>
      <c r="J686" s="17"/>
      <c r="K686" s="17"/>
      <c r="L686" s="19" t="str">
        <f t="shared" si="10"/>
        <v/>
      </c>
      <c r="M686" s="17">
        <v>1</v>
      </c>
      <c r="N686" s="17">
        <v>1</v>
      </c>
      <c r="P686" t="s">
        <v>1614</v>
      </c>
    </row>
    <row r="687" spans="1:16">
      <c r="A687">
        <v>35</v>
      </c>
      <c r="B687">
        <v>343</v>
      </c>
      <c r="C687">
        <v>46515.583333333336</v>
      </c>
      <c r="D687" t="s">
        <v>390</v>
      </c>
      <c r="E687" t="s">
        <v>1493</v>
      </c>
      <c r="F687" t="s">
        <v>1615</v>
      </c>
      <c r="G687">
        <v>2</v>
      </c>
      <c r="H687">
        <v>5</v>
      </c>
      <c r="I687">
        <v>20</v>
      </c>
      <c r="J687" s="17"/>
      <c r="K687" s="17"/>
      <c r="L687" s="19" t="str">
        <f t="shared" si="10"/>
        <v/>
      </c>
      <c r="M687" s="17">
        <v>1</v>
      </c>
      <c r="N687" s="17">
        <v>1</v>
      </c>
      <c r="P687" t="s">
        <v>1614</v>
      </c>
    </row>
    <row r="688" spans="1:16">
      <c r="A688">
        <v>35</v>
      </c>
      <c r="B688">
        <v>344</v>
      </c>
      <c r="C688">
        <v>46515.583333333336</v>
      </c>
      <c r="D688" t="s">
        <v>831</v>
      </c>
      <c r="E688" t="s">
        <v>714</v>
      </c>
      <c r="F688" t="s">
        <v>1613</v>
      </c>
      <c r="G688">
        <v>3</v>
      </c>
      <c r="H688">
        <v>11</v>
      </c>
      <c r="I688">
        <v>9</v>
      </c>
      <c r="J688" s="17"/>
      <c r="K688" s="17"/>
      <c r="L688" s="19" t="str">
        <f t="shared" si="10"/>
        <v/>
      </c>
      <c r="M688" s="17">
        <v>1</v>
      </c>
      <c r="N688" s="17">
        <v>1</v>
      </c>
      <c r="P688" t="s">
        <v>1614</v>
      </c>
    </row>
    <row r="689" spans="1:16">
      <c r="A689">
        <v>35</v>
      </c>
      <c r="B689">
        <v>344</v>
      </c>
      <c r="C689">
        <v>46515.583333333336</v>
      </c>
      <c r="D689" t="s">
        <v>714</v>
      </c>
      <c r="E689" t="s">
        <v>831</v>
      </c>
      <c r="F689" t="s">
        <v>1615</v>
      </c>
      <c r="G689">
        <v>2</v>
      </c>
      <c r="H689">
        <v>9</v>
      </c>
      <c r="I689">
        <v>11</v>
      </c>
      <c r="J689" s="17"/>
      <c r="K689" s="17"/>
      <c r="L689" s="19" t="str">
        <f t="shared" si="10"/>
        <v/>
      </c>
      <c r="M689" s="17">
        <v>1</v>
      </c>
      <c r="N689" s="17">
        <v>1</v>
      </c>
      <c r="P689" t="s">
        <v>1614</v>
      </c>
    </row>
    <row r="690" spans="1:16">
      <c r="A690">
        <v>35</v>
      </c>
      <c r="B690">
        <v>345</v>
      </c>
      <c r="C690">
        <v>46515.583333333336</v>
      </c>
      <c r="D690" t="s">
        <v>903</v>
      </c>
      <c r="E690" t="s">
        <v>777</v>
      </c>
      <c r="F690" t="s">
        <v>1613</v>
      </c>
      <c r="G690">
        <v>3</v>
      </c>
      <c r="H690">
        <v>12</v>
      </c>
      <c r="I690">
        <v>10</v>
      </c>
      <c r="J690" s="17"/>
      <c r="K690" s="17"/>
      <c r="L690" s="19" t="str">
        <f t="shared" si="10"/>
        <v/>
      </c>
      <c r="M690" s="17">
        <v>1</v>
      </c>
      <c r="N690" s="17">
        <v>1</v>
      </c>
      <c r="P690" t="s">
        <v>1614</v>
      </c>
    </row>
    <row r="691" spans="1:16">
      <c r="A691">
        <v>35</v>
      </c>
      <c r="B691">
        <v>345</v>
      </c>
      <c r="C691">
        <v>46515.583333333336</v>
      </c>
      <c r="D691" t="s">
        <v>777</v>
      </c>
      <c r="E691" t="s">
        <v>903</v>
      </c>
      <c r="F691" t="s">
        <v>1615</v>
      </c>
      <c r="G691">
        <v>2</v>
      </c>
      <c r="H691">
        <v>10</v>
      </c>
      <c r="I691">
        <v>12</v>
      </c>
      <c r="J691" s="17"/>
      <c r="K691" s="17"/>
      <c r="L691" s="19" t="str">
        <f t="shared" si="10"/>
        <v/>
      </c>
      <c r="M691" s="17">
        <v>1</v>
      </c>
      <c r="N691" s="17">
        <v>1</v>
      </c>
      <c r="P691" t="s">
        <v>1614</v>
      </c>
    </row>
    <row r="692" spans="1:16">
      <c r="A692">
        <v>35</v>
      </c>
      <c r="B692">
        <v>346</v>
      </c>
      <c r="C692">
        <v>46515.583333333336</v>
      </c>
      <c r="D692" t="s">
        <v>64</v>
      </c>
      <c r="E692" t="s">
        <v>978</v>
      </c>
      <c r="F692" t="s">
        <v>1613</v>
      </c>
      <c r="G692">
        <v>3</v>
      </c>
      <c r="H692">
        <v>1</v>
      </c>
      <c r="I692">
        <v>13</v>
      </c>
      <c r="J692" s="17"/>
      <c r="K692" s="17"/>
      <c r="L692" s="19" t="str">
        <f t="shared" si="10"/>
        <v/>
      </c>
      <c r="M692" s="17">
        <v>1</v>
      </c>
      <c r="N692" s="17">
        <v>1</v>
      </c>
      <c r="P692" t="s">
        <v>1614</v>
      </c>
    </row>
    <row r="693" spans="1:16">
      <c r="A693">
        <v>35</v>
      </c>
      <c r="B693">
        <v>346</v>
      </c>
      <c r="C693">
        <v>46515.583333333336</v>
      </c>
      <c r="D693" t="s">
        <v>978</v>
      </c>
      <c r="E693" t="s">
        <v>64</v>
      </c>
      <c r="F693" t="s">
        <v>1615</v>
      </c>
      <c r="G693">
        <v>4</v>
      </c>
      <c r="H693">
        <v>13</v>
      </c>
      <c r="I693">
        <v>1</v>
      </c>
      <c r="J693" s="17"/>
      <c r="K693" s="17"/>
      <c r="L693" s="19" t="str">
        <f t="shared" si="10"/>
        <v/>
      </c>
      <c r="M693" s="17">
        <v>1</v>
      </c>
      <c r="N693" s="17">
        <v>1</v>
      </c>
      <c r="P693" t="s">
        <v>1614</v>
      </c>
    </row>
    <row r="694" spans="1:16">
      <c r="A694">
        <v>35</v>
      </c>
      <c r="B694">
        <v>347</v>
      </c>
      <c r="C694">
        <v>46515.583333333336</v>
      </c>
      <c r="D694" t="s">
        <v>1037</v>
      </c>
      <c r="E694" t="s">
        <v>1126</v>
      </c>
      <c r="F694" t="s">
        <v>1613</v>
      </c>
      <c r="G694">
        <v>5</v>
      </c>
      <c r="H694">
        <v>14</v>
      </c>
      <c r="I694">
        <v>15</v>
      </c>
      <c r="J694" s="17"/>
      <c r="K694" s="17"/>
      <c r="L694" s="19" t="str">
        <f t="shared" si="10"/>
        <v/>
      </c>
      <c r="M694" s="17">
        <v>1</v>
      </c>
      <c r="N694" s="17">
        <v>1</v>
      </c>
      <c r="P694" t="s">
        <v>1614</v>
      </c>
    </row>
    <row r="695" spans="1:16">
      <c r="A695">
        <v>35</v>
      </c>
      <c r="B695">
        <v>347</v>
      </c>
      <c r="C695">
        <v>46515.583333333336</v>
      </c>
      <c r="D695" t="s">
        <v>1126</v>
      </c>
      <c r="E695" t="s">
        <v>1037</v>
      </c>
      <c r="F695" t="s">
        <v>1615</v>
      </c>
      <c r="G695">
        <v>4</v>
      </c>
      <c r="H695">
        <v>15</v>
      </c>
      <c r="I695">
        <v>14</v>
      </c>
      <c r="J695" s="17"/>
      <c r="K695" s="17"/>
      <c r="L695" s="19" t="str">
        <f t="shared" si="10"/>
        <v/>
      </c>
      <c r="M695" s="17">
        <v>1</v>
      </c>
      <c r="N695" s="17">
        <v>1</v>
      </c>
      <c r="P695" t="s">
        <v>1614</v>
      </c>
    </row>
    <row r="696" spans="1:16">
      <c r="A696">
        <v>35</v>
      </c>
      <c r="B696">
        <v>348</v>
      </c>
      <c r="C696">
        <v>46515.583333333336</v>
      </c>
      <c r="D696" t="s">
        <v>567</v>
      </c>
      <c r="E696" t="s">
        <v>1283</v>
      </c>
      <c r="F696" t="s">
        <v>1613</v>
      </c>
      <c r="G696">
        <v>3</v>
      </c>
      <c r="H696">
        <v>7</v>
      </c>
      <c r="I696">
        <v>17</v>
      </c>
      <c r="J696" s="17"/>
      <c r="K696" s="17"/>
      <c r="L696" s="19" t="str">
        <f t="shared" si="10"/>
        <v/>
      </c>
      <c r="M696" s="17">
        <v>1</v>
      </c>
      <c r="N696" s="17">
        <v>1</v>
      </c>
      <c r="P696" t="s">
        <v>1614</v>
      </c>
    </row>
    <row r="697" spans="1:16">
      <c r="A697">
        <v>35</v>
      </c>
      <c r="B697">
        <v>348</v>
      </c>
      <c r="C697">
        <v>46515.583333333336</v>
      </c>
      <c r="D697" t="s">
        <v>1283</v>
      </c>
      <c r="E697" t="s">
        <v>567</v>
      </c>
      <c r="F697" t="s">
        <v>1615</v>
      </c>
      <c r="G697">
        <v>2</v>
      </c>
      <c r="H697">
        <v>17</v>
      </c>
      <c r="I697">
        <v>7</v>
      </c>
      <c r="J697" s="17"/>
      <c r="K697" s="17"/>
      <c r="L697" s="19" t="str">
        <f t="shared" si="10"/>
        <v/>
      </c>
      <c r="M697" s="17">
        <v>1</v>
      </c>
      <c r="N697" s="17">
        <v>1</v>
      </c>
      <c r="P697" t="s">
        <v>1614</v>
      </c>
    </row>
    <row r="698" spans="1:16">
      <c r="A698">
        <v>35</v>
      </c>
      <c r="B698">
        <v>349</v>
      </c>
      <c r="C698">
        <v>46515.583333333336</v>
      </c>
      <c r="D698" t="s">
        <v>639</v>
      </c>
      <c r="E698" t="s">
        <v>1354</v>
      </c>
      <c r="F698" t="s">
        <v>1613</v>
      </c>
      <c r="G698">
        <v>3</v>
      </c>
      <c r="H698">
        <v>8</v>
      </c>
      <c r="I698">
        <v>18</v>
      </c>
      <c r="J698" s="17"/>
      <c r="K698" s="17"/>
      <c r="L698" s="19" t="str">
        <f t="shared" si="10"/>
        <v/>
      </c>
      <c r="M698" s="17">
        <v>1</v>
      </c>
      <c r="N698" s="17">
        <v>1</v>
      </c>
      <c r="P698" t="s">
        <v>1614</v>
      </c>
    </row>
    <row r="699" spans="1:16">
      <c r="A699">
        <v>35</v>
      </c>
      <c r="B699">
        <v>349</v>
      </c>
      <c r="C699">
        <v>46515.583333333336</v>
      </c>
      <c r="D699" t="s">
        <v>1354</v>
      </c>
      <c r="E699" t="s">
        <v>639</v>
      </c>
      <c r="F699" t="s">
        <v>1615</v>
      </c>
      <c r="G699">
        <v>3</v>
      </c>
      <c r="H699">
        <v>18</v>
      </c>
      <c r="I699">
        <v>8</v>
      </c>
      <c r="J699" s="17"/>
      <c r="K699" s="17"/>
      <c r="L699" s="19" t="str">
        <f t="shared" si="10"/>
        <v/>
      </c>
      <c r="M699" s="17">
        <v>1</v>
      </c>
      <c r="N699" s="17">
        <v>1</v>
      </c>
      <c r="P699" t="s">
        <v>1614</v>
      </c>
    </row>
    <row r="700" spans="1:16">
      <c r="A700">
        <v>35</v>
      </c>
      <c r="B700">
        <v>350</v>
      </c>
      <c r="C700">
        <v>46515.583333333336</v>
      </c>
      <c r="D700" t="s">
        <v>474</v>
      </c>
      <c r="E700" t="s">
        <v>1412</v>
      </c>
      <c r="F700" t="s">
        <v>1613</v>
      </c>
      <c r="G700">
        <v>3</v>
      </c>
      <c r="H700">
        <v>6</v>
      </c>
      <c r="I700">
        <v>19</v>
      </c>
      <c r="J700" s="17"/>
      <c r="K700" s="17"/>
      <c r="L700" s="19" t="str">
        <f t="shared" si="10"/>
        <v/>
      </c>
      <c r="M700" s="17">
        <v>1</v>
      </c>
      <c r="N700" s="17">
        <v>1</v>
      </c>
      <c r="P700" t="s">
        <v>1614</v>
      </c>
    </row>
    <row r="701" spans="1:16">
      <c r="A701">
        <v>35</v>
      </c>
      <c r="B701">
        <v>350</v>
      </c>
      <c r="C701">
        <v>46515.583333333336</v>
      </c>
      <c r="D701" t="s">
        <v>1412</v>
      </c>
      <c r="E701" t="s">
        <v>474</v>
      </c>
      <c r="F701" t="s">
        <v>1615</v>
      </c>
      <c r="G701">
        <v>4</v>
      </c>
      <c r="H701">
        <v>19</v>
      </c>
      <c r="I701">
        <v>6</v>
      </c>
      <c r="J701" s="17"/>
      <c r="K701" s="17"/>
      <c r="L701" s="19" t="str">
        <f t="shared" si="10"/>
        <v/>
      </c>
      <c r="M701" s="17">
        <v>1</v>
      </c>
      <c r="N701" s="17">
        <v>1</v>
      </c>
      <c r="P701" t="s">
        <v>1614</v>
      </c>
    </row>
    <row r="702" spans="1:16">
      <c r="A702">
        <v>36</v>
      </c>
      <c r="B702">
        <v>351</v>
      </c>
      <c r="C702">
        <v>46522.583333333336</v>
      </c>
      <c r="D702" t="s">
        <v>1354</v>
      </c>
      <c r="E702" t="s">
        <v>64</v>
      </c>
      <c r="F702" t="s">
        <v>1613</v>
      </c>
      <c r="G702">
        <v>5</v>
      </c>
      <c r="H702">
        <v>18</v>
      </c>
      <c r="I702">
        <v>1</v>
      </c>
      <c r="J702" s="17"/>
      <c r="K702" s="17"/>
      <c r="L702" s="19" t="str">
        <f t="shared" si="10"/>
        <v/>
      </c>
      <c r="M702" s="17">
        <v>1</v>
      </c>
      <c r="N702" s="17">
        <v>1</v>
      </c>
      <c r="P702" t="s">
        <v>1614</v>
      </c>
    </row>
    <row r="703" spans="1:16">
      <c r="A703">
        <v>36</v>
      </c>
      <c r="B703">
        <v>351</v>
      </c>
      <c r="C703">
        <v>46522.583333333336</v>
      </c>
      <c r="D703" t="s">
        <v>64</v>
      </c>
      <c r="E703" t="s">
        <v>1354</v>
      </c>
      <c r="F703" t="s">
        <v>1615</v>
      </c>
      <c r="G703">
        <v>3</v>
      </c>
      <c r="H703">
        <v>1</v>
      </c>
      <c r="I703">
        <v>18</v>
      </c>
      <c r="J703" s="17"/>
      <c r="K703" s="17"/>
      <c r="L703" s="19" t="str">
        <f t="shared" si="10"/>
        <v/>
      </c>
      <c r="M703" s="17">
        <v>1</v>
      </c>
      <c r="N703" s="17">
        <v>1</v>
      </c>
      <c r="P703" t="s">
        <v>1614</v>
      </c>
    </row>
    <row r="704" spans="1:16">
      <c r="A704">
        <v>36</v>
      </c>
      <c r="B704">
        <v>352</v>
      </c>
      <c r="C704">
        <v>46522.583333333336</v>
      </c>
      <c r="D704" t="s">
        <v>1283</v>
      </c>
      <c r="E704" t="s">
        <v>153</v>
      </c>
      <c r="F704" t="s">
        <v>1613</v>
      </c>
      <c r="G704">
        <v>4</v>
      </c>
      <c r="H704">
        <v>17</v>
      </c>
      <c r="I704">
        <v>2</v>
      </c>
      <c r="J704" s="17"/>
      <c r="K704" s="17"/>
      <c r="L704" s="19" t="str">
        <f t="shared" si="10"/>
        <v/>
      </c>
      <c r="M704" s="17">
        <v>1</v>
      </c>
      <c r="N704" s="17">
        <v>1</v>
      </c>
      <c r="P704" t="s">
        <v>1614</v>
      </c>
    </row>
    <row r="705" spans="1:16">
      <c r="A705">
        <v>36</v>
      </c>
      <c r="B705">
        <v>352</v>
      </c>
      <c r="C705">
        <v>46522.583333333336</v>
      </c>
      <c r="D705" t="s">
        <v>153</v>
      </c>
      <c r="E705" t="s">
        <v>1283</v>
      </c>
      <c r="F705" t="s">
        <v>1615</v>
      </c>
      <c r="G705">
        <v>2</v>
      </c>
      <c r="H705">
        <v>2</v>
      </c>
      <c r="I705">
        <v>17</v>
      </c>
      <c r="J705" s="17"/>
      <c r="K705" s="17"/>
      <c r="L705" s="19" t="str">
        <f t="shared" si="10"/>
        <v/>
      </c>
      <c r="M705" s="17">
        <v>1</v>
      </c>
      <c r="N705" s="17">
        <v>1</v>
      </c>
      <c r="P705" t="s">
        <v>1614</v>
      </c>
    </row>
    <row r="706" spans="1:16">
      <c r="A706">
        <v>36</v>
      </c>
      <c r="B706">
        <v>353</v>
      </c>
      <c r="C706">
        <v>46522.583333333336</v>
      </c>
      <c r="D706" t="s">
        <v>714</v>
      </c>
      <c r="E706" t="s">
        <v>474</v>
      </c>
      <c r="F706" t="s">
        <v>1613</v>
      </c>
      <c r="G706">
        <v>4</v>
      </c>
      <c r="H706">
        <v>9</v>
      </c>
      <c r="I706">
        <v>6</v>
      </c>
      <c r="J706" s="17"/>
      <c r="K706" s="17"/>
      <c r="L706" s="19" t="str">
        <f t="shared" ref="L706:L769" si="11">IF(K706="","",EXP(-K706))</f>
        <v/>
      </c>
      <c r="M706" s="17">
        <v>1</v>
      </c>
      <c r="N706" s="17">
        <v>1</v>
      </c>
      <c r="P706" t="s">
        <v>1614</v>
      </c>
    </row>
    <row r="707" spans="1:16">
      <c r="A707">
        <v>36</v>
      </c>
      <c r="B707">
        <v>353</v>
      </c>
      <c r="C707">
        <v>46522.583333333336</v>
      </c>
      <c r="D707" t="s">
        <v>474</v>
      </c>
      <c r="E707" t="s">
        <v>714</v>
      </c>
      <c r="F707" t="s">
        <v>1615</v>
      </c>
      <c r="G707">
        <v>3</v>
      </c>
      <c r="H707">
        <v>6</v>
      </c>
      <c r="I707">
        <v>9</v>
      </c>
      <c r="J707" s="17"/>
      <c r="K707" s="17"/>
      <c r="L707" s="19" t="str">
        <f t="shared" si="11"/>
        <v/>
      </c>
      <c r="M707" s="17">
        <v>1</v>
      </c>
      <c r="N707" s="17">
        <v>1</v>
      </c>
      <c r="P707" t="s">
        <v>1614</v>
      </c>
    </row>
    <row r="708" spans="1:16">
      <c r="A708">
        <v>36</v>
      </c>
      <c r="B708">
        <v>354</v>
      </c>
      <c r="C708">
        <v>46522.583333333336</v>
      </c>
      <c r="D708" t="s">
        <v>1412</v>
      </c>
      <c r="E708" t="s">
        <v>567</v>
      </c>
      <c r="F708" t="s">
        <v>1613</v>
      </c>
      <c r="G708">
        <v>2</v>
      </c>
      <c r="H708">
        <v>19</v>
      </c>
      <c r="I708">
        <v>7</v>
      </c>
      <c r="J708" s="17"/>
      <c r="K708" s="17"/>
      <c r="L708" s="19" t="str">
        <f t="shared" si="11"/>
        <v/>
      </c>
      <c r="M708" s="17">
        <v>1</v>
      </c>
      <c r="N708" s="17">
        <v>1</v>
      </c>
      <c r="P708" t="s">
        <v>1614</v>
      </c>
    </row>
    <row r="709" spans="1:16">
      <c r="A709">
        <v>36</v>
      </c>
      <c r="B709">
        <v>354</v>
      </c>
      <c r="C709">
        <v>46522.583333333336</v>
      </c>
      <c r="D709" t="s">
        <v>567</v>
      </c>
      <c r="E709" t="s">
        <v>1412</v>
      </c>
      <c r="F709" t="s">
        <v>1615</v>
      </c>
      <c r="G709">
        <v>3</v>
      </c>
      <c r="H709">
        <v>7</v>
      </c>
      <c r="I709">
        <v>19</v>
      </c>
      <c r="J709" s="17"/>
      <c r="K709" s="17"/>
      <c r="L709" s="19" t="str">
        <f t="shared" si="11"/>
        <v/>
      </c>
      <c r="M709" s="17">
        <v>1</v>
      </c>
      <c r="N709" s="17">
        <v>1</v>
      </c>
      <c r="P709" t="s">
        <v>1614</v>
      </c>
    </row>
    <row r="710" spans="1:16">
      <c r="A710">
        <v>36</v>
      </c>
      <c r="B710">
        <v>355</v>
      </c>
      <c r="C710">
        <v>46522.583333333336</v>
      </c>
      <c r="D710" t="s">
        <v>390</v>
      </c>
      <c r="E710" t="s">
        <v>639</v>
      </c>
      <c r="F710" t="s">
        <v>1613</v>
      </c>
      <c r="G710">
        <v>3</v>
      </c>
      <c r="H710">
        <v>5</v>
      </c>
      <c r="I710">
        <v>8</v>
      </c>
      <c r="J710" s="17"/>
      <c r="K710" s="17"/>
      <c r="L710" s="19" t="str">
        <f t="shared" si="11"/>
        <v/>
      </c>
      <c r="M710" s="17">
        <v>1</v>
      </c>
      <c r="N710" s="17">
        <v>1</v>
      </c>
      <c r="P710" t="s">
        <v>1614</v>
      </c>
    </row>
    <row r="711" spans="1:16">
      <c r="A711">
        <v>36</v>
      </c>
      <c r="B711">
        <v>355</v>
      </c>
      <c r="C711">
        <v>46522.583333333336</v>
      </c>
      <c r="D711" t="s">
        <v>639</v>
      </c>
      <c r="E711" t="s">
        <v>390</v>
      </c>
      <c r="F711" t="s">
        <v>1615</v>
      </c>
      <c r="G711">
        <v>2</v>
      </c>
      <c r="H711">
        <v>8</v>
      </c>
      <c r="I711">
        <v>5</v>
      </c>
      <c r="J711" s="17"/>
      <c r="K711" s="17"/>
      <c r="L711" s="19" t="str">
        <f t="shared" si="11"/>
        <v/>
      </c>
      <c r="M711" s="17">
        <v>1</v>
      </c>
      <c r="N711" s="17">
        <v>1</v>
      </c>
      <c r="P711" t="s">
        <v>1614</v>
      </c>
    </row>
    <row r="712" spans="1:16">
      <c r="A712">
        <v>36</v>
      </c>
      <c r="B712">
        <v>356</v>
      </c>
      <c r="C712">
        <v>46522.583333333336</v>
      </c>
      <c r="D712" t="s">
        <v>777</v>
      </c>
      <c r="E712" t="s">
        <v>831</v>
      </c>
      <c r="F712" t="s">
        <v>1613</v>
      </c>
      <c r="G712">
        <v>2</v>
      </c>
      <c r="H712">
        <v>10</v>
      </c>
      <c r="I712">
        <v>11</v>
      </c>
      <c r="J712" s="17"/>
      <c r="K712" s="17"/>
      <c r="L712" s="19" t="str">
        <f t="shared" si="11"/>
        <v/>
      </c>
      <c r="M712" s="17">
        <v>1</v>
      </c>
      <c r="N712" s="17">
        <v>1</v>
      </c>
      <c r="P712" t="s">
        <v>1614</v>
      </c>
    </row>
    <row r="713" spans="1:16">
      <c r="A713">
        <v>36</v>
      </c>
      <c r="B713">
        <v>356</v>
      </c>
      <c r="C713">
        <v>46522.583333333336</v>
      </c>
      <c r="D713" t="s">
        <v>831</v>
      </c>
      <c r="E713" t="s">
        <v>777</v>
      </c>
      <c r="F713" t="s">
        <v>1615</v>
      </c>
      <c r="G713">
        <v>2</v>
      </c>
      <c r="H713">
        <v>11</v>
      </c>
      <c r="I713">
        <v>10</v>
      </c>
      <c r="J713" s="17"/>
      <c r="K713" s="17"/>
      <c r="L713" s="19" t="str">
        <f t="shared" si="11"/>
        <v/>
      </c>
      <c r="M713" s="17">
        <v>1</v>
      </c>
      <c r="N713" s="17">
        <v>1</v>
      </c>
      <c r="P713" t="s">
        <v>1614</v>
      </c>
    </row>
    <row r="714" spans="1:16">
      <c r="A714">
        <v>36</v>
      </c>
      <c r="B714">
        <v>357</v>
      </c>
      <c r="C714">
        <v>46522.583333333336</v>
      </c>
      <c r="D714" t="s">
        <v>1126</v>
      </c>
      <c r="E714" t="s">
        <v>903</v>
      </c>
      <c r="F714" t="s">
        <v>1613</v>
      </c>
      <c r="G714">
        <v>2</v>
      </c>
      <c r="H714">
        <v>15</v>
      </c>
      <c r="I714">
        <v>12</v>
      </c>
      <c r="J714" s="17"/>
      <c r="K714" s="17"/>
      <c r="L714" s="19" t="str">
        <f t="shared" si="11"/>
        <v/>
      </c>
      <c r="M714" s="17">
        <v>1</v>
      </c>
      <c r="N714" s="17">
        <v>1</v>
      </c>
      <c r="P714" t="s">
        <v>1614</v>
      </c>
    </row>
    <row r="715" spans="1:16">
      <c r="A715">
        <v>36</v>
      </c>
      <c r="B715">
        <v>357</v>
      </c>
      <c r="C715">
        <v>46522.583333333336</v>
      </c>
      <c r="D715" t="s">
        <v>903</v>
      </c>
      <c r="E715" t="s">
        <v>1126</v>
      </c>
      <c r="F715" t="s">
        <v>1615</v>
      </c>
      <c r="G715">
        <v>4</v>
      </c>
      <c r="H715">
        <v>12</v>
      </c>
      <c r="I715">
        <v>15</v>
      </c>
      <c r="J715" s="17"/>
      <c r="K715" s="17"/>
      <c r="L715" s="19" t="str">
        <f t="shared" si="11"/>
        <v/>
      </c>
      <c r="M715" s="17">
        <v>1</v>
      </c>
      <c r="N715" s="17">
        <v>1</v>
      </c>
      <c r="P715" t="s">
        <v>1614</v>
      </c>
    </row>
    <row r="716" spans="1:16">
      <c r="A716">
        <v>36</v>
      </c>
      <c r="B716">
        <v>358</v>
      </c>
      <c r="C716">
        <v>46522.583333333336</v>
      </c>
      <c r="D716" t="s">
        <v>312</v>
      </c>
      <c r="E716" t="s">
        <v>1037</v>
      </c>
      <c r="F716" t="s">
        <v>1613</v>
      </c>
      <c r="G716">
        <v>4</v>
      </c>
      <c r="H716">
        <v>4</v>
      </c>
      <c r="I716">
        <v>14</v>
      </c>
      <c r="J716" s="17"/>
      <c r="K716" s="17"/>
      <c r="L716" s="19" t="str">
        <f t="shared" si="11"/>
        <v/>
      </c>
      <c r="M716" s="17">
        <v>1</v>
      </c>
      <c r="N716" s="17">
        <v>1</v>
      </c>
      <c r="P716" t="s">
        <v>1614</v>
      </c>
    </row>
    <row r="717" spans="1:16">
      <c r="A717">
        <v>36</v>
      </c>
      <c r="B717">
        <v>358</v>
      </c>
      <c r="C717">
        <v>46522.583333333336</v>
      </c>
      <c r="D717" t="s">
        <v>1037</v>
      </c>
      <c r="E717" t="s">
        <v>312</v>
      </c>
      <c r="F717" t="s">
        <v>1615</v>
      </c>
      <c r="G717">
        <v>3</v>
      </c>
      <c r="H717">
        <v>14</v>
      </c>
      <c r="I717">
        <v>4</v>
      </c>
      <c r="J717" s="17"/>
      <c r="K717" s="17"/>
      <c r="L717" s="19" t="str">
        <f t="shared" si="11"/>
        <v/>
      </c>
      <c r="M717" s="17">
        <v>1</v>
      </c>
      <c r="N717" s="17">
        <v>1</v>
      </c>
      <c r="P717" t="s">
        <v>1614</v>
      </c>
    </row>
    <row r="718" spans="1:16">
      <c r="A718">
        <v>36</v>
      </c>
      <c r="B718">
        <v>359</v>
      </c>
      <c r="C718">
        <v>46522.583333333336</v>
      </c>
      <c r="D718" t="s">
        <v>978</v>
      </c>
      <c r="E718" t="s">
        <v>1199</v>
      </c>
      <c r="F718" t="s">
        <v>1613</v>
      </c>
      <c r="G718">
        <v>4</v>
      </c>
      <c r="H718">
        <v>13</v>
      </c>
      <c r="I718">
        <v>16</v>
      </c>
      <c r="J718" s="17"/>
      <c r="K718" s="17"/>
      <c r="L718" s="19" t="str">
        <f t="shared" si="11"/>
        <v/>
      </c>
      <c r="M718" s="17">
        <v>1</v>
      </c>
      <c r="N718" s="17">
        <v>1</v>
      </c>
      <c r="P718" t="s">
        <v>1614</v>
      </c>
    </row>
    <row r="719" spans="1:16">
      <c r="A719">
        <v>36</v>
      </c>
      <c r="B719">
        <v>359</v>
      </c>
      <c r="C719">
        <v>46522.583333333336</v>
      </c>
      <c r="D719" t="s">
        <v>1199</v>
      </c>
      <c r="E719" t="s">
        <v>978</v>
      </c>
      <c r="F719" t="s">
        <v>1615</v>
      </c>
      <c r="G719">
        <v>2</v>
      </c>
      <c r="H719">
        <v>16</v>
      </c>
      <c r="I719">
        <v>13</v>
      </c>
      <c r="J719" s="17"/>
      <c r="K719" s="17"/>
      <c r="L719" s="19" t="str">
        <f t="shared" si="11"/>
        <v/>
      </c>
      <c r="M719" s="17">
        <v>1</v>
      </c>
      <c r="N719" s="17">
        <v>1</v>
      </c>
      <c r="P719" t="s">
        <v>1614</v>
      </c>
    </row>
    <row r="720" spans="1:16">
      <c r="A720">
        <v>36</v>
      </c>
      <c r="B720">
        <v>360</v>
      </c>
      <c r="C720">
        <v>46522.583333333336</v>
      </c>
      <c r="D720" t="s">
        <v>236</v>
      </c>
      <c r="E720" t="s">
        <v>1493</v>
      </c>
      <c r="F720" t="s">
        <v>1613</v>
      </c>
      <c r="G720">
        <v>3</v>
      </c>
      <c r="H720">
        <v>3</v>
      </c>
      <c r="I720">
        <v>20</v>
      </c>
      <c r="J720" s="17"/>
      <c r="K720" s="17"/>
      <c r="L720" s="19" t="str">
        <f t="shared" si="11"/>
        <v/>
      </c>
      <c r="M720" s="17">
        <v>1</v>
      </c>
      <c r="N720" s="17">
        <v>1</v>
      </c>
      <c r="P720" t="s">
        <v>1614</v>
      </c>
    </row>
    <row r="721" spans="1:16">
      <c r="A721">
        <v>36</v>
      </c>
      <c r="B721">
        <v>360</v>
      </c>
      <c r="C721">
        <v>46522.583333333336</v>
      </c>
      <c r="D721" t="s">
        <v>1493</v>
      </c>
      <c r="E721" t="s">
        <v>236</v>
      </c>
      <c r="F721" t="s">
        <v>1615</v>
      </c>
      <c r="G721">
        <v>3</v>
      </c>
      <c r="H721">
        <v>20</v>
      </c>
      <c r="I721">
        <v>3</v>
      </c>
      <c r="J721" s="17"/>
      <c r="K721" s="17"/>
      <c r="L721" s="19" t="str">
        <f t="shared" si="11"/>
        <v/>
      </c>
      <c r="M721" s="17">
        <v>1</v>
      </c>
      <c r="N721" s="17">
        <v>1</v>
      </c>
      <c r="P721" t="s">
        <v>1614</v>
      </c>
    </row>
    <row r="722" spans="1:16">
      <c r="A722">
        <v>37</v>
      </c>
      <c r="B722">
        <v>361</v>
      </c>
      <c r="C722">
        <v>46530.583333333336</v>
      </c>
      <c r="D722" t="s">
        <v>474</v>
      </c>
      <c r="E722" t="s">
        <v>236</v>
      </c>
      <c r="F722" t="s">
        <v>1613</v>
      </c>
      <c r="G722">
        <v>3</v>
      </c>
      <c r="H722">
        <v>6</v>
      </c>
      <c r="I722">
        <v>3</v>
      </c>
      <c r="J722" s="17"/>
      <c r="K722" s="17"/>
      <c r="L722" s="19" t="str">
        <f t="shared" si="11"/>
        <v/>
      </c>
      <c r="M722" s="17">
        <v>1</v>
      </c>
      <c r="N722" s="17">
        <v>1</v>
      </c>
      <c r="P722" t="s">
        <v>1614</v>
      </c>
    </row>
    <row r="723" spans="1:16">
      <c r="A723">
        <v>37</v>
      </c>
      <c r="B723">
        <v>361</v>
      </c>
      <c r="C723">
        <v>46530.583333333336</v>
      </c>
      <c r="D723" t="s">
        <v>236</v>
      </c>
      <c r="E723" t="s">
        <v>474</v>
      </c>
      <c r="F723" t="s">
        <v>1615</v>
      </c>
      <c r="G723">
        <v>4</v>
      </c>
      <c r="H723">
        <v>3</v>
      </c>
      <c r="I723">
        <v>6</v>
      </c>
      <c r="J723" s="17"/>
      <c r="K723" s="17"/>
      <c r="L723" s="19" t="str">
        <f t="shared" si="11"/>
        <v/>
      </c>
      <c r="M723" s="17">
        <v>1</v>
      </c>
      <c r="N723" s="17">
        <v>1</v>
      </c>
      <c r="P723" t="s">
        <v>1614</v>
      </c>
    </row>
    <row r="724" spans="1:16">
      <c r="A724">
        <v>37</v>
      </c>
      <c r="B724">
        <v>362</v>
      </c>
      <c r="C724">
        <v>46530.583333333336</v>
      </c>
      <c r="D724" t="s">
        <v>831</v>
      </c>
      <c r="E724" t="s">
        <v>312</v>
      </c>
      <c r="F724" t="s">
        <v>1613</v>
      </c>
      <c r="G724">
        <v>3</v>
      </c>
      <c r="H724">
        <v>11</v>
      </c>
      <c r="I724">
        <v>4</v>
      </c>
      <c r="J724" s="17"/>
      <c r="K724" s="17"/>
      <c r="L724" s="19" t="str">
        <f t="shared" si="11"/>
        <v/>
      </c>
      <c r="M724" s="17">
        <v>1</v>
      </c>
      <c r="N724" s="17">
        <v>1</v>
      </c>
      <c r="P724" t="s">
        <v>1614</v>
      </c>
    </row>
    <row r="725" spans="1:16">
      <c r="A725">
        <v>37</v>
      </c>
      <c r="B725">
        <v>362</v>
      </c>
      <c r="C725">
        <v>46530.583333333336</v>
      </c>
      <c r="D725" t="s">
        <v>312</v>
      </c>
      <c r="E725" t="s">
        <v>831</v>
      </c>
      <c r="F725" t="s">
        <v>1615</v>
      </c>
      <c r="G725">
        <v>2</v>
      </c>
      <c r="H725">
        <v>4</v>
      </c>
      <c r="I725">
        <v>11</v>
      </c>
      <c r="J725" s="17"/>
      <c r="K725" s="17"/>
      <c r="L725" s="19" t="str">
        <f t="shared" si="11"/>
        <v/>
      </c>
      <c r="M725" s="17">
        <v>1</v>
      </c>
      <c r="N725" s="17">
        <v>1</v>
      </c>
      <c r="P725" t="s">
        <v>1614</v>
      </c>
    </row>
    <row r="726" spans="1:16">
      <c r="A726">
        <v>37</v>
      </c>
      <c r="B726">
        <v>363</v>
      </c>
      <c r="C726">
        <v>46530.583333333336</v>
      </c>
      <c r="D726" t="s">
        <v>1037</v>
      </c>
      <c r="E726" t="s">
        <v>390</v>
      </c>
      <c r="F726" t="s">
        <v>1613</v>
      </c>
      <c r="G726">
        <v>3</v>
      </c>
      <c r="H726">
        <v>14</v>
      </c>
      <c r="I726">
        <v>5</v>
      </c>
      <c r="J726" s="17"/>
      <c r="K726" s="17"/>
      <c r="L726" s="19" t="str">
        <f t="shared" si="11"/>
        <v/>
      </c>
      <c r="M726" s="17">
        <v>1</v>
      </c>
      <c r="N726" s="17">
        <v>1</v>
      </c>
      <c r="P726" t="s">
        <v>1614</v>
      </c>
    </row>
    <row r="727" spans="1:16">
      <c r="A727">
        <v>37</v>
      </c>
      <c r="B727">
        <v>363</v>
      </c>
      <c r="C727">
        <v>46530.583333333336</v>
      </c>
      <c r="D727" t="s">
        <v>390</v>
      </c>
      <c r="E727" t="s">
        <v>1037</v>
      </c>
      <c r="F727" t="s">
        <v>1615</v>
      </c>
      <c r="G727">
        <v>4</v>
      </c>
      <c r="H727">
        <v>5</v>
      </c>
      <c r="I727">
        <v>14</v>
      </c>
      <c r="J727" s="17"/>
      <c r="K727" s="17"/>
      <c r="L727" s="19" t="str">
        <f t="shared" si="11"/>
        <v/>
      </c>
      <c r="M727" s="17">
        <v>1</v>
      </c>
      <c r="N727" s="17">
        <v>1</v>
      </c>
      <c r="P727" t="s">
        <v>1614</v>
      </c>
    </row>
    <row r="728" spans="1:16">
      <c r="A728">
        <v>37</v>
      </c>
      <c r="B728">
        <v>364</v>
      </c>
      <c r="C728">
        <v>46530.583333333336</v>
      </c>
      <c r="D728" t="s">
        <v>64</v>
      </c>
      <c r="E728" t="s">
        <v>714</v>
      </c>
      <c r="F728" t="s">
        <v>1613</v>
      </c>
      <c r="G728">
        <v>3</v>
      </c>
      <c r="H728">
        <v>1</v>
      </c>
      <c r="I728">
        <v>9</v>
      </c>
      <c r="J728" s="17"/>
      <c r="K728" s="17"/>
      <c r="L728" s="19" t="str">
        <f t="shared" si="11"/>
        <v/>
      </c>
      <c r="M728" s="17">
        <v>1</v>
      </c>
      <c r="N728" s="17">
        <v>1</v>
      </c>
      <c r="P728" t="s">
        <v>1614</v>
      </c>
    </row>
    <row r="729" spans="1:16">
      <c r="A729">
        <v>37</v>
      </c>
      <c r="B729">
        <v>364</v>
      </c>
      <c r="C729">
        <v>46530.583333333336</v>
      </c>
      <c r="D729" t="s">
        <v>714</v>
      </c>
      <c r="E729" t="s">
        <v>64</v>
      </c>
      <c r="F729" t="s">
        <v>1615</v>
      </c>
      <c r="G729">
        <v>4</v>
      </c>
      <c r="H729">
        <v>9</v>
      </c>
      <c r="I729">
        <v>1</v>
      </c>
      <c r="J729" s="17"/>
      <c r="K729" s="17"/>
      <c r="L729" s="19" t="str">
        <f t="shared" si="11"/>
        <v/>
      </c>
      <c r="M729" s="17">
        <v>1</v>
      </c>
      <c r="N729" s="17">
        <v>1</v>
      </c>
      <c r="P729" t="s">
        <v>1614</v>
      </c>
    </row>
    <row r="730" spans="1:16">
      <c r="A730">
        <v>37</v>
      </c>
      <c r="B730">
        <v>365</v>
      </c>
      <c r="C730">
        <v>46530.583333333336</v>
      </c>
      <c r="D730" t="s">
        <v>567</v>
      </c>
      <c r="E730" t="s">
        <v>777</v>
      </c>
      <c r="F730" t="s">
        <v>1613</v>
      </c>
      <c r="G730">
        <v>3</v>
      </c>
      <c r="H730">
        <v>7</v>
      </c>
      <c r="I730">
        <v>10</v>
      </c>
      <c r="J730" s="17"/>
      <c r="K730" s="17"/>
      <c r="L730" s="19" t="str">
        <f t="shared" si="11"/>
        <v/>
      </c>
      <c r="M730" s="17">
        <v>1</v>
      </c>
      <c r="N730" s="17">
        <v>1</v>
      </c>
      <c r="P730" t="s">
        <v>1614</v>
      </c>
    </row>
    <row r="731" spans="1:16">
      <c r="A731">
        <v>37</v>
      </c>
      <c r="B731">
        <v>365</v>
      </c>
      <c r="C731">
        <v>46530.583333333336</v>
      </c>
      <c r="D731" t="s">
        <v>777</v>
      </c>
      <c r="E731" t="s">
        <v>567</v>
      </c>
      <c r="F731" t="s">
        <v>1615</v>
      </c>
      <c r="G731">
        <v>2</v>
      </c>
      <c r="H731">
        <v>10</v>
      </c>
      <c r="I731">
        <v>7</v>
      </c>
      <c r="J731" s="17"/>
      <c r="K731" s="17"/>
      <c r="L731" s="19" t="str">
        <f t="shared" si="11"/>
        <v/>
      </c>
      <c r="M731" s="17">
        <v>1</v>
      </c>
      <c r="N731" s="17">
        <v>1</v>
      </c>
      <c r="P731" t="s">
        <v>1614</v>
      </c>
    </row>
    <row r="732" spans="1:16">
      <c r="A732">
        <v>37</v>
      </c>
      <c r="B732">
        <v>366</v>
      </c>
      <c r="C732">
        <v>46530.583333333336</v>
      </c>
      <c r="D732" t="s">
        <v>1493</v>
      </c>
      <c r="E732" t="s">
        <v>978</v>
      </c>
      <c r="F732" t="s">
        <v>1613</v>
      </c>
      <c r="G732">
        <v>3</v>
      </c>
      <c r="H732">
        <v>20</v>
      </c>
      <c r="I732">
        <v>13</v>
      </c>
      <c r="J732" s="17"/>
      <c r="K732" s="17"/>
      <c r="L732" s="19" t="str">
        <f t="shared" si="11"/>
        <v/>
      </c>
      <c r="M732" s="17">
        <v>1</v>
      </c>
      <c r="N732" s="17">
        <v>1</v>
      </c>
      <c r="P732" t="s">
        <v>1614</v>
      </c>
    </row>
    <row r="733" spans="1:16">
      <c r="A733">
        <v>37</v>
      </c>
      <c r="B733">
        <v>366</v>
      </c>
      <c r="C733">
        <v>46530.583333333336</v>
      </c>
      <c r="D733" t="s">
        <v>978</v>
      </c>
      <c r="E733" t="s">
        <v>1493</v>
      </c>
      <c r="F733" t="s">
        <v>1615</v>
      </c>
      <c r="G733">
        <v>2</v>
      </c>
      <c r="H733">
        <v>13</v>
      </c>
      <c r="I733">
        <v>20</v>
      </c>
      <c r="J733" s="17"/>
      <c r="K733" s="17"/>
      <c r="L733" s="19" t="str">
        <f t="shared" si="11"/>
        <v/>
      </c>
      <c r="M733" s="17">
        <v>1</v>
      </c>
      <c r="N733" s="17">
        <v>1</v>
      </c>
      <c r="P733" t="s">
        <v>1614</v>
      </c>
    </row>
    <row r="734" spans="1:16">
      <c r="A734">
        <v>37</v>
      </c>
      <c r="B734">
        <v>367</v>
      </c>
      <c r="C734">
        <v>46530.583333333336</v>
      </c>
      <c r="D734" t="s">
        <v>153</v>
      </c>
      <c r="E734" t="s">
        <v>1126</v>
      </c>
      <c r="F734" t="s">
        <v>1613</v>
      </c>
      <c r="G734">
        <v>5</v>
      </c>
      <c r="H734">
        <v>2</v>
      </c>
      <c r="I734">
        <v>15</v>
      </c>
      <c r="J734" s="17"/>
      <c r="K734" s="17"/>
      <c r="L734" s="19" t="str">
        <f t="shared" si="11"/>
        <v/>
      </c>
      <c r="M734" s="17">
        <v>1</v>
      </c>
      <c r="N734" s="17">
        <v>1</v>
      </c>
      <c r="P734" t="s">
        <v>1614</v>
      </c>
    </row>
    <row r="735" spans="1:16">
      <c r="A735">
        <v>37</v>
      </c>
      <c r="B735">
        <v>367</v>
      </c>
      <c r="C735">
        <v>46530.583333333336</v>
      </c>
      <c r="D735" t="s">
        <v>1126</v>
      </c>
      <c r="E735" t="s">
        <v>153</v>
      </c>
      <c r="F735" t="s">
        <v>1615</v>
      </c>
      <c r="G735">
        <v>3</v>
      </c>
      <c r="H735">
        <v>15</v>
      </c>
      <c r="I735">
        <v>2</v>
      </c>
      <c r="J735" s="17"/>
      <c r="K735" s="17"/>
      <c r="L735" s="19" t="str">
        <f t="shared" si="11"/>
        <v/>
      </c>
      <c r="M735" s="17">
        <v>1</v>
      </c>
      <c r="N735" s="17">
        <v>1</v>
      </c>
      <c r="P735" t="s">
        <v>1614</v>
      </c>
    </row>
    <row r="736" spans="1:16">
      <c r="A736">
        <v>37</v>
      </c>
      <c r="B736">
        <v>368</v>
      </c>
      <c r="C736">
        <v>46530.583333333336</v>
      </c>
      <c r="D736" t="s">
        <v>639</v>
      </c>
      <c r="E736" t="s">
        <v>1283</v>
      </c>
      <c r="F736" t="s">
        <v>1613</v>
      </c>
      <c r="G736">
        <v>3</v>
      </c>
      <c r="H736">
        <v>8</v>
      </c>
      <c r="I736">
        <v>17</v>
      </c>
      <c r="J736" s="17"/>
      <c r="K736" s="17"/>
      <c r="L736" s="19" t="str">
        <f t="shared" si="11"/>
        <v/>
      </c>
      <c r="M736" s="17">
        <v>1</v>
      </c>
      <c r="N736" s="17">
        <v>1</v>
      </c>
      <c r="P736" t="s">
        <v>1614</v>
      </c>
    </row>
    <row r="737" spans="1:16">
      <c r="A737">
        <v>37</v>
      </c>
      <c r="B737">
        <v>368</v>
      </c>
      <c r="C737">
        <v>46530.583333333336</v>
      </c>
      <c r="D737" t="s">
        <v>1283</v>
      </c>
      <c r="E737" t="s">
        <v>639</v>
      </c>
      <c r="F737" t="s">
        <v>1615</v>
      </c>
      <c r="G737">
        <v>3</v>
      </c>
      <c r="H737">
        <v>17</v>
      </c>
      <c r="I737">
        <v>8</v>
      </c>
      <c r="J737" s="17"/>
      <c r="K737" s="17"/>
      <c r="L737" s="19" t="str">
        <f t="shared" si="11"/>
        <v/>
      </c>
      <c r="M737" s="17">
        <v>1</v>
      </c>
      <c r="N737" s="17">
        <v>1</v>
      </c>
      <c r="P737" t="s">
        <v>1614</v>
      </c>
    </row>
    <row r="738" spans="1:16">
      <c r="A738">
        <v>37</v>
      </c>
      <c r="B738">
        <v>369</v>
      </c>
      <c r="C738">
        <v>46530.583333333336</v>
      </c>
      <c r="D738" t="s">
        <v>903</v>
      </c>
      <c r="E738" t="s">
        <v>1354</v>
      </c>
      <c r="F738" t="s">
        <v>1613</v>
      </c>
      <c r="G738">
        <v>3</v>
      </c>
      <c r="H738">
        <v>12</v>
      </c>
      <c r="I738">
        <v>18</v>
      </c>
      <c r="J738" s="17"/>
      <c r="K738" s="17"/>
      <c r="L738" s="19" t="str">
        <f t="shared" si="11"/>
        <v/>
      </c>
      <c r="M738" s="17">
        <v>1</v>
      </c>
      <c r="N738" s="17">
        <v>1</v>
      </c>
      <c r="P738" t="s">
        <v>1614</v>
      </c>
    </row>
    <row r="739" spans="1:16">
      <c r="A739">
        <v>37</v>
      </c>
      <c r="B739">
        <v>369</v>
      </c>
      <c r="C739">
        <v>46530.583333333336</v>
      </c>
      <c r="D739" t="s">
        <v>1354</v>
      </c>
      <c r="E739" t="s">
        <v>903</v>
      </c>
      <c r="F739" t="s">
        <v>1615</v>
      </c>
      <c r="G739">
        <v>2</v>
      </c>
      <c r="H739">
        <v>18</v>
      </c>
      <c r="I739">
        <v>12</v>
      </c>
      <c r="J739" s="17"/>
      <c r="K739" s="17"/>
      <c r="L739" s="19" t="str">
        <f t="shared" si="11"/>
        <v/>
      </c>
      <c r="M739" s="17">
        <v>1</v>
      </c>
      <c r="N739" s="17">
        <v>1</v>
      </c>
      <c r="P739" t="s">
        <v>1614</v>
      </c>
    </row>
    <row r="740" spans="1:16">
      <c r="A740">
        <v>37</v>
      </c>
      <c r="B740">
        <v>370</v>
      </c>
      <c r="C740">
        <v>46530.583333333336</v>
      </c>
      <c r="D740" t="s">
        <v>1199</v>
      </c>
      <c r="E740" t="s">
        <v>1412</v>
      </c>
      <c r="F740" t="s">
        <v>1613</v>
      </c>
      <c r="G740">
        <v>3</v>
      </c>
      <c r="H740">
        <v>16</v>
      </c>
      <c r="I740">
        <v>19</v>
      </c>
      <c r="J740" s="17"/>
      <c r="K740" s="17"/>
      <c r="L740" s="19" t="str">
        <f t="shared" si="11"/>
        <v/>
      </c>
      <c r="M740" s="17">
        <v>1</v>
      </c>
      <c r="N740" s="17">
        <v>1</v>
      </c>
      <c r="P740" t="s">
        <v>1614</v>
      </c>
    </row>
    <row r="741" spans="1:16">
      <c r="A741">
        <v>37</v>
      </c>
      <c r="B741">
        <v>370</v>
      </c>
      <c r="C741">
        <v>46530.583333333336</v>
      </c>
      <c r="D741" t="s">
        <v>1412</v>
      </c>
      <c r="E741" t="s">
        <v>1199</v>
      </c>
      <c r="F741" t="s">
        <v>1615</v>
      </c>
      <c r="G741">
        <v>4</v>
      </c>
      <c r="H741">
        <v>19</v>
      </c>
      <c r="I741">
        <v>16</v>
      </c>
      <c r="J741" s="17"/>
      <c r="K741" s="17"/>
      <c r="L741" s="19" t="str">
        <f t="shared" si="11"/>
        <v/>
      </c>
      <c r="M741" s="17">
        <v>1</v>
      </c>
      <c r="N741" s="17">
        <v>1</v>
      </c>
      <c r="P741" t="s">
        <v>1614</v>
      </c>
    </row>
    <row r="742" spans="1:16">
      <c r="A742">
        <v>38</v>
      </c>
      <c r="B742">
        <v>371</v>
      </c>
      <c r="C742">
        <v>46537.625</v>
      </c>
      <c r="D742" t="s">
        <v>390</v>
      </c>
      <c r="E742" t="s">
        <v>64</v>
      </c>
      <c r="F742" t="s">
        <v>1613</v>
      </c>
      <c r="G742">
        <v>5</v>
      </c>
      <c r="H742">
        <v>5</v>
      </c>
      <c r="I742">
        <v>1</v>
      </c>
      <c r="J742" s="17"/>
      <c r="K742" s="17"/>
      <c r="L742" s="19" t="str">
        <f t="shared" si="11"/>
        <v/>
      </c>
      <c r="M742" s="17">
        <v>1</v>
      </c>
      <c r="N742" s="17">
        <v>1</v>
      </c>
      <c r="P742" t="s">
        <v>1614</v>
      </c>
    </row>
    <row r="743" spans="1:16">
      <c r="A743">
        <v>38</v>
      </c>
      <c r="B743">
        <v>371</v>
      </c>
      <c r="C743">
        <v>46537.625</v>
      </c>
      <c r="D743" t="s">
        <v>64</v>
      </c>
      <c r="E743" t="s">
        <v>390</v>
      </c>
      <c r="F743" t="s">
        <v>1615</v>
      </c>
      <c r="G743">
        <v>2</v>
      </c>
      <c r="H743">
        <v>1</v>
      </c>
      <c r="I743">
        <v>5</v>
      </c>
      <c r="J743" s="17"/>
      <c r="K743" s="17"/>
      <c r="L743" s="19" t="str">
        <f t="shared" si="11"/>
        <v/>
      </c>
      <c r="M743" s="17">
        <v>1</v>
      </c>
      <c r="N743" s="17">
        <v>1</v>
      </c>
      <c r="P743" t="s">
        <v>1614</v>
      </c>
    </row>
    <row r="744" spans="1:16">
      <c r="A744">
        <v>38</v>
      </c>
      <c r="B744">
        <v>372</v>
      </c>
      <c r="C744">
        <v>46537.625</v>
      </c>
      <c r="D744" t="s">
        <v>1412</v>
      </c>
      <c r="E744" t="s">
        <v>153</v>
      </c>
      <c r="F744" t="s">
        <v>1613</v>
      </c>
      <c r="G744">
        <v>4</v>
      </c>
      <c r="H744">
        <v>19</v>
      </c>
      <c r="I744">
        <v>2</v>
      </c>
      <c r="J744" s="17"/>
      <c r="K744" s="17"/>
      <c r="L744" s="19" t="str">
        <f t="shared" si="11"/>
        <v/>
      </c>
      <c r="M744" s="17">
        <v>1</v>
      </c>
      <c r="N744" s="17">
        <v>1</v>
      </c>
      <c r="P744" t="s">
        <v>1614</v>
      </c>
    </row>
    <row r="745" spans="1:16">
      <c r="A745">
        <v>38</v>
      </c>
      <c r="B745">
        <v>372</v>
      </c>
      <c r="C745">
        <v>46537.625</v>
      </c>
      <c r="D745" t="s">
        <v>153</v>
      </c>
      <c r="E745" t="s">
        <v>1412</v>
      </c>
      <c r="F745" t="s">
        <v>1615</v>
      </c>
      <c r="G745">
        <v>3</v>
      </c>
      <c r="H745">
        <v>2</v>
      </c>
      <c r="I745">
        <v>19</v>
      </c>
      <c r="J745" s="17"/>
      <c r="K745" s="17"/>
      <c r="L745" s="19" t="str">
        <f t="shared" si="11"/>
        <v/>
      </c>
      <c r="M745" s="17">
        <v>1</v>
      </c>
      <c r="N745" s="17">
        <v>1</v>
      </c>
      <c r="P745" t="s">
        <v>1614</v>
      </c>
    </row>
    <row r="746" spans="1:16">
      <c r="A746">
        <v>38</v>
      </c>
      <c r="B746">
        <v>373</v>
      </c>
      <c r="C746">
        <v>46537.625</v>
      </c>
      <c r="D746" t="s">
        <v>312</v>
      </c>
      <c r="E746" t="s">
        <v>474</v>
      </c>
      <c r="F746" t="s">
        <v>1613</v>
      </c>
      <c r="G746">
        <v>4</v>
      </c>
      <c r="H746">
        <v>4</v>
      </c>
      <c r="I746">
        <v>6</v>
      </c>
      <c r="J746" s="17"/>
      <c r="K746" s="17"/>
      <c r="L746" s="19" t="str">
        <f t="shared" si="11"/>
        <v/>
      </c>
      <c r="M746" s="17">
        <v>1</v>
      </c>
      <c r="N746" s="17">
        <v>1</v>
      </c>
      <c r="P746" t="s">
        <v>1614</v>
      </c>
    </row>
    <row r="747" spans="1:16">
      <c r="A747">
        <v>38</v>
      </c>
      <c r="B747">
        <v>373</v>
      </c>
      <c r="C747">
        <v>46537.625</v>
      </c>
      <c r="D747" t="s">
        <v>474</v>
      </c>
      <c r="E747" t="s">
        <v>312</v>
      </c>
      <c r="F747" t="s">
        <v>1615</v>
      </c>
      <c r="G747">
        <v>3</v>
      </c>
      <c r="H747">
        <v>6</v>
      </c>
      <c r="I747">
        <v>4</v>
      </c>
      <c r="J747" s="17"/>
      <c r="K747" s="17"/>
      <c r="L747" s="19" t="str">
        <f t="shared" si="11"/>
        <v/>
      </c>
      <c r="M747" s="17">
        <v>1</v>
      </c>
      <c r="N747" s="17">
        <v>1</v>
      </c>
      <c r="P747" t="s">
        <v>1614</v>
      </c>
    </row>
    <row r="748" spans="1:16">
      <c r="A748">
        <v>38</v>
      </c>
      <c r="B748">
        <v>374</v>
      </c>
      <c r="C748">
        <v>46537.625</v>
      </c>
      <c r="D748" t="s">
        <v>1354</v>
      </c>
      <c r="E748" t="s">
        <v>567</v>
      </c>
      <c r="F748" t="s">
        <v>1613</v>
      </c>
      <c r="G748">
        <v>2</v>
      </c>
      <c r="H748">
        <v>18</v>
      </c>
      <c r="I748">
        <v>7</v>
      </c>
      <c r="J748" s="17"/>
      <c r="K748" s="17"/>
      <c r="L748" s="19" t="str">
        <f t="shared" si="11"/>
        <v/>
      </c>
      <c r="M748" s="17">
        <v>1</v>
      </c>
      <c r="N748" s="17">
        <v>1</v>
      </c>
      <c r="P748" t="s">
        <v>1614</v>
      </c>
    </row>
    <row r="749" spans="1:16">
      <c r="A749">
        <v>38</v>
      </c>
      <c r="B749">
        <v>374</v>
      </c>
      <c r="C749">
        <v>46537.625</v>
      </c>
      <c r="D749" t="s">
        <v>567</v>
      </c>
      <c r="E749" t="s">
        <v>1354</v>
      </c>
      <c r="F749" t="s">
        <v>1615</v>
      </c>
      <c r="G749">
        <v>3</v>
      </c>
      <c r="H749">
        <v>7</v>
      </c>
      <c r="I749">
        <v>18</v>
      </c>
      <c r="J749" s="17"/>
      <c r="K749" s="17"/>
      <c r="L749" s="19" t="str">
        <f t="shared" si="11"/>
        <v/>
      </c>
      <c r="M749" s="17">
        <v>1</v>
      </c>
      <c r="N749" s="17">
        <v>1</v>
      </c>
      <c r="P749" t="s">
        <v>1614</v>
      </c>
    </row>
    <row r="750" spans="1:16">
      <c r="A750">
        <v>38</v>
      </c>
      <c r="B750">
        <v>375</v>
      </c>
      <c r="C750">
        <v>46537.625</v>
      </c>
      <c r="D750" t="s">
        <v>978</v>
      </c>
      <c r="E750" t="s">
        <v>639</v>
      </c>
      <c r="F750" t="s">
        <v>1613</v>
      </c>
      <c r="G750">
        <v>3</v>
      </c>
      <c r="H750">
        <v>13</v>
      </c>
      <c r="I750">
        <v>8</v>
      </c>
      <c r="J750" s="17"/>
      <c r="K750" s="17"/>
      <c r="L750" s="19" t="str">
        <f t="shared" si="11"/>
        <v/>
      </c>
      <c r="M750" s="17">
        <v>1</v>
      </c>
      <c r="N750" s="17">
        <v>1</v>
      </c>
      <c r="P750" t="s">
        <v>1614</v>
      </c>
    </row>
    <row r="751" spans="1:16">
      <c r="A751">
        <v>38</v>
      </c>
      <c r="B751">
        <v>375</v>
      </c>
      <c r="C751">
        <v>46537.625</v>
      </c>
      <c r="D751" t="s">
        <v>639</v>
      </c>
      <c r="E751" t="s">
        <v>978</v>
      </c>
      <c r="F751" t="s">
        <v>1615</v>
      </c>
      <c r="G751">
        <v>2</v>
      </c>
      <c r="H751">
        <v>8</v>
      </c>
      <c r="I751">
        <v>13</v>
      </c>
      <c r="J751" s="17"/>
      <c r="K751" s="17"/>
      <c r="L751" s="19" t="str">
        <f t="shared" si="11"/>
        <v/>
      </c>
      <c r="M751" s="17">
        <v>1</v>
      </c>
      <c r="N751" s="17">
        <v>1</v>
      </c>
      <c r="P751" t="s">
        <v>1614</v>
      </c>
    </row>
    <row r="752" spans="1:16">
      <c r="A752">
        <v>38</v>
      </c>
      <c r="B752">
        <v>376</v>
      </c>
      <c r="C752">
        <v>46537.625</v>
      </c>
      <c r="D752" t="s">
        <v>1283</v>
      </c>
      <c r="E752" t="s">
        <v>831</v>
      </c>
      <c r="F752" t="s">
        <v>1613</v>
      </c>
      <c r="G752">
        <v>2</v>
      </c>
      <c r="H752">
        <v>17</v>
      </c>
      <c r="I752">
        <v>11</v>
      </c>
      <c r="J752" s="17"/>
      <c r="K752" s="17"/>
      <c r="L752" s="19" t="str">
        <f t="shared" si="11"/>
        <v/>
      </c>
      <c r="M752" s="17">
        <v>1</v>
      </c>
      <c r="N752" s="17">
        <v>1</v>
      </c>
      <c r="P752" t="s">
        <v>1614</v>
      </c>
    </row>
    <row r="753" spans="1:16">
      <c r="A753">
        <v>38</v>
      </c>
      <c r="B753">
        <v>376</v>
      </c>
      <c r="C753">
        <v>46537.625</v>
      </c>
      <c r="D753" t="s">
        <v>831</v>
      </c>
      <c r="E753" t="s">
        <v>1283</v>
      </c>
      <c r="F753" t="s">
        <v>1615</v>
      </c>
      <c r="G753">
        <v>2</v>
      </c>
      <c r="H753">
        <v>11</v>
      </c>
      <c r="I753">
        <v>17</v>
      </c>
      <c r="J753" s="17"/>
      <c r="K753" s="17"/>
      <c r="L753" s="19" t="str">
        <f t="shared" si="11"/>
        <v/>
      </c>
      <c r="M753" s="17">
        <v>1</v>
      </c>
      <c r="N753" s="17">
        <v>1</v>
      </c>
      <c r="P753" t="s">
        <v>1614</v>
      </c>
    </row>
    <row r="754" spans="1:16">
      <c r="A754">
        <v>38</v>
      </c>
      <c r="B754">
        <v>377</v>
      </c>
      <c r="C754">
        <v>46537.625</v>
      </c>
      <c r="D754" t="s">
        <v>714</v>
      </c>
      <c r="E754" t="s">
        <v>903</v>
      </c>
      <c r="F754" t="s">
        <v>1613</v>
      </c>
      <c r="G754">
        <v>2</v>
      </c>
      <c r="H754">
        <v>9</v>
      </c>
      <c r="I754">
        <v>12</v>
      </c>
      <c r="J754" s="17"/>
      <c r="K754" s="17"/>
      <c r="L754" s="19" t="str">
        <f t="shared" si="11"/>
        <v/>
      </c>
      <c r="M754" s="17">
        <v>1</v>
      </c>
      <c r="N754" s="17">
        <v>1</v>
      </c>
      <c r="P754" t="s">
        <v>1614</v>
      </c>
    </row>
    <row r="755" spans="1:16">
      <c r="A755">
        <v>38</v>
      </c>
      <c r="B755">
        <v>377</v>
      </c>
      <c r="C755">
        <v>46537.625</v>
      </c>
      <c r="D755" t="s">
        <v>903</v>
      </c>
      <c r="E755" t="s">
        <v>714</v>
      </c>
      <c r="F755" t="s">
        <v>1615</v>
      </c>
      <c r="G755">
        <v>3</v>
      </c>
      <c r="H755">
        <v>12</v>
      </c>
      <c r="I755">
        <v>9</v>
      </c>
      <c r="J755" s="17"/>
      <c r="K755" s="17"/>
      <c r="L755" s="19" t="str">
        <f t="shared" si="11"/>
        <v/>
      </c>
      <c r="M755" s="17">
        <v>1</v>
      </c>
      <c r="N755" s="17">
        <v>1</v>
      </c>
      <c r="P755" t="s">
        <v>1614</v>
      </c>
    </row>
    <row r="756" spans="1:16">
      <c r="A756">
        <v>38</v>
      </c>
      <c r="B756">
        <v>378</v>
      </c>
      <c r="C756">
        <v>46537.625</v>
      </c>
      <c r="D756" t="s">
        <v>236</v>
      </c>
      <c r="E756" t="s">
        <v>1037</v>
      </c>
      <c r="F756" t="s">
        <v>1613</v>
      </c>
      <c r="G756">
        <v>4</v>
      </c>
      <c r="H756">
        <v>3</v>
      </c>
      <c r="I756">
        <v>14</v>
      </c>
      <c r="J756" s="17"/>
      <c r="K756" s="17"/>
      <c r="L756" s="19" t="str">
        <f t="shared" si="11"/>
        <v/>
      </c>
      <c r="M756" s="17">
        <v>1</v>
      </c>
      <c r="N756" s="17">
        <v>1</v>
      </c>
      <c r="P756" t="s">
        <v>1614</v>
      </c>
    </row>
    <row r="757" spans="1:16">
      <c r="A757">
        <v>38</v>
      </c>
      <c r="B757">
        <v>378</v>
      </c>
      <c r="C757">
        <v>46537.625</v>
      </c>
      <c r="D757" t="s">
        <v>1037</v>
      </c>
      <c r="E757" t="s">
        <v>236</v>
      </c>
      <c r="F757" t="s">
        <v>1615</v>
      </c>
      <c r="G757">
        <v>3</v>
      </c>
      <c r="H757">
        <v>14</v>
      </c>
      <c r="I757">
        <v>3</v>
      </c>
      <c r="J757" s="17"/>
      <c r="K757" s="17"/>
      <c r="L757" s="19" t="str">
        <f t="shared" si="11"/>
        <v/>
      </c>
      <c r="M757" s="17">
        <v>1</v>
      </c>
      <c r="N757" s="17">
        <v>1</v>
      </c>
      <c r="P757" t="s">
        <v>1614</v>
      </c>
    </row>
    <row r="758" spans="1:16">
      <c r="A758">
        <v>38</v>
      </c>
      <c r="B758">
        <v>379</v>
      </c>
      <c r="C758">
        <v>46537.625</v>
      </c>
      <c r="D758" t="s">
        <v>777</v>
      </c>
      <c r="E758" t="s">
        <v>1199</v>
      </c>
      <c r="F758" t="s">
        <v>1613</v>
      </c>
      <c r="G758">
        <v>4</v>
      </c>
      <c r="H758">
        <v>10</v>
      </c>
      <c r="I758">
        <v>16</v>
      </c>
      <c r="J758" s="17"/>
      <c r="K758" s="17"/>
      <c r="L758" s="19" t="str">
        <f t="shared" si="11"/>
        <v/>
      </c>
      <c r="M758" s="17">
        <v>1</v>
      </c>
      <c r="N758" s="17">
        <v>1</v>
      </c>
      <c r="P758" t="s">
        <v>1614</v>
      </c>
    </row>
    <row r="759" spans="1:16">
      <c r="A759">
        <v>38</v>
      </c>
      <c r="B759">
        <v>379</v>
      </c>
      <c r="C759">
        <v>46537.625</v>
      </c>
      <c r="D759" t="s">
        <v>1199</v>
      </c>
      <c r="E759" t="s">
        <v>777</v>
      </c>
      <c r="F759" t="s">
        <v>1615</v>
      </c>
      <c r="G759">
        <v>2</v>
      </c>
      <c r="H759">
        <v>16</v>
      </c>
      <c r="I759">
        <v>10</v>
      </c>
      <c r="J759" s="17"/>
      <c r="K759" s="17"/>
      <c r="L759" s="19" t="str">
        <f t="shared" si="11"/>
        <v/>
      </c>
      <c r="M759" s="17">
        <v>1</v>
      </c>
      <c r="N759" s="17">
        <v>1</v>
      </c>
      <c r="P759" t="s">
        <v>1614</v>
      </c>
    </row>
    <row r="760" spans="1:16">
      <c r="A760">
        <v>38</v>
      </c>
      <c r="B760">
        <v>380</v>
      </c>
      <c r="C760">
        <v>46537.625</v>
      </c>
      <c r="D760" t="s">
        <v>1126</v>
      </c>
      <c r="E760" t="s">
        <v>1493</v>
      </c>
      <c r="F760" t="s">
        <v>1613</v>
      </c>
      <c r="G760">
        <v>3</v>
      </c>
      <c r="H760">
        <v>15</v>
      </c>
      <c r="I760">
        <v>20</v>
      </c>
      <c r="J760" s="17"/>
      <c r="K760" s="17"/>
      <c r="L760" s="19" t="str">
        <f t="shared" si="11"/>
        <v/>
      </c>
      <c r="M760" s="17">
        <v>1</v>
      </c>
      <c r="N760" s="17">
        <v>1</v>
      </c>
      <c r="P760" t="s">
        <v>1614</v>
      </c>
    </row>
    <row r="761" spans="1:16">
      <c r="A761">
        <v>38</v>
      </c>
      <c r="B761">
        <v>380</v>
      </c>
      <c r="C761">
        <v>46537.625</v>
      </c>
      <c r="D761" t="s">
        <v>1493</v>
      </c>
      <c r="E761" t="s">
        <v>1126</v>
      </c>
      <c r="F761" t="s">
        <v>1615</v>
      </c>
      <c r="G761">
        <v>4</v>
      </c>
      <c r="H761">
        <v>20</v>
      </c>
      <c r="I761">
        <v>15</v>
      </c>
      <c r="J761" s="17"/>
      <c r="K761" s="17"/>
      <c r="L761" s="19" t="str">
        <f t="shared" si="11"/>
        <v/>
      </c>
      <c r="M761" s="17">
        <v>1</v>
      </c>
      <c r="N761" s="17">
        <v>1</v>
      </c>
      <c r="P761" t="s">
        <v>1614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"/>
  <sheetViews>
    <sheetView workbookViewId="0"/>
  </sheetViews>
  <sheetFormatPr baseColWidth="10" defaultColWidth="8.83203125" defaultRowHeight="14"/>
  <sheetData>
    <row r="1" spans="1:20" ht="15">
      <c r="A1" s="4" t="s">
        <v>1601</v>
      </c>
      <c r="B1" s="4" t="s">
        <v>18</v>
      </c>
      <c r="C1" s="4" t="s">
        <v>19</v>
      </c>
      <c r="D1" s="4" t="s">
        <v>21</v>
      </c>
      <c r="E1" s="4" t="s">
        <v>3</v>
      </c>
      <c r="F1" s="4" t="s">
        <v>23</v>
      </c>
      <c r="G1" s="4" t="s">
        <v>1616</v>
      </c>
      <c r="H1" s="4" t="s">
        <v>51</v>
      </c>
      <c r="I1" s="4" t="s">
        <v>52</v>
      </c>
      <c r="J1" s="4" t="s">
        <v>1617</v>
      </c>
      <c r="K1" s="4" t="s">
        <v>1618</v>
      </c>
      <c r="L1" s="4" t="s">
        <v>1619</v>
      </c>
      <c r="M1" s="4" t="s">
        <v>1620</v>
      </c>
      <c r="N1" s="4" t="s">
        <v>1621</v>
      </c>
      <c r="O1" s="4" t="s">
        <v>1622</v>
      </c>
      <c r="P1" s="4" t="s">
        <v>1623</v>
      </c>
      <c r="Q1" s="4" t="s">
        <v>1624</v>
      </c>
      <c r="R1" s="4" t="s">
        <v>1625</v>
      </c>
      <c r="S1" s="4" t="s">
        <v>1626</v>
      </c>
      <c r="T1" s="4" t="s">
        <v>1627</v>
      </c>
    </row>
    <row r="3" spans="1:20">
      <c r="A3" s="28" t="s">
        <v>1628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</sheetData>
  <mergeCells count="1">
    <mergeCell ref="A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workbookViewId="0"/>
  </sheetViews>
  <sheetFormatPr baseColWidth="10" defaultColWidth="8.83203125" defaultRowHeight="14"/>
  <cols>
    <col min="1" max="1" width="22" customWidth="1"/>
    <col min="2" max="2" width="18" customWidth="1"/>
    <col min="3" max="4" width="14" customWidth="1"/>
    <col min="5" max="6" width="11" customWidth="1"/>
    <col min="7" max="11" width="12" customWidth="1"/>
    <col min="12" max="12" width="30" customWidth="1"/>
  </cols>
  <sheetData>
    <row r="1" spans="1:12" ht="15">
      <c r="A1" s="4" t="s">
        <v>19</v>
      </c>
      <c r="B1" s="4" t="s">
        <v>21</v>
      </c>
      <c r="C1" s="4" t="s">
        <v>3</v>
      </c>
      <c r="D1" s="4" t="s">
        <v>23</v>
      </c>
      <c r="E1" s="4" t="s">
        <v>1629</v>
      </c>
      <c r="F1" s="4" t="s">
        <v>1630</v>
      </c>
      <c r="G1" s="4" t="s">
        <v>41</v>
      </c>
      <c r="H1" s="4" t="s">
        <v>42</v>
      </c>
      <c r="I1" s="4" t="s">
        <v>51</v>
      </c>
      <c r="J1" s="4" t="s">
        <v>52</v>
      </c>
      <c r="K1" s="4" t="s">
        <v>1631</v>
      </c>
      <c r="L1" s="4" t="s">
        <v>60</v>
      </c>
    </row>
    <row r="2" spans="1:12">
      <c r="B2" t="str">
        <f>IFERROR(VLOOKUP($A2,Players!$C$2:$AJ$568,2,FALSE),"")</f>
        <v/>
      </c>
      <c r="C2" t="str">
        <f>IFERROR(VLOOKUP($A2,Players!$C$2:$AJ$568,3,FALSE),"")</f>
        <v/>
      </c>
      <c r="D2" s="20" t="str">
        <f>IFERROR(VLOOKUP($A2,Players!$C$2:$AJ$568,5,FALSE),"")</f>
        <v/>
      </c>
      <c r="G2" s="21" t="str">
        <f>IFERROR(VLOOKUP($A2,Players!$C$2:$AJ$568,23,FALSE),"")</f>
        <v/>
      </c>
      <c r="H2" s="19" t="str">
        <f>IFERROR(VLOOKUP($A2,Players!$C$2:$AJ$568,24,FALSE),"")</f>
        <v/>
      </c>
      <c r="I2" s="19" t="str">
        <f>IFERROR(VLOOKUP($A2,Players!$C$2:$AJ$568,33,FALSE),"")</f>
        <v/>
      </c>
      <c r="J2" s="19" t="str">
        <f>IFERROR(VLOOKUP($A2,Players!$C$2:$AJ$568,34,FALSE),"")</f>
        <v/>
      </c>
    </row>
    <row r="3" spans="1:12">
      <c r="B3" t="str">
        <f>IFERROR(VLOOKUP($A3,Players!$C$2:$AJ$568,2,FALSE),"")</f>
        <v/>
      </c>
      <c r="C3" t="str">
        <f>IFERROR(VLOOKUP($A3,Players!$C$2:$AJ$568,3,FALSE),"")</f>
        <v/>
      </c>
      <c r="D3" s="20" t="str">
        <f>IFERROR(VLOOKUP($A3,Players!$C$2:$AJ$568,5,FALSE),"")</f>
        <v/>
      </c>
      <c r="G3" s="21" t="str">
        <f>IFERROR(VLOOKUP($A3,Players!$C$2:$AJ$568,23,FALSE),"")</f>
        <v/>
      </c>
      <c r="H3" s="19" t="str">
        <f>IFERROR(VLOOKUP($A3,Players!$C$2:$AJ$568,24,FALSE),"")</f>
        <v/>
      </c>
      <c r="I3" s="19" t="str">
        <f>IFERROR(VLOOKUP($A3,Players!$C$2:$AJ$568,33,FALSE),"")</f>
        <v/>
      </c>
      <c r="J3" s="19" t="str">
        <f>IFERROR(VLOOKUP($A3,Players!$C$2:$AJ$568,34,FALSE),"")</f>
        <v/>
      </c>
    </row>
    <row r="4" spans="1:12">
      <c r="B4" t="str">
        <f>IFERROR(VLOOKUP($A4,Players!$C$2:$AJ$568,2,FALSE),"")</f>
        <v/>
      </c>
      <c r="C4" t="str">
        <f>IFERROR(VLOOKUP($A4,Players!$C$2:$AJ$568,3,FALSE),"")</f>
        <v/>
      </c>
      <c r="D4" s="20" t="str">
        <f>IFERROR(VLOOKUP($A4,Players!$C$2:$AJ$568,5,FALSE),"")</f>
        <v/>
      </c>
      <c r="G4" s="21" t="str">
        <f>IFERROR(VLOOKUP($A4,Players!$C$2:$AJ$568,23,FALSE),"")</f>
        <v/>
      </c>
      <c r="H4" s="19" t="str">
        <f>IFERROR(VLOOKUP($A4,Players!$C$2:$AJ$568,24,FALSE),"")</f>
        <v/>
      </c>
      <c r="I4" s="19" t="str">
        <f>IFERROR(VLOOKUP($A4,Players!$C$2:$AJ$568,33,FALSE),"")</f>
        <v/>
      </c>
      <c r="J4" s="19" t="str">
        <f>IFERROR(VLOOKUP($A4,Players!$C$2:$AJ$568,34,FALSE),"")</f>
        <v/>
      </c>
    </row>
    <row r="5" spans="1:12">
      <c r="B5" t="str">
        <f>IFERROR(VLOOKUP($A5,Players!$C$2:$AJ$568,2,FALSE),"")</f>
        <v/>
      </c>
      <c r="C5" t="str">
        <f>IFERROR(VLOOKUP($A5,Players!$C$2:$AJ$568,3,FALSE),"")</f>
        <v/>
      </c>
      <c r="D5" s="20" t="str">
        <f>IFERROR(VLOOKUP($A5,Players!$C$2:$AJ$568,5,FALSE),"")</f>
        <v/>
      </c>
      <c r="G5" s="21" t="str">
        <f>IFERROR(VLOOKUP($A5,Players!$C$2:$AJ$568,23,FALSE),"")</f>
        <v/>
      </c>
      <c r="H5" s="19" t="str">
        <f>IFERROR(VLOOKUP($A5,Players!$C$2:$AJ$568,24,FALSE),"")</f>
        <v/>
      </c>
      <c r="I5" s="19" t="str">
        <f>IFERROR(VLOOKUP($A5,Players!$C$2:$AJ$568,33,FALSE),"")</f>
        <v/>
      </c>
      <c r="J5" s="19" t="str">
        <f>IFERROR(VLOOKUP($A5,Players!$C$2:$AJ$568,34,FALSE),"")</f>
        <v/>
      </c>
    </row>
    <row r="6" spans="1:12">
      <c r="B6" t="str">
        <f>IFERROR(VLOOKUP($A6,Players!$C$2:$AJ$568,2,FALSE),"")</f>
        <v/>
      </c>
      <c r="C6" t="str">
        <f>IFERROR(VLOOKUP($A6,Players!$C$2:$AJ$568,3,FALSE),"")</f>
        <v/>
      </c>
      <c r="D6" s="20" t="str">
        <f>IFERROR(VLOOKUP($A6,Players!$C$2:$AJ$568,5,FALSE),"")</f>
        <v/>
      </c>
      <c r="G6" s="21" t="str">
        <f>IFERROR(VLOOKUP($A6,Players!$C$2:$AJ$568,23,FALSE),"")</f>
        <v/>
      </c>
      <c r="H6" s="19" t="str">
        <f>IFERROR(VLOOKUP($A6,Players!$C$2:$AJ$568,24,FALSE),"")</f>
        <v/>
      </c>
      <c r="I6" s="19" t="str">
        <f>IFERROR(VLOOKUP($A6,Players!$C$2:$AJ$568,33,FALSE),"")</f>
        <v/>
      </c>
      <c r="J6" s="19" t="str">
        <f>IFERROR(VLOOKUP($A6,Players!$C$2:$AJ$568,34,FALSE),"")</f>
        <v/>
      </c>
    </row>
    <row r="7" spans="1:12">
      <c r="B7" t="str">
        <f>IFERROR(VLOOKUP($A7,Players!$C$2:$AJ$568,2,FALSE),"")</f>
        <v/>
      </c>
      <c r="C7" t="str">
        <f>IFERROR(VLOOKUP($A7,Players!$C$2:$AJ$568,3,FALSE),"")</f>
        <v/>
      </c>
      <c r="D7" s="20" t="str">
        <f>IFERROR(VLOOKUP($A7,Players!$C$2:$AJ$568,5,FALSE),"")</f>
        <v/>
      </c>
      <c r="G7" s="21" t="str">
        <f>IFERROR(VLOOKUP($A7,Players!$C$2:$AJ$568,23,FALSE),"")</f>
        <v/>
      </c>
      <c r="H7" s="19" t="str">
        <f>IFERROR(VLOOKUP($A7,Players!$C$2:$AJ$568,24,FALSE),"")</f>
        <v/>
      </c>
      <c r="I7" s="19" t="str">
        <f>IFERROR(VLOOKUP($A7,Players!$C$2:$AJ$568,33,FALSE),"")</f>
        <v/>
      </c>
      <c r="J7" s="19" t="str">
        <f>IFERROR(VLOOKUP($A7,Players!$C$2:$AJ$568,34,FALSE),"")</f>
        <v/>
      </c>
    </row>
    <row r="8" spans="1:12">
      <c r="B8" t="str">
        <f>IFERROR(VLOOKUP($A8,Players!$C$2:$AJ$568,2,FALSE),"")</f>
        <v/>
      </c>
      <c r="C8" t="str">
        <f>IFERROR(VLOOKUP($A8,Players!$C$2:$AJ$568,3,FALSE),"")</f>
        <v/>
      </c>
      <c r="D8" s="20" t="str">
        <f>IFERROR(VLOOKUP($A8,Players!$C$2:$AJ$568,5,FALSE),"")</f>
        <v/>
      </c>
      <c r="G8" s="21" t="str">
        <f>IFERROR(VLOOKUP($A8,Players!$C$2:$AJ$568,23,FALSE),"")</f>
        <v/>
      </c>
      <c r="H8" s="19" t="str">
        <f>IFERROR(VLOOKUP($A8,Players!$C$2:$AJ$568,24,FALSE),"")</f>
        <v/>
      </c>
      <c r="I8" s="19" t="str">
        <f>IFERROR(VLOOKUP($A8,Players!$C$2:$AJ$568,33,FALSE),"")</f>
        <v/>
      </c>
      <c r="J8" s="19" t="str">
        <f>IFERROR(VLOOKUP($A8,Players!$C$2:$AJ$568,34,FALSE),"")</f>
        <v/>
      </c>
    </row>
    <row r="9" spans="1:12">
      <c r="B9" t="str">
        <f>IFERROR(VLOOKUP($A9,Players!$C$2:$AJ$568,2,FALSE),"")</f>
        <v/>
      </c>
      <c r="C9" t="str">
        <f>IFERROR(VLOOKUP($A9,Players!$C$2:$AJ$568,3,FALSE),"")</f>
        <v/>
      </c>
      <c r="D9" s="20" t="str">
        <f>IFERROR(VLOOKUP($A9,Players!$C$2:$AJ$568,5,FALSE),"")</f>
        <v/>
      </c>
      <c r="G9" s="21" t="str">
        <f>IFERROR(VLOOKUP($A9,Players!$C$2:$AJ$568,23,FALSE),"")</f>
        <v/>
      </c>
      <c r="H9" s="19" t="str">
        <f>IFERROR(VLOOKUP($A9,Players!$C$2:$AJ$568,24,FALSE),"")</f>
        <v/>
      </c>
      <c r="I9" s="19" t="str">
        <f>IFERROR(VLOOKUP($A9,Players!$C$2:$AJ$568,33,FALSE),"")</f>
        <v/>
      </c>
      <c r="J9" s="19" t="str">
        <f>IFERROR(VLOOKUP($A9,Players!$C$2:$AJ$568,34,FALSE),"")</f>
        <v/>
      </c>
    </row>
    <row r="10" spans="1:12">
      <c r="B10" t="str">
        <f>IFERROR(VLOOKUP($A10,Players!$C$2:$AJ$568,2,FALSE),"")</f>
        <v/>
      </c>
      <c r="C10" t="str">
        <f>IFERROR(VLOOKUP($A10,Players!$C$2:$AJ$568,3,FALSE),"")</f>
        <v/>
      </c>
      <c r="D10" s="20" t="str">
        <f>IFERROR(VLOOKUP($A10,Players!$C$2:$AJ$568,5,FALSE),"")</f>
        <v/>
      </c>
      <c r="G10" s="21" t="str">
        <f>IFERROR(VLOOKUP($A10,Players!$C$2:$AJ$568,23,FALSE),"")</f>
        <v/>
      </c>
      <c r="H10" s="19" t="str">
        <f>IFERROR(VLOOKUP($A10,Players!$C$2:$AJ$568,24,FALSE),"")</f>
        <v/>
      </c>
      <c r="I10" s="19" t="str">
        <f>IFERROR(VLOOKUP($A10,Players!$C$2:$AJ$568,33,FALSE),"")</f>
        <v/>
      </c>
      <c r="J10" s="19" t="str">
        <f>IFERROR(VLOOKUP($A10,Players!$C$2:$AJ$568,34,FALSE),"")</f>
        <v/>
      </c>
    </row>
    <row r="11" spans="1:12">
      <c r="B11" t="str">
        <f>IFERROR(VLOOKUP($A11,Players!$C$2:$AJ$568,2,FALSE),"")</f>
        <v/>
      </c>
      <c r="C11" t="str">
        <f>IFERROR(VLOOKUP($A11,Players!$C$2:$AJ$568,3,FALSE),"")</f>
        <v/>
      </c>
      <c r="D11" s="20" t="str">
        <f>IFERROR(VLOOKUP($A11,Players!$C$2:$AJ$568,5,FALSE),"")</f>
        <v/>
      </c>
      <c r="G11" s="21" t="str">
        <f>IFERROR(VLOOKUP($A11,Players!$C$2:$AJ$568,23,FALSE),"")</f>
        <v/>
      </c>
      <c r="H11" s="19" t="str">
        <f>IFERROR(VLOOKUP($A11,Players!$C$2:$AJ$568,24,FALSE),"")</f>
        <v/>
      </c>
      <c r="I11" s="19" t="str">
        <f>IFERROR(VLOOKUP($A11,Players!$C$2:$AJ$568,33,FALSE),"")</f>
        <v/>
      </c>
      <c r="J11" s="19" t="str">
        <f>IFERROR(VLOOKUP($A11,Players!$C$2:$AJ$568,34,FALSE),"")</f>
        <v/>
      </c>
    </row>
    <row r="12" spans="1:12">
      <c r="B12" t="str">
        <f>IFERROR(VLOOKUP($A12,Players!$C$2:$AJ$568,2,FALSE),"")</f>
        <v/>
      </c>
      <c r="C12" t="str">
        <f>IFERROR(VLOOKUP($A12,Players!$C$2:$AJ$568,3,FALSE),"")</f>
        <v/>
      </c>
      <c r="D12" s="20" t="str">
        <f>IFERROR(VLOOKUP($A12,Players!$C$2:$AJ$568,5,FALSE),"")</f>
        <v/>
      </c>
      <c r="G12" s="21" t="str">
        <f>IFERROR(VLOOKUP($A12,Players!$C$2:$AJ$568,23,FALSE),"")</f>
        <v/>
      </c>
      <c r="H12" s="19" t="str">
        <f>IFERROR(VLOOKUP($A12,Players!$C$2:$AJ$568,24,FALSE),"")</f>
        <v/>
      </c>
      <c r="I12" s="19" t="str">
        <f>IFERROR(VLOOKUP($A12,Players!$C$2:$AJ$568,33,FALSE),"")</f>
        <v/>
      </c>
      <c r="J12" s="19" t="str">
        <f>IFERROR(VLOOKUP($A12,Players!$C$2:$AJ$568,34,FALSE),"")</f>
        <v/>
      </c>
    </row>
    <row r="13" spans="1:12">
      <c r="B13" t="str">
        <f>IFERROR(VLOOKUP($A13,Players!$C$2:$AJ$568,2,FALSE),"")</f>
        <v/>
      </c>
      <c r="C13" t="str">
        <f>IFERROR(VLOOKUP($A13,Players!$C$2:$AJ$568,3,FALSE),"")</f>
        <v/>
      </c>
      <c r="D13" s="20" t="str">
        <f>IFERROR(VLOOKUP($A13,Players!$C$2:$AJ$568,5,FALSE),"")</f>
        <v/>
      </c>
      <c r="G13" s="21" t="str">
        <f>IFERROR(VLOOKUP($A13,Players!$C$2:$AJ$568,23,FALSE),"")</f>
        <v/>
      </c>
      <c r="H13" s="19" t="str">
        <f>IFERROR(VLOOKUP($A13,Players!$C$2:$AJ$568,24,FALSE),"")</f>
        <v/>
      </c>
      <c r="I13" s="19" t="str">
        <f>IFERROR(VLOOKUP($A13,Players!$C$2:$AJ$568,33,FALSE),"")</f>
        <v/>
      </c>
      <c r="J13" s="19" t="str">
        <f>IFERROR(VLOOKUP($A13,Players!$C$2:$AJ$568,34,FALSE),"")</f>
        <v/>
      </c>
    </row>
    <row r="14" spans="1:12">
      <c r="B14" t="str">
        <f>IFERROR(VLOOKUP($A14,Players!$C$2:$AJ$568,2,FALSE),"")</f>
        <v/>
      </c>
      <c r="C14" t="str">
        <f>IFERROR(VLOOKUP($A14,Players!$C$2:$AJ$568,3,FALSE),"")</f>
        <v/>
      </c>
      <c r="D14" s="20" t="str">
        <f>IFERROR(VLOOKUP($A14,Players!$C$2:$AJ$568,5,FALSE),"")</f>
        <v/>
      </c>
      <c r="G14" s="21" t="str">
        <f>IFERROR(VLOOKUP($A14,Players!$C$2:$AJ$568,23,FALSE),"")</f>
        <v/>
      </c>
      <c r="H14" s="19" t="str">
        <f>IFERROR(VLOOKUP($A14,Players!$C$2:$AJ$568,24,FALSE),"")</f>
        <v/>
      </c>
      <c r="I14" s="19" t="str">
        <f>IFERROR(VLOOKUP($A14,Players!$C$2:$AJ$568,33,FALSE),"")</f>
        <v/>
      </c>
      <c r="J14" s="19" t="str">
        <f>IFERROR(VLOOKUP($A14,Players!$C$2:$AJ$568,34,FALSE),"")</f>
        <v/>
      </c>
    </row>
    <row r="15" spans="1:12">
      <c r="B15" t="str">
        <f>IFERROR(VLOOKUP($A15,Players!$C$2:$AJ$568,2,FALSE),"")</f>
        <v/>
      </c>
      <c r="C15" t="str">
        <f>IFERROR(VLOOKUP($A15,Players!$C$2:$AJ$568,3,FALSE),"")</f>
        <v/>
      </c>
      <c r="D15" s="20" t="str">
        <f>IFERROR(VLOOKUP($A15,Players!$C$2:$AJ$568,5,FALSE),"")</f>
        <v/>
      </c>
      <c r="G15" s="21" t="str">
        <f>IFERROR(VLOOKUP($A15,Players!$C$2:$AJ$568,23,FALSE),"")</f>
        <v/>
      </c>
      <c r="H15" s="19" t="str">
        <f>IFERROR(VLOOKUP($A15,Players!$C$2:$AJ$568,24,FALSE),"")</f>
        <v/>
      </c>
      <c r="I15" s="19" t="str">
        <f>IFERROR(VLOOKUP($A15,Players!$C$2:$AJ$568,33,FALSE),"")</f>
        <v/>
      </c>
      <c r="J15" s="19" t="str">
        <f>IFERROR(VLOOKUP($A15,Players!$C$2:$AJ$568,34,FALSE),"")</f>
        <v/>
      </c>
    </row>
    <row r="16" spans="1:12">
      <c r="B16" t="str">
        <f>IFERROR(VLOOKUP($A16,Players!$C$2:$AJ$568,2,FALSE),"")</f>
        <v/>
      </c>
      <c r="C16" t="str">
        <f>IFERROR(VLOOKUP($A16,Players!$C$2:$AJ$568,3,FALSE),"")</f>
        <v/>
      </c>
      <c r="D16" s="20" t="str">
        <f>IFERROR(VLOOKUP($A16,Players!$C$2:$AJ$568,5,FALSE),"")</f>
        <v/>
      </c>
      <c r="G16" s="21" t="str">
        <f>IFERROR(VLOOKUP($A16,Players!$C$2:$AJ$568,23,FALSE),"")</f>
        <v/>
      </c>
      <c r="H16" s="19" t="str">
        <f>IFERROR(VLOOKUP($A16,Players!$C$2:$AJ$568,24,FALSE),"")</f>
        <v/>
      </c>
      <c r="I16" s="19" t="str">
        <f>IFERROR(VLOOKUP($A16,Players!$C$2:$AJ$568,33,FALSE),"")</f>
        <v/>
      </c>
      <c r="J16" s="19" t="str">
        <f>IFERROR(VLOOKUP($A16,Players!$C$2:$AJ$568,34,FALSE),"")</f>
        <v/>
      </c>
    </row>
  </sheetData>
  <dataValidations count="1">
    <dataValidation type="list" sqref="E2:F16" xr:uid="{00000000-0002-0000-0600-000001000000}">
      <formula1>"false,true"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Players!$C$2:$C$568</xm:f>
          </x14:formula1>
          <xm:sqref>A2:A16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/>
  </sheetViews>
  <sheetFormatPr baseColWidth="10" defaultColWidth="8.83203125" defaultRowHeight="14"/>
  <cols>
    <col min="1" max="5" width="20" customWidth="1"/>
  </cols>
  <sheetData>
    <row r="1" spans="1:5" ht="15">
      <c r="A1" s="4" t="s">
        <v>8</v>
      </c>
      <c r="B1" s="4" t="s">
        <v>1632</v>
      </c>
      <c r="C1" s="4" t="s">
        <v>1633</v>
      </c>
      <c r="D1" s="4" t="s">
        <v>40</v>
      </c>
      <c r="E1" s="4" t="s">
        <v>1634</v>
      </c>
    </row>
    <row r="2" spans="1:5">
      <c r="A2" t="s">
        <v>64</v>
      </c>
      <c r="B2" t="s">
        <v>7</v>
      </c>
      <c r="C2" t="s">
        <v>1635</v>
      </c>
      <c r="D2" t="s">
        <v>65</v>
      </c>
      <c r="E2" t="s">
        <v>1636</v>
      </c>
    </row>
    <row r="3" spans="1:5">
      <c r="A3" t="s">
        <v>153</v>
      </c>
      <c r="B3" t="s">
        <v>9</v>
      </c>
      <c r="C3" t="s">
        <v>1637</v>
      </c>
      <c r="D3" t="s">
        <v>1638</v>
      </c>
      <c r="E3" t="s">
        <v>1639</v>
      </c>
    </row>
    <row r="4" spans="1:5">
      <c r="A4" t="s">
        <v>236</v>
      </c>
      <c r="B4" t="s">
        <v>11</v>
      </c>
      <c r="D4" t="s">
        <v>1640</v>
      </c>
      <c r="E4" t="s">
        <v>1641</v>
      </c>
    </row>
    <row r="5" spans="1:5">
      <c r="A5" t="s">
        <v>312</v>
      </c>
      <c r="B5" t="s">
        <v>14</v>
      </c>
      <c r="D5" t="s">
        <v>1642</v>
      </c>
      <c r="E5" t="s">
        <v>1643</v>
      </c>
    </row>
    <row r="6" spans="1:5">
      <c r="A6" t="s">
        <v>390</v>
      </c>
      <c r="D6" t="s">
        <v>1644</v>
      </c>
      <c r="E6" t="s">
        <v>1645</v>
      </c>
    </row>
    <row r="7" spans="1:5">
      <c r="A7" t="s">
        <v>474</v>
      </c>
    </row>
    <row r="8" spans="1:5">
      <c r="A8" t="s">
        <v>567</v>
      </c>
    </row>
    <row r="9" spans="1:5">
      <c r="A9" t="s">
        <v>639</v>
      </c>
    </row>
    <row r="10" spans="1:5">
      <c r="A10" t="s">
        <v>714</v>
      </c>
    </row>
    <row r="11" spans="1:5">
      <c r="A11" t="s">
        <v>777</v>
      </c>
    </row>
    <row r="12" spans="1:5">
      <c r="A12" t="s">
        <v>831</v>
      </c>
    </row>
    <row r="13" spans="1:5">
      <c r="A13" t="s">
        <v>903</v>
      </c>
    </row>
    <row r="14" spans="1:5">
      <c r="A14" t="s">
        <v>978</v>
      </c>
    </row>
    <row r="15" spans="1:5">
      <c r="A15" t="s">
        <v>1037</v>
      </c>
    </row>
    <row r="16" spans="1:5">
      <c r="A16" t="s">
        <v>1126</v>
      </c>
    </row>
    <row r="17" spans="1:1">
      <c r="A17" t="s">
        <v>1199</v>
      </c>
    </row>
    <row r="18" spans="1:1">
      <c r="A18" t="s">
        <v>1283</v>
      </c>
    </row>
    <row r="19" spans="1:1">
      <c r="A19" t="s">
        <v>1354</v>
      </c>
    </row>
    <row r="20" spans="1:1">
      <c r="A20" t="s">
        <v>1412</v>
      </c>
    </row>
    <row r="21" spans="1:1">
      <c r="A21" t="s">
        <v>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Players</vt:lpstr>
      <vt:lpstr>Teams</vt:lpstr>
      <vt:lpstr>Priors</vt:lpstr>
      <vt:lpstr>Fixtures</vt:lpstr>
      <vt:lpstr>Projections</vt:lpstr>
      <vt:lpstr>Squad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Ditchburn</cp:lastModifiedBy>
  <dcterms:created xsi:type="dcterms:W3CDTF">2026-08-19T00:09:25Z</dcterms:created>
  <dcterms:modified xsi:type="dcterms:W3CDTF">2026-08-19T00:09:25Z</dcterms:modified>
</cp:coreProperties>
</file>